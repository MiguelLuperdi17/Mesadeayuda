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anuelitasa1-my.sharepoint.com/personal/jorge_laiza_agroindustriallaredo_com/Documents/Documentos/JEFE-CONTAB-00/Jorge Laiza/2025/Cierre de costos/10. Octubre/Tablas finales/"/>
    </mc:Choice>
  </mc:AlternateContent>
  <xr:revisionPtr revIDLastSave="181" documentId="8_{65477B8B-1ABC-4E87-A11B-BBA940E07966}" xr6:coauthVersionLast="47" xr6:coauthVersionMax="47" xr10:uidLastSave="{6F49D85E-6B3F-40B1-A2D6-45DB065AF0DE}"/>
  <bookViews>
    <workbookView xWindow="-120" yWindow="-120" windowWidth="29040" windowHeight="15720" activeTab="1" xr2:uid="{ED499E44-C166-4537-9C94-F26121E32AEC}"/>
  </bookViews>
  <sheets>
    <sheet name="054M - Depreciación" sheetId="1" r:id="rId1"/>
    <sheet name="SAP" sheetId="2" r:id="rId2"/>
  </sheets>
  <definedNames>
    <definedName name="_xlnm._FilterDatabase" localSheetId="0" hidden="1">'054M - Depreciación'!$A$1:$J$392</definedName>
  </definedNames>
  <calcPr calcId="191029"/>
  <pivotCaches>
    <pivotCache cacheId="0" r:id="rId3"/>
    <pivotCache cacheId="1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1" i="1" l="1"/>
  <c r="K390" i="1"/>
  <c r="K389" i="1"/>
  <c r="K388" i="1"/>
  <c r="K387" i="1"/>
  <c r="K386" i="1"/>
  <c r="K385" i="1"/>
  <c r="K384" i="1"/>
  <c r="K383" i="1"/>
  <c r="K382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69" i="1"/>
  <c r="K68" i="1"/>
  <c r="K67" i="1"/>
  <c r="K66" i="1"/>
  <c r="K65" i="1"/>
  <c r="K64" i="1"/>
  <c r="K63" i="1"/>
  <c r="K62" i="1"/>
  <c r="K61" i="1"/>
  <c r="K60" i="1"/>
  <c r="K59" i="1"/>
  <c r="K57" i="1"/>
  <c r="K56" i="1"/>
  <c r="K55" i="1"/>
  <c r="K54" i="1"/>
  <c r="K53" i="1"/>
  <c r="K52" i="1"/>
  <c r="K51" i="1"/>
  <c r="K50" i="1"/>
  <c r="K49" i="1"/>
  <c r="K48" i="1"/>
  <c r="K47" i="1"/>
  <c r="K46" i="1"/>
  <c r="K44" i="1"/>
  <c r="K43" i="1"/>
  <c r="K42" i="1"/>
  <c r="K41" i="1"/>
  <c r="K40" i="1"/>
  <c r="K39" i="1"/>
  <c r="K37" i="1"/>
  <c r="K36" i="1"/>
  <c r="K34" i="1"/>
  <c r="K33" i="1"/>
  <c r="K32" i="1"/>
  <c r="K31" i="1"/>
  <c r="K29" i="1"/>
  <c r="K28" i="1"/>
  <c r="K27" i="1"/>
  <c r="K26" i="1"/>
  <c r="K25" i="1"/>
  <c r="K24" i="1"/>
  <c r="K23" i="1"/>
  <c r="K22" i="1"/>
  <c r="K21" i="1"/>
  <c r="K20" i="1"/>
  <c r="K18" i="1"/>
  <c r="K16" i="1"/>
  <c r="K15" i="1"/>
  <c r="K13" i="1"/>
  <c r="K12" i="1"/>
  <c r="K11" i="1"/>
  <c r="K10" i="1"/>
  <c r="K9" i="1"/>
  <c r="K8" i="1"/>
  <c r="K7" i="1"/>
  <c r="K6" i="1"/>
  <c r="K5" i="1"/>
  <c r="K4" i="1"/>
  <c r="J58" i="1"/>
  <c r="K58" i="1" s="1"/>
  <c r="J117" i="1"/>
  <c r="K117" i="1" s="1"/>
  <c r="J102" i="1"/>
  <c r="J381" i="1"/>
  <c r="K381" i="1" s="1"/>
  <c r="J380" i="1"/>
  <c r="K380" i="1" s="1"/>
  <c r="J98" i="1"/>
  <c r="K98" i="1" s="1"/>
  <c r="J70" i="1"/>
  <c r="K70" i="1" s="1"/>
  <c r="J45" i="1"/>
  <c r="K45" i="1" s="1"/>
  <c r="J38" i="1"/>
  <c r="K38" i="1" s="1"/>
  <c r="J35" i="1"/>
  <c r="K35" i="1" s="1"/>
  <c r="J30" i="1"/>
  <c r="K30" i="1" s="1"/>
  <c r="J19" i="1"/>
  <c r="K19" i="1" s="1"/>
  <c r="J17" i="1"/>
  <c r="K17" i="1" s="1"/>
  <c r="J14" i="1"/>
  <c r="K14" i="1" s="1"/>
  <c r="J3" i="1"/>
  <c r="K3" i="1" s="1"/>
  <c r="J2" i="1"/>
  <c r="K2" i="1" s="1"/>
  <c r="L63" i="2"/>
  <c r="M63" i="2" s="1"/>
  <c r="M62" i="2"/>
  <c r="M61" i="2"/>
  <c r="M60" i="2"/>
  <c r="M59" i="2"/>
  <c r="M58" i="2"/>
  <c r="M57" i="2"/>
  <c r="M56" i="2"/>
  <c r="M55" i="2"/>
  <c r="M54" i="2"/>
  <c r="M53" i="2"/>
  <c r="M52" i="2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M45" i="2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M38" i="2"/>
  <c r="M37" i="2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M20" i="2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H1" i="2"/>
  <c r="K392" i="1" l="1"/>
  <c r="J392" i="1"/>
  <c r="L1" i="2"/>
  <c r="F392" i="1" l="1"/>
</calcChain>
</file>

<file path=xl/sharedStrings.xml><?xml version="1.0" encoding="utf-8"?>
<sst xmlns="http://schemas.openxmlformats.org/spreadsheetml/2006/main" count="1430" uniqueCount="231">
  <si>
    <t>CD_EMPRESA_ERP</t>
  </si>
  <si>
    <t>CD_FILIAL_ERP</t>
  </si>
  <si>
    <t>DT_REFER</t>
  </si>
  <si>
    <t>CD_CCUSTO_ERP</t>
  </si>
  <si>
    <t>CD_EQUIPTO_ERP</t>
  </si>
  <si>
    <t>VL_TOTAL</t>
  </si>
  <si>
    <t>DT_ENVIO_ERP</t>
  </si>
  <si>
    <t>DT_INTEG_PIMS</t>
  </si>
  <si>
    <t>FG_STATUS_INTEG</t>
  </si>
  <si>
    <t>NI</t>
  </si>
  <si>
    <t>Act.fijo</t>
  </si>
  <si>
    <t>Subnúmero</t>
  </si>
  <si>
    <t>Det.ctas.</t>
  </si>
  <si>
    <t>Nombre</t>
  </si>
  <si>
    <t>Nº doc.</t>
  </si>
  <si>
    <t>Denominación</t>
  </si>
  <si>
    <t>Período</t>
  </si>
  <si>
    <t>Impte.MS</t>
  </si>
  <si>
    <t>Mon.soc.</t>
  </si>
  <si>
    <t>ceco</t>
  </si>
  <si>
    <t>fecha depreciacion</t>
  </si>
  <si>
    <t>Mensual</t>
  </si>
  <si>
    <t>Quitar</t>
  </si>
  <si>
    <t>3323000532</t>
  </si>
  <si>
    <t>0</t>
  </si>
  <si>
    <t>A004</t>
  </si>
  <si>
    <t>CONSTRUCCION DE BAÑOS - COSECHA</t>
  </si>
  <si>
    <t>300000226</t>
  </si>
  <si>
    <t>Amortización normal</t>
  </si>
  <si>
    <t>10</t>
  </si>
  <si>
    <t>PEN</t>
  </si>
  <si>
    <t>1020230301</t>
  </si>
  <si>
    <t>3323000533</t>
  </si>
  <si>
    <t>HABILITACION DE VIAS Y CONSTRUCCION DE PUENTE LARE</t>
  </si>
  <si>
    <t>1020230304</t>
  </si>
  <si>
    <t>Etiquetas de fila</t>
  </si>
  <si>
    <t>Suma de Impte.MS</t>
  </si>
  <si>
    <t>Suma de Quitar</t>
  </si>
  <si>
    <t>3323000534</t>
  </si>
  <si>
    <t>RECONSTRUCCION DE VIAS ARENA DULCE</t>
  </si>
  <si>
    <t>1020230004</t>
  </si>
  <si>
    <t>3323000535</t>
  </si>
  <si>
    <t>RECONSTRUCCION DE VIAS LAREDO</t>
  </si>
  <si>
    <t>3324000391</t>
  </si>
  <si>
    <t>A005</t>
  </si>
  <si>
    <t>DOBLE MANGUERA HENRY J FILT19 - INFRAESTRUCTURA</t>
  </si>
  <si>
    <t>300000227</t>
  </si>
  <si>
    <t>1020231103</t>
  </si>
  <si>
    <t>3324000392</t>
  </si>
  <si>
    <t>DOBLE MANGUERA CASCAJAL F1 - INFRAESTRUCTURA</t>
  </si>
  <si>
    <t>1020230402</t>
  </si>
  <si>
    <t>3324000393</t>
  </si>
  <si>
    <t>DOBLE MANGUERA CASCAJAL F2 - INFRAESTRUCTURA</t>
  </si>
  <si>
    <t>1020231101</t>
  </si>
  <si>
    <t>3324000394</t>
  </si>
  <si>
    <t>DOBLE MANGUERA HACIENDA REAL F8 - INFRAESTRUCTURA</t>
  </si>
  <si>
    <t>1020231102</t>
  </si>
  <si>
    <t>3324000395</t>
  </si>
  <si>
    <t>DOBLE MANGUERA HACIENDA REAL F10 - INFRAESTRUCTURA</t>
  </si>
  <si>
    <t>3324000396</t>
  </si>
  <si>
    <t>DOBLE MANGUERA PALMIRA  F13 - INFRAESTRUCTURA</t>
  </si>
  <si>
    <t>1020231201</t>
  </si>
  <si>
    <t>3324000397</t>
  </si>
  <si>
    <t>DOBLE MANGUERA DON ALBERTO  F15 - INFRAESTRUCTURA</t>
  </si>
  <si>
    <t>1020231203</t>
  </si>
  <si>
    <t>3324000398</t>
  </si>
  <si>
    <t>DOBLE MANGUERA DON ALBERTO  F16 - INFRAESTRUCTURA</t>
  </si>
  <si>
    <t>1020231210</t>
  </si>
  <si>
    <t>3324000399</t>
  </si>
  <si>
    <t>DOBLE MANGUERA DON ALBERTO  F17 - INFRAESTRUCTURA</t>
  </si>
  <si>
    <t>1020231221</t>
  </si>
  <si>
    <t>3324000400</t>
  </si>
  <si>
    <t>DOBLE MANGUERA HENRY J F20 - INFRAESTRUCTURA</t>
  </si>
  <si>
    <t>1020231303</t>
  </si>
  <si>
    <t>3324000401</t>
  </si>
  <si>
    <t>DOBLE MANGUERA HENRY J F21 - INFRAESTRUCTURA</t>
  </si>
  <si>
    <t>1020231304</t>
  </si>
  <si>
    <t>3324000402</t>
  </si>
  <si>
    <t>DOBLE MANGUERA HENRY J F22 - INFRAESTRUCTURA</t>
  </si>
  <si>
    <t>Total general</t>
  </si>
  <si>
    <t>3324000403</t>
  </si>
  <si>
    <t>POZO TUBULAR NUEVO CAMPO ESPINAL JR 2 CTL 5</t>
  </si>
  <si>
    <t>3324000404</t>
  </si>
  <si>
    <t>CONSTRUCCION TORRE VENTADA 9M</t>
  </si>
  <si>
    <t>3324000405</t>
  </si>
  <si>
    <t>ADECUACION Y HABILITACIÓN DE NUEVAS VIAS ARENA DUL</t>
  </si>
  <si>
    <t>3324000406</t>
  </si>
  <si>
    <t>HABILITACION DE VIAS CAMPO ARENA DULCE</t>
  </si>
  <si>
    <t>3324000407</t>
  </si>
  <si>
    <t>HABILITACION DE VIAS CAMPO CORTIJO</t>
  </si>
  <si>
    <t>3324000408</t>
  </si>
  <si>
    <t>HABILITACION DE VIAS CAMPO VIRU</t>
  </si>
  <si>
    <t>3331004812</t>
  </si>
  <si>
    <t>A006</t>
  </si>
  <si>
    <t>DOBLE MANGUERA HENRY J F19 - MANGUERA</t>
  </si>
  <si>
    <t>300000233</t>
  </si>
  <si>
    <t>3331004813</t>
  </si>
  <si>
    <t>DOBLE MANGUERA CASCAJAL J F1 - MANGUERA</t>
  </si>
  <si>
    <t>3331004814</t>
  </si>
  <si>
    <t>DOBLE MANGUERA CASCAJAL J F2 - MANGUERA</t>
  </si>
  <si>
    <t>3331004815</t>
  </si>
  <si>
    <t>DOBLE MANGUERA HACIENDA REAL F8 - MANGUERA</t>
  </si>
  <si>
    <t>3331004816</t>
  </si>
  <si>
    <t>DOBLE MANGUERA HACIENDA REAL F10 - MANGUERA</t>
  </si>
  <si>
    <t>3331004817</t>
  </si>
  <si>
    <t>DOBLE MANGUERA PALMIRA F13 - MANGUERA</t>
  </si>
  <si>
    <t>3331004818</t>
  </si>
  <si>
    <t>DOBLE MANGUERA DON ALBERTO F15 - MANGUERA</t>
  </si>
  <si>
    <t>3331004819</t>
  </si>
  <si>
    <t>DOBLE MANGUERA DON ALBERTO F16 - MANGUERA</t>
  </si>
  <si>
    <t>3331004820</t>
  </si>
  <si>
    <t>DOBLE MANGUERA DON ALBERTO F17 - MANGUERA</t>
  </si>
  <si>
    <t>3331004821</t>
  </si>
  <si>
    <t>DOBLE MANGUERA HENRY J F20 - MANGUERA</t>
  </si>
  <si>
    <t>3331004822</t>
  </si>
  <si>
    <t>DOBLE MANGUERA HENRY J F21 - MANGUERA</t>
  </si>
  <si>
    <t>3331004823</t>
  </si>
  <si>
    <t>DOBLE MANGUERA HENRY J F22 - MANGUERA</t>
  </si>
  <si>
    <t>3331004824</t>
  </si>
  <si>
    <t>TRANSFORMADOR GyR ELECTRIC</t>
  </si>
  <si>
    <t>3331004825</t>
  </si>
  <si>
    <t>OVERHAUL COSECHADORA ORUGA JHON DEERE</t>
  </si>
  <si>
    <t>3331004826</t>
  </si>
  <si>
    <t>OVERHAUL COSECHADORA DE CAÑA JOHN DEERE CH570</t>
  </si>
  <si>
    <t>3331004827</t>
  </si>
  <si>
    <t>OVERHAUL COSECHADORA JOHN DEERE</t>
  </si>
  <si>
    <t>3331004828</t>
  </si>
  <si>
    <t>Hidrociclones Pozo Alfredo</t>
  </si>
  <si>
    <t>3331004829</t>
  </si>
  <si>
    <t>Hidrociclones Pozos Espinal</t>
  </si>
  <si>
    <t>3331004830</t>
  </si>
  <si>
    <t>Hidrociclones Pozos S. Idelfonso</t>
  </si>
  <si>
    <t>3331004831</t>
  </si>
  <si>
    <t>TANQUE CISTERNA AGUA CONTRA INCENDIOS</t>
  </si>
  <si>
    <t>3369001559</t>
  </si>
  <si>
    <t>A014</t>
  </si>
  <si>
    <t>FIREWALL FORTINET 90G</t>
  </si>
  <si>
    <t>300000242</t>
  </si>
  <si>
    <t>3369001560</t>
  </si>
  <si>
    <t>TABLET INDUSTRIAL ZEBRA ET65AW</t>
  </si>
  <si>
    <t>3369001561</t>
  </si>
  <si>
    <t>KIT MEDIDOR DE ACEITE MULTISYSTEM 4070</t>
  </si>
  <si>
    <t>3369001562</t>
  </si>
  <si>
    <t>KIT MONITOREO CONDICION DE ACEITE CX197</t>
  </si>
  <si>
    <t>3369001563</t>
  </si>
  <si>
    <t>DIALIZADOR DE ACEITE Y CUENTA PARTICULAS</t>
  </si>
  <si>
    <t>3369001567</t>
  </si>
  <si>
    <t>TALGIL RF CENTER OF DREAM - RADIO RTU GV</t>
  </si>
  <si>
    <t>3369001568</t>
  </si>
  <si>
    <t>TALGIL RTU RADIO 8 OUT DC/0 IN (8/0) GV</t>
  </si>
  <si>
    <t>3369001569</t>
  </si>
  <si>
    <t>TURBIDIMETRO HAACH</t>
  </si>
  <si>
    <t>3369001570</t>
  </si>
  <si>
    <t>CENTRALIZACIÓN DREAM 2</t>
  </si>
  <si>
    <t>3369001571</t>
  </si>
  <si>
    <t>Transformador Trifasico 850 KVA</t>
  </si>
  <si>
    <t>3369001574</t>
  </si>
  <si>
    <t>LAVADORA Y SECADORA HISENSE</t>
  </si>
  <si>
    <t>3369001575</t>
  </si>
  <si>
    <t>PISOS DE GOMA SALA DE ORDEÑO #2</t>
  </si>
  <si>
    <t>3369001576</t>
  </si>
  <si>
    <t>AIRE ACONDICIONADO COLDPOINT</t>
  </si>
  <si>
    <t>3369001577</t>
  </si>
  <si>
    <t>AIRE ACONDICIONADO 48000 BTU/H</t>
  </si>
  <si>
    <t>3369001578</t>
  </si>
  <si>
    <t>PC DESKTOP COMPATIBLE</t>
  </si>
  <si>
    <t>3369001579</t>
  </si>
  <si>
    <t>PLOTTER HP DE 44 PULGADAS</t>
  </si>
  <si>
    <t>3369001581</t>
  </si>
  <si>
    <t>CAMARAS INTERNA Y EXTERNA GPS JIMI</t>
  </si>
  <si>
    <t>3369001583</t>
  </si>
  <si>
    <t>UPS MODULAR DE 10KVA MONO</t>
  </si>
  <si>
    <t>3491000003</t>
  </si>
  <si>
    <t>I003</t>
  </si>
  <si>
    <t>PROYECTO SOLINFTEC</t>
  </si>
  <si>
    <t>300000236</t>
  </si>
  <si>
    <t>1020231215</t>
  </si>
  <si>
    <t>1020231207</t>
  </si>
  <si>
    <t>1020231222</t>
  </si>
  <si>
    <t>1020231209</t>
  </si>
  <si>
    <t>1020231213</t>
  </si>
  <si>
    <t>1020230401</t>
  </si>
  <si>
    <t>1020231001</t>
  </si>
  <si>
    <t>1020231204</t>
  </si>
  <si>
    <t>1020231211</t>
  </si>
  <si>
    <t>1020230001</t>
  </si>
  <si>
    <t>1020231212</t>
  </si>
  <si>
    <t>1020231105</t>
  </si>
  <si>
    <t>1020230709</t>
  </si>
  <si>
    <t>1020230204</t>
  </si>
  <si>
    <t>1020231301</t>
  </si>
  <si>
    <t>1020231214</t>
  </si>
  <si>
    <t>1020230701</t>
  </si>
  <si>
    <t>1020231208</t>
  </si>
  <si>
    <t>1020231104</t>
  </si>
  <si>
    <t>1020231401</t>
  </si>
  <si>
    <t>1020231205</t>
  </si>
  <si>
    <t>1020231220</t>
  </si>
  <si>
    <t>1020231206</t>
  </si>
  <si>
    <t>1020230403</t>
  </si>
  <si>
    <t>1020230306</t>
  </si>
  <si>
    <t>1020230003</t>
  </si>
  <si>
    <t>1020230501</t>
  </si>
  <si>
    <t>1020231219</t>
  </si>
  <si>
    <t>1020230305</t>
  </si>
  <si>
    <t>1020231305</t>
  </si>
  <si>
    <t>1020230601</t>
  </si>
  <si>
    <t>1020231501</t>
  </si>
  <si>
    <t>1020231601</t>
  </si>
  <si>
    <t>1020230308</t>
  </si>
  <si>
    <t>1020230602</t>
  </si>
  <si>
    <t>Codg</t>
  </si>
  <si>
    <t>(en blanco)</t>
  </si>
  <si>
    <t>1020231302</t>
  </si>
  <si>
    <t>VL_TOTAL1</t>
  </si>
  <si>
    <t>6841500004</t>
  </si>
  <si>
    <t>Dep equipos diversos</t>
  </si>
  <si>
    <t>DepEdific producción</t>
  </si>
  <si>
    <t>DeprEdific instalac</t>
  </si>
  <si>
    <t>DepMaq. EquipExplot</t>
  </si>
  <si>
    <t>Amort otros act inta</t>
  </si>
  <si>
    <t>Depreciación edificaciones para producción M</t>
  </si>
  <si>
    <t>Depreciación edificaciones instalaciones M</t>
  </si>
  <si>
    <t>DeprEdific instalac M</t>
  </si>
  <si>
    <t>DepEdific producción M</t>
  </si>
  <si>
    <t>DepMaq. EquipExplot M</t>
  </si>
  <si>
    <t>Dep equipos diversos M</t>
  </si>
  <si>
    <t>Amort otros act inta M</t>
  </si>
  <si>
    <t>Depre. maquinaria y equipos de explotación M</t>
  </si>
  <si>
    <t>Depreciación equipos diversos M</t>
  </si>
  <si>
    <t>Amortización otros activos intangibles - Costo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</si>
</sst>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22" fontId="0" fillId="0" borderId="0" xfId="0" applyNumberFormat="1"/>
    <xf numFmtId="4" fontId="0" fillId="0" borderId="0" xfId="0" applyNumberFormat="1"/>
    <xf numFmtId="0" fontId="0" fillId="0" borderId="0" xfId="0" applyAlignment="1">
      <alignment vertical="top"/>
    </xf>
    <xf numFmtId="43" fontId="19" fillId="0" borderId="0" xfId="42" applyFont="1" applyAlignment="1">
      <alignment vertical="top"/>
    </xf>
    <xf numFmtId="0" fontId="18" fillId="0" borderId="0" xfId="0" applyFont="1" applyAlignment="1">
      <alignment vertical="top"/>
    </xf>
    <xf numFmtId="43" fontId="19" fillId="33" borderId="0" xfId="42" applyFont="1" applyFill="1" applyAlignment="1">
      <alignment vertical="top"/>
    </xf>
    <xf numFmtId="0" fontId="19" fillId="33" borderId="0" xfId="0" applyFont="1" applyFill="1" applyAlignment="1">
      <alignment vertical="top"/>
    </xf>
    <xf numFmtId="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42" applyFont="1" applyAlignment="1">
      <alignment vertical="top"/>
    </xf>
    <xf numFmtId="43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pivotButton="1" applyAlignment="1">
      <alignment vertical="top"/>
    </xf>
    <xf numFmtId="49" fontId="0" fillId="0" borderId="0" xfId="0" applyNumberFormat="1"/>
    <xf numFmtId="0" fontId="0" fillId="33" borderId="0" xfId="0" applyFill="1" applyAlignment="1">
      <alignment vertical="top"/>
    </xf>
    <xf numFmtId="4" fontId="0" fillId="33" borderId="0" xfId="0" applyNumberFormat="1" applyFill="1" applyAlignment="1">
      <alignment vertical="top"/>
    </xf>
    <xf numFmtId="14" fontId="0" fillId="33" borderId="0" xfId="0" applyNumberFormat="1" applyFill="1" applyAlignment="1">
      <alignment vertical="top"/>
    </xf>
    <xf numFmtId="43" fontId="0" fillId="33" borderId="0" xfId="42" applyFont="1" applyFill="1" applyAlignment="1">
      <alignment vertical="top"/>
    </xf>
    <xf numFmtId="43" fontId="0" fillId="33" borderId="0" xfId="0" applyNumberFormat="1" applyFill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33" borderId="0" xfId="0" applyFill="1"/>
    <xf numFmtId="22" fontId="0" fillId="33" borderId="0" xfId="0" applyNumberFormat="1" applyFill="1"/>
    <xf numFmtId="49" fontId="0" fillId="33" borderId="0" xfId="0" applyNumberFormat="1" applyFill="1"/>
    <xf numFmtId="4" fontId="0" fillId="33" borderId="0" xfId="0" applyNumberFormat="1" applyFill="1"/>
    <xf numFmtId="43" fontId="0" fillId="33" borderId="0" xfId="0" applyNumberFormat="1" applyFill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AYOR%20DEPRECIACION%2010.2025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Anthony Velasquez Vasquez" refreshedDate="45967.624173495373" createdVersion="8" refreshedVersion="8" minRefreshableVersion="3" recordCount="61" xr:uid="{3FD2A403-5834-497C-B2F4-ED5A04F7F34B}">
  <cacheSource type="worksheet">
    <worksheetSource ref="B4:K65" sheet="Hoja1" r:id="rId2"/>
  </cacheSource>
  <cacheFields count="10">
    <cacheField name="Act.fijo" numFmtId="0">
      <sharedItems/>
    </cacheField>
    <cacheField name="Subnúmero" numFmtId="0">
      <sharedItems/>
    </cacheField>
    <cacheField name="Det.ctas." numFmtId="0">
      <sharedItems/>
    </cacheField>
    <cacheField name="Nombre" numFmtId="0">
      <sharedItems/>
    </cacheField>
    <cacheField name="Nº doc." numFmtId="0">
      <sharedItems/>
    </cacheField>
    <cacheField name="Denominación" numFmtId="0">
      <sharedItems/>
    </cacheField>
    <cacheField name="Período" numFmtId="0">
      <sharedItems/>
    </cacheField>
    <cacheField name="Impte.MS" numFmtId="0">
      <sharedItems containsSemiMixedTypes="0" containsString="0" containsNumber="1" minValue="-74028.63" maxValue="-110.27"/>
    </cacheField>
    <cacheField name="Mon.soc." numFmtId="0">
      <sharedItems/>
    </cacheField>
    <cacheField name="ceco" numFmtId="0">
      <sharedItems count="13">
        <s v="1020230301"/>
        <s v="1020230304"/>
        <s v="1020231103"/>
        <s v="1020231210"/>
        <s v="1020231303"/>
        <s v="1020231101"/>
        <s v="1020230402"/>
        <s v="1020231102"/>
        <s v="1020231221"/>
        <s v="1020231304"/>
        <s v="1020231203"/>
        <s v="1020231201"/>
        <s v="10202300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Luis Laiza Gamboa" refreshedDate="45968.33566759259" createdVersion="8" refreshedVersion="8" minRefreshableVersion="3" recordCount="61" xr:uid="{B1A79AF3-5850-445A-ACFA-B2540DB21049}">
  <cacheSource type="worksheet">
    <worksheetSource ref="A2:N63" sheet="SAP"/>
  </cacheSource>
  <cacheFields count="14">
    <cacheField name="Act.fijo" numFmtId="0">
      <sharedItems count="61">
        <s v="3323000532"/>
        <s v="3323000533"/>
        <s v="3323000534"/>
        <s v="3323000535"/>
        <s v="3324000391"/>
        <s v="3324000392"/>
        <s v="3324000393"/>
        <s v="3324000394"/>
        <s v="3324000395"/>
        <s v="3324000396"/>
        <s v="3324000397"/>
        <s v="3324000398"/>
        <s v="3324000399"/>
        <s v="3324000400"/>
        <s v="3324000401"/>
        <s v="3324000402"/>
        <s v="3324000403"/>
        <s v="3324000404"/>
        <s v="3324000405"/>
        <s v="3324000406"/>
        <s v="3324000407"/>
        <s v="3324000408"/>
        <s v="3331004812"/>
        <s v="3331004813"/>
        <s v="3331004814"/>
        <s v="3331004815"/>
        <s v="3331004816"/>
        <s v="3331004817"/>
        <s v="3331004818"/>
        <s v="3331004819"/>
        <s v="3331004820"/>
        <s v="3331004821"/>
        <s v="3331004822"/>
        <s v="3331004823"/>
        <s v="3331004824"/>
        <s v="3331004825"/>
        <s v="3331004826"/>
        <s v="3331004827"/>
        <s v="3331004828"/>
        <s v="3331004829"/>
        <s v="3331004830"/>
        <s v="3331004831"/>
        <s v="3369001559"/>
        <s v="3369001560"/>
        <s v="3369001561"/>
        <s v="3369001562"/>
        <s v="3369001563"/>
        <s v="3369001567"/>
        <s v="3369001568"/>
        <s v="3369001569"/>
        <s v="3369001570"/>
        <s v="3369001571"/>
        <s v="3369001574"/>
        <s v="3369001575"/>
        <s v="3369001576"/>
        <s v="3369001577"/>
        <s v="3369001578"/>
        <s v="3369001579"/>
        <s v="3369001581"/>
        <s v="3369001583"/>
        <s v="3491000003"/>
      </sharedItems>
    </cacheField>
    <cacheField name="Subnúmero" numFmtId="0">
      <sharedItems/>
    </cacheField>
    <cacheField name="Det.ctas." numFmtId="0">
      <sharedItems/>
    </cacheField>
    <cacheField name="Nombre" numFmtId="0">
      <sharedItems/>
    </cacheField>
    <cacheField name="Nº doc." numFmtId="0">
      <sharedItems/>
    </cacheField>
    <cacheField name="Denominación" numFmtId="0">
      <sharedItems/>
    </cacheField>
    <cacheField name="Período" numFmtId="0">
      <sharedItems/>
    </cacheField>
    <cacheField name="Impte.MS" numFmtId="0">
      <sharedItems containsSemiMixedTypes="0" containsString="0" containsNumber="1" minValue="-74028.63" maxValue="-110.27"/>
    </cacheField>
    <cacheField name="Mon.soc." numFmtId="0">
      <sharedItems/>
    </cacheField>
    <cacheField name="ceco" numFmtId="0">
      <sharedItems count="13">
        <s v="1020230301"/>
        <s v="1020230304"/>
        <s v="1020231103"/>
        <s v="1020231210"/>
        <s v="1020231303"/>
        <s v="1020231101"/>
        <s v="1020230402"/>
        <s v="1020231102"/>
        <s v="1020231221"/>
        <s v="1020231304"/>
        <s v="1020231203"/>
        <s v="1020231201"/>
        <s v="1020230004"/>
      </sharedItems>
    </cacheField>
    <cacheField name="fecha depreciacion" numFmtId="14">
      <sharedItems containsSemiMixedTypes="0" containsNonDate="0" containsDate="1" containsString="0" minDate="2025-01-01T00:00:00" maxDate="2025-09-02T00:00:00"/>
    </cacheField>
    <cacheField name="Mensual" numFmtId="43">
      <sharedItems containsSemiMixedTypes="0" containsString="0" containsNumber="1" minValue="-7402.8630000000003" maxValue="-18.18"/>
    </cacheField>
    <cacheField name="Quitar" numFmtId="43">
      <sharedItems containsSemiMixedTypes="0" containsString="0" containsNumber="1" minValue="-66625.767000000007" maxValue="-82.71"/>
    </cacheField>
    <cacheField name="Codg" numFmtId="0">
      <sharedItems containsString="0" containsBlank="1" containsNumber="1" containsInteger="1" minValue="1" maxValue="1" count="2">
        <m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3323000532"/>
    <s v="0"/>
    <s v="A004"/>
    <s v="CONSTRUCCION DE BAÑOS - COSECHA"/>
    <s v="300000226"/>
    <s v="Amortización normal"/>
    <s v="10"/>
    <n v="-11828.41"/>
    <s v="PEN"/>
    <x v="0"/>
  </r>
  <r>
    <s v="3323000533"/>
    <s v="0"/>
    <s v="A004"/>
    <s v="HABILITACION DE VIAS Y CONSTRUCCION DE PUENTE LARE"/>
    <s v="300000226"/>
    <s v="Amortización normal"/>
    <s v="10"/>
    <n v="-27047.43"/>
    <s v="PEN"/>
    <x v="1"/>
  </r>
  <r>
    <s v="3323000534"/>
    <s v="0"/>
    <s v="A004"/>
    <s v="RECONSTRUCCION DE VIAS ARENA DULCE"/>
    <s v="300000226"/>
    <s v="Amortización normal"/>
    <s v="10"/>
    <n v="-2395.0500000000002"/>
    <s v="PEN"/>
    <x v="1"/>
  </r>
  <r>
    <s v="3323000535"/>
    <s v="0"/>
    <s v="A004"/>
    <s v="RECONSTRUCCION DE VIAS LAREDO"/>
    <s v="300000226"/>
    <s v="Amortización normal"/>
    <s v="10"/>
    <n v="-21555.439999999999"/>
    <s v="PEN"/>
    <x v="1"/>
  </r>
  <r>
    <s v="3324000391"/>
    <s v="0"/>
    <s v="A005"/>
    <s v="DOBLE MANGUERA HENRY J FILT19 - INFRAESTRUCTURA"/>
    <s v="300000227"/>
    <s v="Amortización normal"/>
    <s v="10"/>
    <n v="-18251.93"/>
    <s v="PEN"/>
    <x v="2"/>
  </r>
  <r>
    <s v="3324000392"/>
    <s v="0"/>
    <s v="A005"/>
    <s v="DOBLE MANGUERA CASCAJAL F1 - INFRAESTRUCTURA"/>
    <s v="300000227"/>
    <s v="Amortización normal"/>
    <s v="10"/>
    <n v="-13220.67"/>
    <s v="PEN"/>
    <x v="2"/>
  </r>
  <r>
    <s v="3324000393"/>
    <s v="0"/>
    <s v="A005"/>
    <s v="DOBLE MANGUERA CASCAJAL F2 - INFRAESTRUCTURA"/>
    <s v="300000227"/>
    <s v="Amortización normal"/>
    <s v="10"/>
    <n v="-17432.150000000001"/>
    <s v="PEN"/>
    <x v="2"/>
  </r>
  <r>
    <s v="3324000394"/>
    <s v="0"/>
    <s v="A005"/>
    <s v="DOBLE MANGUERA HACIENDA REAL F8 - INFRAESTRUCTURA"/>
    <s v="300000227"/>
    <s v="Amortización normal"/>
    <s v="10"/>
    <n v="-22136.720000000001"/>
    <s v="PEN"/>
    <x v="2"/>
  </r>
  <r>
    <s v="3324000395"/>
    <s v="0"/>
    <s v="A005"/>
    <s v="DOBLE MANGUERA HACIENDA REAL F10 - INFRAESTRUCTURA"/>
    <s v="300000227"/>
    <s v="Amortización normal"/>
    <s v="10"/>
    <n v="-20509.32"/>
    <s v="PEN"/>
    <x v="2"/>
  </r>
  <r>
    <s v="3324000396"/>
    <s v="0"/>
    <s v="A005"/>
    <s v="DOBLE MANGUERA PALMIRA  F13 - INFRAESTRUCTURA"/>
    <s v="300000227"/>
    <s v="Amortización normal"/>
    <s v="10"/>
    <n v="-17170.82"/>
    <s v="PEN"/>
    <x v="2"/>
  </r>
  <r>
    <s v="3324000397"/>
    <s v="0"/>
    <s v="A005"/>
    <s v="DOBLE MANGUERA DON ALBERTO  F15 - INFRAESTRUCTURA"/>
    <s v="300000227"/>
    <s v="Amortización normal"/>
    <s v="10"/>
    <n v="-658.89"/>
    <s v="PEN"/>
    <x v="2"/>
  </r>
  <r>
    <s v="3324000398"/>
    <s v="0"/>
    <s v="A005"/>
    <s v="DOBLE MANGUERA DON ALBERTO  F16 - INFRAESTRUCTURA"/>
    <s v="300000227"/>
    <s v="Amortización normal"/>
    <s v="10"/>
    <n v="-16649.66"/>
    <s v="PEN"/>
    <x v="2"/>
  </r>
  <r>
    <s v="3324000399"/>
    <s v="0"/>
    <s v="A005"/>
    <s v="DOBLE MANGUERA DON ALBERTO  F17 - INFRAESTRUCTURA"/>
    <s v="300000227"/>
    <s v="Amortización normal"/>
    <s v="10"/>
    <n v="-19250.759999999998"/>
    <s v="PEN"/>
    <x v="2"/>
  </r>
  <r>
    <s v="3324000400"/>
    <s v="0"/>
    <s v="A005"/>
    <s v="DOBLE MANGUERA HENRY J F20 - INFRAESTRUCTURA"/>
    <s v="300000227"/>
    <s v="Amortización normal"/>
    <s v="10"/>
    <n v="-10557.88"/>
    <s v="PEN"/>
    <x v="2"/>
  </r>
  <r>
    <s v="3324000401"/>
    <s v="0"/>
    <s v="A005"/>
    <s v="DOBLE MANGUERA HENRY J F21 - INFRAESTRUCTURA"/>
    <s v="300000227"/>
    <s v="Amortización normal"/>
    <s v="10"/>
    <n v="-1848.94"/>
    <s v="PEN"/>
    <x v="2"/>
  </r>
  <r>
    <s v="3324000402"/>
    <s v="0"/>
    <s v="A005"/>
    <s v="DOBLE MANGUERA HENRY J F22 - INFRAESTRUCTURA"/>
    <s v="300000227"/>
    <s v="Amortización normal"/>
    <s v="10"/>
    <n v="-6407.9"/>
    <s v="PEN"/>
    <x v="2"/>
  </r>
  <r>
    <s v="3324000403"/>
    <s v="0"/>
    <s v="A005"/>
    <s v="POZO TUBULAR NUEVO CAMPO ESPINAL JR 2 CTL 5"/>
    <s v="300000227"/>
    <s v="Amortización normal"/>
    <s v="10"/>
    <n v="-4043.21"/>
    <s v="PEN"/>
    <x v="3"/>
  </r>
  <r>
    <s v="3324000404"/>
    <s v="0"/>
    <s v="A005"/>
    <s v="CONSTRUCCION TORRE VENTADA 9M"/>
    <s v="300000227"/>
    <s v="Amortización normal"/>
    <s v="10"/>
    <n v="-387.05"/>
    <s v="PEN"/>
    <x v="2"/>
  </r>
  <r>
    <s v="3324000405"/>
    <s v="0"/>
    <s v="A005"/>
    <s v="ADECUACION Y HABILITACIÓN DE NUEVAS VIAS ARENA DUL"/>
    <s v="300000227"/>
    <s v="Amortización normal"/>
    <s v="10"/>
    <n v="-278.31"/>
    <s v="PEN"/>
    <x v="2"/>
  </r>
  <r>
    <s v="3324000406"/>
    <s v="0"/>
    <s v="A005"/>
    <s v="HABILITACION DE VIAS CAMPO ARENA DULCE"/>
    <s v="300000227"/>
    <s v="Amortización normal"/>
    <s v="10"/>
    <n v="-3311.53"/>
    <s v="PEN"/>
    <x v="1"/>
  </r>
  <r>
    <s v="3324000407"/>
    <s v="0"/>
    <s v="A005"/>
    <s v="HABILITACION DE VIAS CAMPO CORTIJO"/>
    <s v="300000227"/>
    <s v="Amortización normal"/>
    <s v="10"/>
    <n v="-567.77"/>
    <s v="PEN"/>
    <x v="1"/>
  </r>
  <r>
    <s v="3324000408"/>
    <s v="0"/>
    <s v="A005"/>
    <s v="HABILITACION DE VIAS CAMPO VIRU"/>
    <s v="300000227"/>
    <s v="Amortización normal"/>
    <s v="10"/>
    <n v="-851.55"/>
    <s v="PEN"/>
    <x v="1"/>
  </r>
  <r>
    <s v="3331004812"/>
    <s v="0"/>
    <s v="A006"/>
    <s v="DOBLE MANGUERA HENRY J F19 - MANGUERA"/>
    <s v="300000233"/>
    <s v="Amortización normal"/>
    <s v="10"/>
    <n v="-43594.31"/>
    <s v="PEN"/>
    <x v="2"/>
  </r>
  <r>
    <s v="3331004813"/>
    <s v="0"/>
    <s v="A006"/>
    <s v="DOBLE MANGUERA CASCAJAL J F1 - MANGUERA"/>
    <s v="300000233"/>
    <s v="Amortización normal"/>
    <s v="10"/>
    <n v="-11168.27"/>
    <s v="PEN"/>
    <x v="2"/>
  </r>
  <r>
    <s v="3331004814"/>
    <s v="0"/>
    <s v="A006"/>
    <s v="DOBLE MANGUERA CASCAJAL J F2 - MANGUERA"/>
    <s v="300000233"/>
    <s v="Amortización normal"/>
    <s v="10"/>
    <n v="-57050.83"/>
    <s v="PEN"/>
    <x v="2"/>
  </r>
  <r>
    <s v="3331004815"/>
    <s v="0"/>
    <s v="A006"/>
    <s v="DOBLE MANGUERA HACIENDA REAL F8 - MANGUERA"/>
    <s v="300000233"/>
    <s v="Amortización normal"/>
    <s v="10"/>
    <n v="-61644.76"/>
    <s v="PEN"/>
    <x v="2"/>
  </r>
  <r>
    <s v="3331004816"/>
    <s v="0"/>
    <s v="A006"/>
    <s v="DOBLE MANGUERA HACIENDA REAL F10 - MANGUERA"/>
    <s v="300000233"/>
    <s v="Amortización normal"/>
    <s v="10"/>
    <n v="-74028.63"/>
    <s v="PEN"/>
    <x v="2"/>
  </r>
  <r>
    <s v="3331004817"/>
    <s v="0"/>
    <s v="A006"/>
    <s v="DOBLE MANGUERA PALMIRA F13 - MANGUERA"/>
    <s v="300000233"/>
    <s v="Amortización normal"/>
    <s v="10"/>
    <n v="-64228.75"/>
    <s v="PEN"/>
    <x v="2"/>
  </r>
  <r>
    <s v="3331004818"/>
    <s v="0"/>
    <s v="A006"/>
    <s v="DOBLE MANGUERA DON ALBERTO F15 - MANGUERA"/>
    <s v="300000233"/>
    <s v="Amortización normal"/>
    <s v="10"/>
    <n v="-1711.94"/>
    <s v="PEN"/>
    <x v="2"/>
  </r>
  <r>
    <s v="3331004819"/>
    <s v="0"/>
    <s v="A006"/>
    <s v="DOBLE MANGUERA DON ALBERTO F16 - MANGUERA"/>
    <s v="300000233"/>
    <s v="Amortización normal"/>
    <s v="10"/>
    <n v="-55277.58"/>
    <s v="PEN"/>
    <x v="2"/>
  </r>
  <r>
    <s v="3331004820"/>
    <s v="0"/>
    <s v="A006"/>
    <s v="DOBLE MANGUERA DON ALBERTO F17 - MANGUERA"/>
    <s v="300000233"/>
    <s v="Amortización normal"/>
    <s v="10"/>
    <n v="-65587.95"/>
    <s v="PEN"/>
    <x v="2"/>
  </r>
  <r>
    <s v="3331004821"/>
    <s v="0"/>
    <s v="A006"/>
    <s v="DOBLE MANGUERA HENRY J F20 - MANGUERA"/>
    <s v="300000233"/>
    <s v="Amortización normal"/>
    <s v="10"/>
    <n v="-45444.92"/>
    <s v="PEN"/>
    <x v="2"/>
  </r>
  <r>
    <s v="3331004822"/>
    <s v="0"/>
    <s v="A006"/>
    <s v="DOBLE MANGUERA HENRY J F21 - MANGUERA"/>
    <s v="300000233"/>
    <s v="Amortización normal"/>
    <s v="10"/>
    <n v="-6511.06"/>
    <s v="PEN"/>
    <x v="2"/>
  </r>
  <r>
    <s v="3331004823"/>
    <s v="0"/>
    <s v="A006"/>
    <s v="DOBLE MANGUERA HENRY J F22 - MANGUERA"/>
    <s v="300000233"/>
    <s v="Amortización normal"/>
    <s v="10"/>
    <n v="-6293.38"/>
    <s v="PEN"/>
    <x v="2"/>
  </r>
  <r>
    <s v="3331004824"/>
    <s v="0"/>
    <s v="A006"/>
    <s v="TRANSFORMADOR GyR ELECTRIC"/>
    <s v="300000233"/>
    <s v="Amortización normal"/>
    <s v="10"/>
    <n v="-356.96"/>
    <s v="PEN"/>
    <x v="4"/>
  </r>
  <r>
    <s v="3331004825"/>
    <s v="0"/>
    <s v="A006"/>
    <s v="OVERHAUL COSECHADORA ORUGA JHON DEERE"/>
    <s v="300000233"/>
    <s v="Amortización normal"/>
    <s v="10"/>
    <n v="-22724.34"/>
    <s v="PEN"/>
    <x v="1"/>
  </r>
  <r>
    <s v="3331004826"/>
    <s v="0"/>
    <s v="A006"/>
    <s v="OVERHAUL COSECHADORA DE CAÑA JOHN DEERE CH570"/>
    <s v="300000233"/>
    <s v="Amortización normal"/>
    <s v="10"/>
    <n v="-2449.8000000000002"/>
    <s v="PEN"/>
    <x v="1"/>
  </r>
  <r>
    <s v="3331004827"/>
    <s v="0"/>
    <s v="A006"/>
    <s v="OVERHAUL COSECHADORA JOHN DEERE"/>
    <s v="300000233"/>
    <s v="Amortización normal"/>
    <s v="10"/>
    <n v="-57403.73"/>
    <s v="PEN"/>
    <x v="1"/>
  </r>
  <r>
    <s v="3331004828"/>
    <s v="0"/>
    <s v="A006"/>
    <s v="Hidrociclones Pozo Alfredo"/>
    <s v="300000233"/>
    <s v="Amortización normal"/>
    <s v="10"/>
    <n v="-3200.16"/>
    <s v="PEN"/>
    <x v="3"/>
  </r>
  <r>
    <s v="3331004829"/>
    <s v="0"/>
    <s v="A006"/>
    <s v="Hidrociclones Pozos Espinal"/>
    <s v="300000233"/>
    <s v="Amortización normal"/>
    <s v="10"/>
    <n v="-2611.4499999999998"/>
    <s v="PEN"/>
    <x v="3"/>
  </r>
  <r>
    <s v="3331004830"/>
    <s v="0"/>
    <s v="A006"/>
    <s v="Hidrociclones Pozos S. Idelfonso"/>
    <s v="300000233"/>
    <s v="Amortización normal"/>
    <s v="10"/>
    <n v="-3783.79"/>
    <s v="PEN"/>
    <x v="3"/>
  </r>
  <r>
    <s v="3331004831"/>
    <s v="0"/>
    <s v="A006"/>
    <s v="TANQUE CISTERNA AGUA CONTRA INCENDIOS"/>
    <s v="300000233"/>
    <s v="Amortización normal"/>
    <s v="10"/>
    <n v="-14293.22"/>
    <s v="PEN"/>
    <x v="1"/>
  </r>
  <r>
    <s v="3369001559"/>
    <s v="0"/>
    <s v="A014"/>
    <s v="FIREWALL FORTINET 90G"/>
    <s v="300000242"/>
    <s v="Amortización normal"/>
    <s v="10"/>
    <n v="-645.62"/>
    <s v="PEN"/>
    <x v="5"/>
  </r>
  <r>
    <s v="3369001560"/>
    <s v="0"/>
    <s v="A014"/>
    <s v="TABLET INDUSTRIAL ZEBRA ET65AW"/>
    <s v="300000242"/>
    <s v="Amortización normal"/>
    <s v="10"/>
    <n v="-2222.48"/>
    <s v="PEN"/>
    <x v="6"/>
  </r>
  <r>
    <s v="3369001561"/>
    <s v="0"/>
    <s v="A014"/>
    <s v="KIT MEDIDOR DE ACEITE MULTISYSTEM 4070"/>
    <s v="300000242"/>
    <s v="Amortización normal"/>
    <s v="10"/>
    <n v="-5790.48"/>
    <s v="PEN"/>
    <x v="6"/>
  </r>
  <r>
    <s v="3369001562"/>
    <s v="0"/>
    <s v="A014"/>
    <s v="KIT MONITOREO CONDICION DE ACEITE CX197"/>
    <s v="300000242"/>
    <s v="Amortización normal"/>
    <s v="10"/>
    <n v="-7408.96"/>
    <s v="PEN"/>
    <x v="6"/>
  </r>
  <r>
    <s v="3369001563"/>
    <s v="0"/>
    <s v="A014"/>
    <s v="DIALIZADOR DE ACEITE Y CUENTA PARTICULAS"/>
    <s v="300000242"/>
    <s v="Amortización normal"/>
    <s v="10"/>
    <n v="-5761.66"/>
    <s v="PEN"/>
    <x v="6"/>
  </r>
  <r>
    <s v="3369001567"/>
    <s v="0"/>
    <s v="A014"/>
    <s v="TALGIL RF CENTER OF DREAM - RADIO RTU GV"/>
    <s v="300000242"/>
    <s v="Amortización normal"/>
    <s v="10"/>
    <n v="-250.78"/>
    <s v="PEN"/>
    <x v="7"/>
  </r>
  <r>
    <s v="3369001568"/>
    <s v="0"/>
    <s v="A014"/>
    <s v="TALGIL RTU RADIO 8 OUT DC/0 IN (8/0) GV"/>
    <s v="300000242"/>
    <s v="Amortización normal"/>
    <s v="10"/>
    <n v="-441.93"/>
    <s v="PEN"/>
    <x v="5"/>
  </r>
  <r>
    <s v="3369001569"/>
    <s v="0"/>
    <s v="A014"/>
    <s v="TURBIDIMETRO HAACH"/>
    <s v="300000242"/>
    <s v="Amortización normal"/>
    <s v="10"/>
    <n v="-373.58"/>
    <s v="PEN"/>
    <x v="2"/>
  </r>
  <r>
    <s v="3369001570"/>
    <s v="0"/>
    <s v="A014"/>
    <s v="CENTRALIZACIÓN DREAM 2"/>
    <s v="300000242"/>
    <s v="Amortización normal"/>
    <s v="10"/>
    <n v="-4856.21"/>
    <s v="PEN"/>
    <x v="2"/>
  </r>
  <r>
    <s v="3369001571"/>
    <s v="0"/>
    <s v="A014"/>
    <s v="Transformador Trifasico 850 KVA"/>
    <s v="300000242"/>
    <s v="Amortización normal"/>
    <s v="10"/>
    <n v="-4030.89"/>
    <s v="PEN"/>
    <x v="2"/>
  </r>
  <r>
    <s v="3369001574"/>
    <s v="0"/>
    <s v="A014"/>
    <s v="LAVADORA Y SECADORA HISENSE"/>
    <s v="300000242"/>
    <s v="Amortización normal"/>
    <s v="10"/>
    <n v="-110.27"/>
    <s v="PEN"/>
    <x v="8"/>
  </r>
  <r>
    <s v="3369001575"/>
    <s v="0"/>
    <s v="A014"/>
    <s v="PISOS DE GOMA SALA DE ORDEÑO #2"/>
    <s v="300000242"/>
    <s v="Amortización normal"/>
    <s v="10"/>
    <n v="-13227.74"/>
    <s v="PEN"/>
    <x v="8"/>
  </r>
  <r>
    <s v="3369001576"/>
    <s v="0"/>
    <s v="A014"/>
    <s v="AIRE ACONDICIONADO COLDPOINT"/>
    <s v="300000242"/>
    <s v="Amortización normal"/>
    <s v="10"/>
    <n v="-163.66999999999999"/>
    <s v="PEN"/>
    <x v="8"/>
  </r>
  <r>
    <s v="3369001577"/>
    <s v="0"/>
    <s v="A014"/>
    <s v="AIRE ACONDICIONADO 48000 BTU/H"/>
    <s v="300000242"/>
    <s v="Amortización normal"/>
    <s v="10"/>
    <n v="-3405.66"/>
    <s v="PEN"/>
    <x v="9"/>
  </r>
  <r>
    <s v="3369001578"/>
    <s v="0"/>
    <s v="A014"/>
    <s v="PC DESKTOP COMPATIBLE"/>
    <s v="300000242"/>
    <s v="Amortización normal"/>
    <s v="10"/>
    <n v="-2070.89"/>
    <s v="PEN"/>
    <x v="10"/>
  </r>
  <r>
    <s v="3369001579"/>
    <s v="0"/>
    <s v="A014"/>
    <s v="PLOTTER HP DE 44 PULGADAS"/>
    <s v="300000242"/>
    <s v="Amortización normal"/>
    <s v="10"/>
    <n v="-7599.61"/>
    <s v="PEN"/>
    <x v="10"/>
  </r>
  <r>
    <s v="3369001581"/>
    <s v="0"/>
    <s v="A014"/>
    <s v="CAMARAS INTERNA Y EXTERNA GPS JIMI"/>
    <s v="300000242"/>
    <s v="Amortización normal"/>
    <s v="10"/>
    <n v="-4877.59"/>
    <s v="PEN"/>
    <x v="11"/>
  </r>
  <r>
    <s v="3369001583"/>
    <s v="0"/>
    <s v="A014"/>
    <s v="UPS MODULAR DE 10KVA MONO"/>
    <s v="300000242"/>
    <s v="Amortización normal"/>
    <s v="10"/>
    <n v="-783.85"/>
    <s v="PEN"/>
    <x v="12"/>
  </r>
  <r>
    <s v="3491000003"/>
    <s v="0"/>
    <s v="I003"/>
    <s v="PROYECTO SOLINFTEC"/>
    <s v="300000236"/>
    <s v="Amortización normal"/>
    <s v="10"/>
    <n v="-17134.79"/>
    <s v="PEN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s v="0"/>
    <s v="A004"/>
    <s v="CONSTRUCCION DE BAÑOS - COSECHA"/>
    <s v="300000226"/>
    <s v="Amortización normal"/>
    <s v="10"/>
    <n v="-11828.41"/>
    <s v="PEN"/>
    <x v="0"/>
    <d v="2025-01-01T00:00:00"/>
    <n v="-1182.8409999999999"/>
    <n v="-10645.569"/>
    <x v="0"/>
  </r>
  <r>
    <x v="1"/>
    <s v="0"/>
    <s v="A004"/>
    <s v="HABILITACION DE VIAS Y CONSTRUCCION DE PUENTE LARE"/>
    <s v="300000226"/>
    <s v="Amortización normal"/>
    <s v="10"/>
    <n v="-27047.43"/>
    <s v="PEN"/>
    <x v="1"/>
    <d v="2025-01-01T00:00:00"/>
    <n v="-2704.7429999999999"/>
    <n v="-24342.687000000002"/>
    <x v="0"/>
  </r>
  <r>
    <x v="2"/>
    <s v="0"/>
    <s v="A004"/>
    <s v="RECONSTRUCCION DE VIAS ARENA DULCE"/>
    <s v="300000226"/>
    <s v="Amortización normal"/>
    <s v="10"/>
    <n v="-2395.0500000000002"/>
    <s v="PEN"/>
    <x v="1"/>
    <d v="2025-01-01T00:00:00"/>
    <n v="-239.50500000000002"/>
    <n v="-2155.5450000000001"/>
    <x v="0"/>
  </r>
  <r>
    <x v="3"/>
    <s v="0"/>
    <s v="A004"/>
    <s v="RECONSTRUCCION DE VIAS LAREDO"/>
    <s v="300000226"/>
    <s v="Amortización normal"/>
    <s v="10"/>
    <n v="-21555.439999999999"/>
    <s v="PEN"/>
    <x v="1"/>
    <d v="2025-01-01T00:00:00"/>
    <n v="-2155.5439999999999"/>
    <n v="-19399.896000000001"/>
    <x v="0"/>
  </r>
  <r>
    <x v="4"/>
    <s v="0"/>
    <s v="A005"/>
    <s v="DOBLE MANGUERA HENRY J FILT19 - INFRAESTRUCTURA"/>
    <s v="300000227"/>
    <s v="Amortización normal"/>
    <s v="10"/>
    <n v="-18251.93"/>
    <s v="PEN"/>
    <x v="2"/>
    <d v="2025-01-01T00:00:00"/>
    <n v="-1825.193"/>
    <n v="-16426.737000000001"/>
    <x v="0"/>
  </r>
  <r>
    <x v="5"/>
    <s v="0"/>
    <s v="A005"/>
    <s v="DOBLE MANGUERA CASCAJAL F1 - INFRAESTRUCTURA"/>
    <s v="300000227"/>
    <s v="Amortización normal"/>
    <s v="10"/>
    <n v="-13220.67"/>
    <s v="PEN"/>
    <x v="2"/>
    <d v="2025-01-01T00:00:00"/>
    <n v="-1322.067"/>
    <n v="-11898.602999999999"/>
    <x v="0"/>
  </r>
  <r>
    <x v="6"/>
    <s v="0"/>
    <s v="A005"/>
    <s v="DOBLE MANGUERA CASCAJAL F2 - INFRAESTRUCTURA"/>
    <s v="300000227"/>
    <s v="Amortización normal"/>
    <s v="10"/>
    <n v="-17432.150000000001"/>
    <s v="PEN"/>
    <x v="2"/>
    <d v="2025-01-01T00:00:00"/>
    <n v="-1743.2150000000001"/>
    <n v="-15688.935000000001"/>
    <x v="0"/>
  </r>
  <r>
    <x v="7"/>
    <s v="0"/>
    <s v="A005"/>
    <s v="DOBLE MANGUERA HACIENDA REAL F8 - INFRAESTRUCTURA"/>
    <s v="300000227"/>
    <s v="Amortización normal"/>
    <s v="10"/>
    <n v="-22136.720000000001"/>
    <s v="PEN"/>
    <x v="2"/>
    <d v="2025-01-01T00:00:00"/>
    <n v="-2213.672"/>
    <n v="-19923.048000000003"/>
    <x v="0"/>
  </r>
  <r>
    <x v="8"/>
    <s v="0"/>
    <s v="A005"/>
    <s v="DOBLE MANGUERA HACIENDA REAL F10 - INFRAESTRUCTURA"/>
    <s v="300000227"/>
    <s v="Amortización normal"/>
    <s v="10"/>
    <n v="-20509.32"/>
    <s v="PEN"/>
    <x v="2"/>
    <d v="2025-01-01T00:00:00"/>
    <n v="-2050.9319999999998"/>
    <n v="-18458.387999999999"/>
    <x v="0"/>
  </r>
  <r>
    <x v="9"/>
    <s v="0"/>
    <s v="A005"/>
    <s v="DOBLE MANGUERA PALMIRA  F13 - INFRAESTRUCTURA"/>
    <s v="300000227"/>
    <s v="Amortización normal"/>
    <s v="10"/>
    <n v="-17170.82"/>
    <s v="PEN"/>
    <x v="2"/>
    <d v="2025-01-01T00:00:00"/>
    <n v="-1717.0819999999999"/>
    <n v="-15453.737999999999"/>
    <x v="0"/>
  </r>
  <r>
    <x v="10"/>
    <s v="0"/>
    <s v="A005"/>
    <s v="DOBLE MANGUERA DON ALBERTO  F15 - INFRAESTRUCTURA"/>
    <s v="300000227"/>
    <s v="Amortización normal"/>
    <s v="10"/>
    <n v="-658.89"/>
    <s v="PEN"/>
    <x v="2"/>
    <d v="2025-01-01T00:00:00"/>
    <n v="-65.888999999999996"/>
    <n v="-593.00099999999998"/>
    <x v="0"/>
  </r>
  <r>
    <x v="11"/>
    <s v="0"/>
    <s v="A005"/>
    <s v="DOBLE MANGUERA DON ALBERTO  F16 - INFRAESTRUCTURA"/>
    <s v="300000227"/>
    <s v="Amortización normal"/>
    <s v="10"/>
    <n v="-16649.66"/>
    <s v="PEN"/>
    <x v="2"/>
    <d v="2025-01-01T00:00:00"/>
    <n v="-1664.9659999999999"/>
    <n v="-14984.694"/>
    <x v="0"/>
  </r>
  <r>
    <x v="12"/>
    <s v="0"/>
    <s v="A005"/>
    <s v="DOBLE MANGUERA DON ALBERTO  F17 - INFRAESTRUCTURA"/>
    <s v="300000227"/>
    <s v="Amortización normal"/>
    <s v="10"/>
    <n v="-19250.759999999998"/>
    <s v="PEN"/>
    <x v="2"/>
    <d v="2025-01-01T00:00:00"/>
    <n v="-1925.0759999999998"/>
    <n v="-17325.683999999997"/>
    <x v="0"/>
  </r>
  <r>
    <x v="13"/>
    <s v="0"/>
    <s v="A005"/>
    <s v="DOBLE MANGUERA HENRY J F20 - INFRAESTRUCTURA"/>
    <s v="300000227"/>
    <s v="Amortización normal"/>
    <s v="10"/>
    <n v="-10557.88"/>
    <s v="PEN"/>
    <x v="2"/>
    <d v="2025-01-01T00:00:00"/>
    <n v="-1055.788"/>
    <n v="-9502.0919999999987"/>
    <x v="0"/>
  </r>
  <r>
    <x v="14"/>
    <s v="0"/>
    <s v="A005"/>
    <s v="DOBLE MANGUERA HENRY J F21 - INFRAESTRUCTURA"/>
    <s v="300000227"/>
    <s v="Amortización normal"/>
    <s v="10"/>
    <n v="-1848.94"/>
    <s v="PEN"/>
    <x v="2"/>
    <d v="2025-01-01T00:00:00"/>
    <n v="-184.89400000000001"/>
    <n v="-1664.046"/>
    <x v="0"/>
  </r>
  <r>
    <x v="15"/>
    <s v="0"/>
    <s v="A005"/>
    <s v="DOBLE MANGUERA HENRY J F22 - INFRAESTRUCTURA"/>
    <s v="300000227"/>
    <s v="Amortización normal"/>
    <s v="10"/>
    <n v="-6407.9"/>
    <s v="PEN"/>
    <x v="2"/>
    <d v="2025-01-01T00:00:00"/>
    <n v="-640.79"/>
    <n v="-5767.11"/>
    <x v="0"/>
  </r>
  <r>
    <x v="16"/>
    <s v="0"/>
    <s v="A005"/>
    <s v="POZO TUBULAR NUEVO CAMPO ESPINAL JR 2 CTL 5"/>
    <s v="300000227"/>
    <s v="Amortización normal"/>
    <s v="10"/>
    <n v="-4043.21"/>
    <s v="PEN"/>
    <x v="3"/>
    <d v="2025-01-01T00:00:00"/>
    <n v="-404.32100000000003"/>
    <n v="-3638.8890000000001"/>
    <x v="0"/>
  </r>
  <r>
    <x v="17"/>
    <s v="0"/>
    <s v="A005"/>
    <s v="CONSTRUCCION TORRE VENTADA 9M"/>
    <s v="300000227"/>
    <s v="Amortización normal"/>
    <s v="10"/>
    <n v="-387.05"/>
    <s v="PEN"/>
    <x v="2"/>
    <d v="2025-09-01T00:00:00"/>
    <n v="-193.52"/>
    <n v="-193.53"/>
    <x v="0"/>
  </r>
  <r>
    <x v="18"/>
    <s v="0"/>
    <s v="A005"/>
    <s v="ADECUACION Y HABILITACIÓN DE NUEVAS VIAS ARENA DUL"/>
    <s v="300000227"/>
    <s v="Amortización normal"/>
    <s v="10"/>
    <n v="-278.31"/>
    <s v="PEN"/>
    <x v="2"/>
    <d v="2025-01-01T00:00:00"/>
    <n v="-27.831"/>
    <n v="-250.47900000000001"/>
    <x v="0"/>
  </r>
  <r>
    <x v="19"/>
    <s v="0"/>
    <s v="A005"/>
    <s v="HABILITACION DE VIAS CAMPO ARENA DULCE"/>
    <s v="300000227"/>
    <s v="Amortización normal"/>
    <s v="10"/>
    <n v="-3311.53"/>
    <s v="PEN"/>
    <x v="1"/>
    <d v="2025-01-01T00:00:00"/>
    <n v="-331.15300000000002"/>
    <n v="-2980.3770000000004"/>
    <x v="0"/>
  </r>
  <r>
    <x v="20"/>
    <s v="0"/>
    <s v="A005"/>
    <s v="HABILITACION DE VIAS CAMPO CORTIJO"/>
    <s v="300000227"/>
    <s v="Amortización normal"/>
    <s v="10"/>
    <n v="-567.77"/>
    <s v="PEN"/>
    <x v="1"/>
    <d v="2025-01-01T00:00:00"/>
    <n v="-56.777000000000001"/>
    <n v="-510.99299999999999"/>
    <x v="0"/>
  </r>
  <r>
    <x v="21"/>
    <s v="0"/>
    <s v="A005"/>
    <s v="HABILITACION DE VIAS CAMPO VIRU"/>
    <s v="300000227"/>
    <s v="Amortización normal"/>
    <s v="10"/>
    <n v="-851.55"/>
    <s v="PEN"/>
    <x v="1"/>
    <d v="2025-01-01T00:00:00"/>
    <n v="-85.155000000000001"/>
    <n v="-766.39499999999998"/>
    <x v="0"/>
  </r>
  <r>
    <x v="22"/>
    <s v="0"/>
    <s v="A006"/>
    <s v="DOBLE MANGUERA HENRY J F19 - MANGUERA"/>
    <s v="300000233"/>
    <s v="Amortización normal"/>
    <s v="10"/>
    <n v="-43594.31"/>
    <s v="PEN"/>
    <x v="2"/>
    <d v="2025-01-01T00:00:00"/>
    <n v="-4359.4309999999996"/>
    <n v="-39234.879000000001"/>
    <x v="0"/>
  </r>
  <r>
    <x v="23"/>
    <s v="0"/>
    <s v="A006"/>
    <s v="DOBLE MANGUERA CASCAJAL J F1 - MANGUERA"/>
    <s v="300000233"/>
    <s v="Amortización normal"/>
    <s v="10"/>
    <n v="-11168.27"/>
    <s v="PEN"/>
    <x v="2"/>
    <d v="2025-01-01T00:00:00"/>
    <n v="-1116.827"/>
    <n v="-10051.443000000001"/>
    <x v="0"/>
  </r>
  <r>
    <x v="24"/>
    <s v="0"/>
    <s v="A006"/>
    <s v="DOBLE MANGUERA CASCAJAL J F2 - MANGUERA"/>
    <s v="300000233"/>
    <s v="Amortización normal"/>
    <s v="10"/>
    <n v="-57050.83"/>
    <s v="PEN"/>
    <x v="2"/>
    <d v="2025-01-01T00:00:00"/>
    <n v="-5705.0830000000005"/>
    <n v="-51345.747000000003"/>
    <x v="0"/>
  </r>
  <r>
    <x v="25"/>
    <s v="0"/>
    <s v="A006"/>
    <s v="DOBLE MANGUERA HACIENDA REAL F8 - MANGUERA"/>
    <s v="300000233"/>
    <s v="Amortización normal"/>
    <s v="10"/>
    <n v="-61644.76"/>
    <s v="PEN"/>
    <x v="2"/>
    <d v="2025-01-01T00:00:00"/>
    <n v="-6164.4760000000006"/>
    <n v="-55480.284"/>
    <x v="0"/>
  </r>
  <r>
    <x v="26"/>
    <s v="0"/>
    <s v="A006"/>
    <s v="DOBLE MANGUERA HACIENDA REAL F10 - MANGUERA"/>
    <s v="300000233"/>
    <s v="Amortización normal"/>
    <s v="10"/>
    <n v="-74028.63"/>
    <s v="PEN"/>
    <x v="2"/>
    <d v="2025-01-01T00:00:00"/>
    <n v="-7402.8630000000003"/>
    <n v="-66625.767000000007"/>
    <x v="0"/>
  </r>
  <r>
    <x v="27"/>
    <s v="0"/>
    <s v="A006"/>
    <s v="DOBLE MANGUERA PALMIRA F13 - MANGUERA"/>
    <s v="300000233"/>
    <s v="Amortización normal"/>
    <s v="10"/>
    <n v="-64228.75"/>
    <s v="PEN"/>
    <x v="2"/>
    <d v="2025-01-01T00:00:00"/>
    <n v="-6422.875"/>
    <n v="-57805.875"/>
    <x v="0"/>
  </r>
  <r>
    <x v="28"/>
    <s v="0"/>
    <s v="A006"/>
    <s v="DOBLE MANGUERA DON ALBERTO F15 - MANGUERA"/>
    <s v="300000233"/>
    <s v="Amortización normal"/>
    <s v="10"/>
    <n v="-1711.94"/>
    <s v="PEN"/>
    <x v="2"/>
    <d v="2025-01-01T00:00:00"/>
    <n v="-171.19400000000002"/>
    <n v="-1540.7460000000001"/>
    <x v="0"/>
  </r>
  <r>
    <x v="29"/>
    <s v="0"/>
    <s v="A006"/>
    <s v="DOBLE MANGUERA DON ALBERTO F16 - MANGUERA"/>
    <s v="300000233"/>
    <s v="Amortización normal"/>
    <s v="10"/>
    <n v="-55277.58"/>
    <s v="PEN"/>
    <x v="2"/>
    <d v="2025-01-01T00:00:00"/>
    <n v="-5527.7579999999998"/>
    <n v="-49749.822"/>
    <x v="0"/>
  </r>
  <r>
    <x v="30"/>
    <s v="0"/>
    <s v="A006"/>
    <s v="DOBLE MANGUERA DON ALBERTO F17 - MANGUERA"/>
    <s v="300000233"/>
    <s v="Amortización normal"/>
    <s v="10"/>
    <n v="-65587.95"/>
    <s v="PEN"/>
    <x v="2"/>
    <d v="2025-01-01T00:00:00"/>
    <n v="-6558.7950000000001"/>
    <n v="-59029.154999999999"/>
    <x v="0"/>
  </r>
  <r>
    <x v="31"/>
    <s v="0"/>
    <s v="A006"/>
    <s v="DOBLE MANGUERA HENRY J F20 - MANGUERA"/>
    <s v="300000233"/>
    <s v="Amortización normal"/>
    <s v="10"/>
    <n v="-45444.92"/>
    <s v="PEN"/>
    <x v="2"/>
    <d v="2025-01-01T00:00:00"/>
    <n v="-4544.4920000000002"/>
    <n v="-40900.428"/>
    <x v="0"/>
  </r>
  <r>
    <x v="32"/>
    <s v="0"/>
    <s v="A006"/>
    <s v="DOBLE MANGUERA HENRY J F21 - MANGUERA"/>
    <s v="300000233"/>
    <s v="Amortización normal"/>
    <s v="10"/>
    <n v="-6511.06"/>
    <s v="PEN"/>
    <x v="2"/>
    <d v="2025-01-01T00:00:00"/>
    <n v="-651.10599999999999"/>
    <n v="-5859.9540000000006"/>
    <x v="0"/>
  </r>
  <r>
    <x v="33"/>
    <s v="0"/>
    <s v="A006"/>
    <s v="DOBLE MANGUERA HENRY J F22 - MANGUERA"/>
    <s v="300000233"/>
    <s v="Amortización normal"/>
    <s v="10"/>
    <n v="-6293.38"/>
    <s v="PEN"/>
    <x v="2"/>
    <d v="2025-01-01T00:00:00"/>
    <n v="-629.33799999999997"/>
    <n v="-5664.0420000000004"/>
    <x v="0"/>
  </r>
  <r>
    <x v="34"/>
    <s v="0"/>
    <s v="A006"/>
    <s v="TRANSFORMADOR GyR ELECTRIC"/>
    <s v="300000233"/>
    <s v="Amortización normal"/>
    <s v="10"/>
    <n v="-356.96"/>
    <s v="PEN"/>
    <x v="4"/>
    <d v="2025-04-01T00:00:00"/>
    <n v="-51"/>
    <n v="-305.95999999999998"/>
    <x v="0"/>
  </r>
  <r>
    <x v="35"/>
    <s v="0"/>
    <s v="A006"/>
    <s v="OVERHAUL COSECHADORA ORUGA JHON DEERE"/>
    <s v="300000233"/>
    <s v="Amortización normal"/>
    <s v="10"/>
    <n v="-22724.34"/>
    <s v="PEN"/>
    <x v="1"/>
    <d v="2025-07-01T00:00:00"/>
    <n v="-5681.08"/>
    <n v="-17043.260000000002"/>
    <x v="1"/>
  </r>
  <r>
    <x v="36"/>
    <s v="0"/>
    <s v="A006"/>
    <s v="OVERHAUL COSECHADORA DE CAÑA JOHN DEERE CH570"/>
    <s v="300000233"/>
    <s v="Amortización normal"/>
    <s v="10"/>
    <n v="-2449.8000000000002"/>
    <s v="PEN"/>
    <x v="1"/>
    <d v="2025-01-01T00:00:00"/>
    <n v="-244.98000000000002"/>
    <n v="-2204.8200000000002"/>
    <x v="1"/>
  </r>
  <r>
    <x v="37"/>
    <s v="0"/>
    <s v="A006"/>
    <s v="OVERHAUL COSECHADORA JOHN DEERE"/>
    <s v="300000233"/>
    <s v="Amortización normal"/>
    <s v="10"/>
    <n v="-57403.73"/>
    <s v="PEN"/>
    <x v="1"/>
    <d v="2025-01-01T00:00:00"/>
    <n v="-5740.3730000000005"/>
    <n v="-51663.357000000004"/>
    <x v="1"/>
  </r>
  <r>
    <x v="38"/>
    <s v="0"/>
    <s v="A006"/>
    <s v="Hidrociclones Pozo Alfredo"/>
    <s v="300000233"/>
    <s v="Amortización normal"/>
    <s v="10"/>
    <n v="-3200.16"/>
    <s v="PEN"/>
    <x v="3"/>
    <d v="2025-01-01T00:00:00"/>
    <n v="-320.01599999999996"/>
    <n v="-2880.1439999999998"/>
    <x v="0"/>
  </r>
  <r>
    <x v="39"/>
    <s v="0"/>
    <s v="A006"/>
    <s v="Hidrociclones Pozos Espinal"/>
    <s v="300000233"/>
    <s v="Amortización normal"/>
    <s v="10"/>
    <n v="-2611.4499999999998"/>
    <s v="PEN"/>
    <x v="3"/>
    <d v="2025-01-01T00:00:00"/>
    <n v="-261.14499999999998"/>
    <n v="-2350.3049999999998"/>
    <x v="0"/>
  </r>
  <r>
    <x v="40"/>
    <s v="0"/>
    <s v="A006"/>
    <s v="Hidrociclones Pozos S. Idelfonso"/>
    <s v="300000233"/>
    <s v="Amortización normal"/>
    <s v="10"/>
    <n v="-3783.79"/>
    <s v="PEN"/>
    <x v="3"/>
    <d v="2025-01-01T00:00:00"/>
    <n v="-378.37900000000002"/>
    <n v="-3405.4110000000001"/>
    <x v="0"/>
  </r>
  <r>
    <x v="41"/>
    <s v="0"/>
    <s v="A006"/>
    <s v="TANQUE CISTERNA AGUA CONTRA INCENDIOS"/>
    <s v="300000233"/>
    <s v="Amortización normal"/>
    <s v="10"/>
    <n v="-14293.22"/>
    <s v="PEN"/>
    <x v="1"/>
    <d v="2025-01-01T00:00:00"/>
    <n v="-1429.3219999999999"/>
    <n v="-12863.897999999999"/>
    <x v="0"/>
  </r>
  <r>
    <x v="42"/>
    <s v="0"/>
    <s v="A014"/>
    <s v="FIREWALL FORTINET 90G"/>
    <s v="300000242"/>
    <s v="Amortización normal"/>
    <s v="10"/>
    <n v="-645.62"/>
    <s v="PEN"/>
    <x v="5"/>
    <d v="2025-08-08T00:00:00"/>
    <n v="-215.2"/>
    <n v="-430.42"/>
    <x v="0"/>
  </r>
  <r>
    <x v="43"/>
    <s v="0"/>
    <s v="A014"/>
    <s v="TABLET INDUSTRIAL ZEBRA ET65AW"/>
    <s v="300000242"/>
    <s v="Amortización normal"/>
    <s v="10"/>
    <n v="-2222.48"/>
    <s v="PEN"/>
    <x v="6"/>
    <d v="2025-01-01T00:00:00"/>
    <n v="-222.24799999999999"/>
    <n v="-2000.232"/>
    <x v="0"/>
  </r>
  <r>
    <x v="44"/>
    <s v="0"/>
    <s v="A014"/>
    <s v="KIT MEDIDOR DE ACEITE MULTISYSTEM 4070"/>
    <s v="300000242"/>
    <s v="Amortización normal"/>
    <s v="10"/>
    <n v="-5790.48"/>
    <s v="PEN"/>
    <x v="6"/>
    <d v="2025-01-01T00:00:00"/>
    <n v="-579.048"/>
    <n v="-5211.4319999999998"/>
    <x v="0"/>
  </r>
  <r>
    <x v="45"/>
    <s v="0"/>
    <s v="A014"/>
    <s v="KIT MONITOREO CONDICION DE ACEITE CX197"/>
    <s v="300000242"/>
    <s v="Amortización normal"/>
    <s v="10"/>
    <n v="-7408.96"/>
    <s v="PEN"/>
    <x v="6"/>
    <d v="2025-01-01T00:00:00"/>
    <n v="-740.89599999999996"/>
    <n v="-6668.0640000000003"/>
    <x v="0"/>
  </r>
  <r>
    <x v="46"/>
    <s v="0"/>
    <s v="A014"/>
    <s v="DIALIZADOR DE ACEITE Y CUENTA PARTICULAS"/>
    <s v="300000242"/>
    <s v="Amortización normal"/>
    <s v="10"/>
    <n v="-5761.66"/>
    <s v="PEN"/>
    <x v="6"/>
    <d v="2025-01-01T00:00:00"/>
    <n v="-576.16599999999994"/>
    <n v="-5185.4939999999997"/>
    <x v="0"/>
  </r>
  <r>
    <x v="47"/>
    <s v="0"/>
    <s v="A014"/>
    <s v="TALGIL RF CENTER OF DREAM - RADIO RTU GV"/>
    <s v="300000242"/>
    <s v="Amortización normal"/>
    <s v="10"/>
    <n v="-250.78"/>
    <s v="PEN"/>
    <x v="7"/>
    <d v="2025-01-01T00:00:00"/>
    <n v="-25.077999999999999"/>
    <n v="-225.702"/>
    <x v="0"/>
  </r>
  <r>
    <x v="48"/>
    <s v="0"/>
    <s v="A014"/>
    <s v="TALGIL RTU RADIO 8 OUT DC/0 IN (8/0) GV"/>
    <s v="300000242"/>
    <s v="Amortización normal"/>
    <s v="10"/>
    <n v="-441.93"/>
    <s v="PEN"/>
    <x v="5"/>
    <d v="2025-01-01T00:00:00"/>
    <n v="-44.192999999999998"/>
    <n v="-397.73700000000002"/>
    <x v="0"/>
  </r>
  <r>
    <x v="49"/>
    <s v="0"/>
    <s v="A014"/>
    <s v="TURBIDIMETRO HAACH"/>
    <s v="300000242"/>
    <s v="Amortización normal"/>
    <s v="10"/>
    <n v="-373.58"/>
    <s v="PEN"/>
    <x v="2"/>
    <d v="2025-05-01T00:00:00"/>
    <n v="-62.27"/>
    <n v="-311.31"/>
    <x v="0"/>
  </r>
  <r>
    <x v="50"/>
    <s v="0"/>
    <s v="A014"/>
    <s v="CENTRALIZACIÓN DREAM 2"/>
    <s v="300000242"/>
    <s v="Amortización normal"/>
    <s v="10"/>
    <n v="-4856.21"/>
    <s v="PEN"/>
    <x v="2"/>
    <d v="2025-06-01T00:00:00"/>
    <n v="-971.25"/>
    <n v="-3884.96"/>
    <x v="0"/>
  </r>
  <r>
    <x v="51"/>
    <s v="0"/>
    <s v="A014"/>
    <s v="Transformador Trifasico 850 KVA"/>
    <s v="300000242"/>
    <s v="Amortización normal"/>
    <s v="10"/>
    <n v="-4030.89"/>
    <s v="PEN"/>
    <x v="2"/>
    <d v="2025-06-01T00:00:00"/>
    <n v="-806.18"/>
    <n v="-3224.71"/>
    <x v="0"/>
  </r>
  <r>
    <x v="52"/>
    <s v="0"/>
    <s v="A014"/>
    <s v="LAVADORA Y SECADORA HISENSE"/>
    <s v="300000242"/>
    <s v="Amortización normal"/>
    <s v="10"/>
    <n v="-110.27"/>
    <s v="PEN"/>
    <x v="8"/>
    <d v="2025-07-10T00:00:00"/>
    <n v="-27.56"/>
    <n v="-82.71"/>
    <x v="0"/>
  </r>
  <r>
    <x v="53"/>
    <s v="0"/>
    <s v="A014"/>
    <s v="PISOS DE GOMA SALA DE ORDEÑO #2"/>
    <s v="300000242"/>
    <s v="Amortización normal"/>
    <s v="10"/>
    <n v="-13227.74"/>
    <s v="PEN"/>
    <x v="8"/>
    <d v="2025-04-01T00:00:00"/>
    <n v="-1889.68"/>
    <n v="-11338.06"/>
    <x v="0"/>
  </r>
  <r>
    <x v="54"/>
    <s v="0"/>
    <s v="A014"/>
    <s v="AIRE ACONDICIONADO COLDPOINT"/>
    <s v="300000242"/>
    <s v="Amortización normal"/>
    <s v="10"/>
    <n v="-163.66999999999999"/>
    <s v="PEN"/>
    <x v="8"/>
    <d v="2025-02-01T00:00:00"/>
    <n v="-18.18"/>
    <n v="-145.48999999999998"/>
    <x v="0"/>
  </r>
  <r>
    <x v="55"/>
    <s v="0"/>
    <s v="A014"/>
    <s v="AIRE ACONDICIONADO 48000 BTU/H"/>
    <s v="300000242"/>
    <s v="Amortización normal"/>
    <s v="10"/>
    <n v="-3405.66"/>
    <s v="PEN"/>
    <x v="9"/>
    <d v="2025-02-10T00:00:00"/>
    <n v="-378.4"/>
    <n v="-3027.2599999999998"/>
    <x v="0"/>
  </r>
  <r>
    <x v="56"/>
    <s v="0"/>
    <s v="A014"/>
    <s v="PC DESKTOP COMPATIBLE"/>
    <s v="300000242"/>
    <s v="Amortización normal"/>
    <s v="10"/>
    <n v="-2070.89"/>
    <s v="PEN"/>
    <x v="10"/>
    <d v="2025-02-07T00:00:00"/>
    <n v="-230.1"/>
    <n v="-1840.79"/>
    <x v="0"/>
  </r>
  <r>
    <x v="57"/>
    <s v="0"/>
    <s v="A014"/>
    <s v="PLOTTER HP DE 44 PULGADAS"/>
    <s v="300000242"/>
    <s v="Amortización normal"/>
    <s v="10"/>
    <n v="-7599.61"/>
    <s v="PEN"/>
    <x v="10"/>
    <d v="2025-02-18T00:00:00"/>
    <n v="-844.4"/>
    <n v="-6755.21"/>
    <x v="0"/>
  </r>
  <r>
    <x v="58"/>
    <s v="0"/>
    <s v="A014"/>
    <s v="CAMARAS INTERNA Y EXTERNA GPS JIMI"/>
    <s v="300000242"/>
    <s v="Amortización normal"/>
    <s v="10"/>
    <n v="-4877.59"/>
    <s v="PEN"/>
    <x v="11"/>
    <d v="2025-07-31T00:00:00"/>
    <n v="-1219.4000000000001"/>
    <n v="-3658.19"/>
    <x v="0"/>
  </r>
  <r>
    <x v="59"/>
    <s v="0"/>
    <s v="A014"/>
    <s v="UPS MODULAR DE 10KVA MONO"/>
    <s v="300000242"/>
    <s v="Amortización normal"/>
    <s v="10"/>
    <n v="-783.85"/>
    <s v="PEN"/>
    <x v="12"/>
    <d v="2025-06-01T00:00:00"/>
    <n v="-156.77000000000001"/>
    <n v="-627.08000000000004"/>
    <x v="0"/>
  </r>
  <r>
    <x v="60"/>
    <s v="0"/>
    <s v="I003"/>
    <s v="PROYECTO SOLINFTEC"/>
    <s v="300000236"/>
    <s v="Amortización normal"/>
    <s v="10"/>
    <n v="-17134.79"/>
    <s v="PEN"/>
    <x v="0"/>
    <d v="2025-01-01T00:00:00"/>
    <n v="-1713.479"/>
    <n v="-15421.31100000000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24A80-933F-4AD0-A120-689E031B9EC9}" name="TablaDiná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V4:W18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3">
        <item x="12"/>
        <item x="0"/>
        <item x="1"/>
        <item x="6"/>
        <item x="5"/>
        <item x="7"/>
        <item x="2"/>
        <item sd="0" x="11"/>
        <item x="10"/>
        <item x="3"/>
        <item x="8"/>
        <item x="4"/>
        <item x="9"/>
      </items>
    </pivotField>
    <pivotField compact="0" numFmtId="14" outline="0" showAll="0"/>
    <pivotField compact="0" numFmtId="43" outline="0" showAll="0"/>
    <pivotField dataField="1" compact="0" numFmtId="43" outline="0" showAll="0"/>
    <pivotField compact="0" outline="0" multipleItemSelectionAllowed="1" showAll="0">
      <items count="3">
        <item h="1" x="1"/>
        <item x="0"/>
        <item t="default"/>
      </items>
    </pivotField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Quitar" fld="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0864F-B3AE-400F-8783-429AEBBB3E7B}" name="TablaDinámica3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S23:T27" firstHeaderRow="1" firstDataRow="1" firstDataCol="1" rowPageCount="1" colPageCount="1"/>
  <pivotFields count="14">
    <pivotField axis="axisRow" compact="0" outline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13">
        <item x="12"/>
        <item x="0"/>
        <item x="1"/>
        <item x="6"/>
        <item x="5"/>
        <item x="7"/>
        <item x="2"/>
        <item sd="0" x="11"/>
        <item x="10"/>
        <item x="3"/>
        <item x="8"/>
        <item x="4"/>
        <item x="9"/>
      </items>
    </pivotField>
    <pivotField compact="0" numFmtId="14" outline="0" showAll="0"/>
    <pivotField compact="0" numFmtId="43" outline="0" showAll="0"/>
    <pivotField dataField="1" compact="0" numFmtId="43" outline="0" showAll="0"/>
    <pivotField axis="axisPage" compact="0" outline="0" multipleItemSelectionAllowed="1" showAll="0">
      <items count="3">
        <item x="1"/>
        <item h="1" x="0"/>
        <item t="default"/>
      </items>
    </pivotField>
  </pivotFields>
  <rowFields count="1">
    <field x="0"/>
  </rowFields>
  <rowItems count="4">
    <i>
      <x v="35"/>
    </i>
    <i>
      <x v="36"/>
    </i>
    <i>
      <x v="37"/>
    </i>
    <i t="grand">
      <x/>
    </i>
  </rowItems>
  <colItems count="1">
    <i/>
  </colItems>
  <pageFields count="1">
    <pageField fld="13" hier="-1"/>
  </pageFields>
  <dataFields count="1">
    <dataField name="Suma de Quitar" fld="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0E4D0-9F19-4BA1-B000-B89B6D2DEB0C}" name="TablaDinámica2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S4:T18" firstHeaderRow="1" firstDataRow="1" firstDataCol="1" rowPageCount="1" colPageCount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3">
        <item x="12"/>
        <item x="0"/>
        <item x="1"/>
        <item x="6"/>
        <item x="5"/>
        <item x="7"/>
        <item x="2"/>
        <item sd="0" x="11"/>
        <item x="10"/>
        <item x="3"/>
        <item x="8"/>
        <item x="4"/>
        <item x="9"/>
      </items>
    </pivotField>
    <pivotField compact="0" numFmtId="14" outline="0" showAll="0"/>
    <pivotField compact="0" numFmtId="43" outline="0" showAll="0"/>
    <pivotField dataField="1" compact="0" numFmtId="43" outline="0" showAll="0"/>
    <pivotField axis="axisPage" compact="0" outline="0" multipleItemSelectionAllowed="1" showAll="0">
      <items count="3">
        <item h="1" x="1"/>
        <item x="0"/>
        <item t="default"/>
      </items>
    </pivotField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3" hier="-1"/>
  </pageFields>
  <dataFields count="1">
    <dataField name="Suma de Quitar" fld="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27064-771E-4D24-A997-CDBDE7B8213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4:Q18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4">
        <item x="12"/>
        <item x="0"/>
        <item x="1"/>
        <item x="6"/>
        <item x="5"/>
        <item x="7"/>
        <item x="2"/>
        <item x="11"/>
        <item x="10"/>
        <item x="3"/>
        <item x="8"/>
        <item x="4"/>
        <item x="9"/>
        <item t="default"/>
      </items>
    </pivotField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Impte.MS" fld="7" baseField="0" baseItem="0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A926-88E3-4477-81E9-AE9C20925F05}">
  <dimension ref="A1:K393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3" max="3" width="15.42578125" bestFit="1" customWidth="1"/>
    <col min="6" max="6" width="14.28515625" style="2" customWidth="1"/>
    <col min="7" max="7" width="14.42578125" bestFit="1" customWidth="1"/>
    <col min="9" max="9" width="19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s="14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22</v>
      </c>
      <c r="K1" s="2" t="s">
        <v>214</v>
      </c>
    </row>
    <row r="2" spans="1:11" s="23" customFormat="1" x14ac:dyDescent="0.25">
      <c r="A2" s="23">
        <v>1000</v>
      </c>
      <c r="B2" s="23">
        <v>1000</v>
      </c>
      <c r="C2" s="24">
        <v>45961</v>
      </c>
      <c r="D2" s="25" t="s">
        <v>56</v>
      </c>
      <c r="E2" s="23">
        <v>0</v>
      </c>
      <c r="F2" s="26">
        <v>225453.65</v>
      </c>
      <c r="G2" s="24">
        <v>45966</v>
      </c>
      <c r="I2" s="23" t="s">
        <v>9</v>
      </c>
      <c r="J2" s="26">
        <f>ROUND(VLOOKUP(D2,SAP!$S$4:$T$18,2,0),2)</f>
        <v>-225.7</v>
      </c>
      <c r="K2" s="26">
        <f>+F2+J2</f>
        <v>225227.94999999998</v>
      </c>
    </row>
    <row r="3" spans="1:11" s="23" customFormat="1" x14ac:dyDescent="0.25">
      <c r="A3" s="23">
        <v>1000</v>
      </c>
      <c r="B3" s="23">
        <v>1000</v>
      </c>
      <c r="C3" s="24">
        <v>45961</v>
      </c>
      <c r="D3" s="25" t="s">
        <v>67</v>
      </c>
      <c r="E3" s="23">
        <v>0</v>
      </c>
      <c r="F3" s="26">
        <v>34451.15</v>
      </c>
      <c r="G3" s="24">
        <v>45966</v>
      </c>
      <c r="I3" s="23" t="s">
        <v>9</v>
      </c>
      <c r="J3" s="26">
        <f>ROUND(VLOOKUP(D3,SAP!$S$4:$T$18,2,0),2)</f>
        <v>-12274.75</v>
      </c>
      <c r="K3" s="26">
        <f>+F3+J3</f>
        <v>22176.400000000001</v>
      </c>
    </row>
    <row r="4" spans="1:11" x14ac:dyDescent="0.25">
      <c r="A4">
        <v>1000</v>
      </c>
      <c r="B4">
        <v>1000</v>
      </c>
      <c r="C4" s="1">
        <v>45961</v>
      </c>
      <c r="D4" s="14" t="s">
        <v>176</v>
      </c>
      <c r="E4">
        <v>0</v>
      </c>
      <c r="F4" s="2">
        <v>18418.560000000001</v>
      </c>
      <c r="G4" s="1">
        <v>45966</v>
      </c>
      <c r="I4" t="s">
        <v>9</v>
      </c>
      <c r="K4" s="2">
        <f t="shared" ref="K4:K67" si="0">+F4+J4</f>
        <v>18418.560000000001</v>
      </c>
    </row>
    <row r="5" spans="1:11" x14ac:dyDescent="0.25">
      <c r="A5">
        <v>1000</v>
      </c>
      <c r="B5">
        <v>1000</v>
      </c>
      <c r="C5" s="1">
        <v>45961</v>
      </c>
      <c r="D5" s="14" t="s">
        <v>177</v>
      </c>
      <c r="E5">
        <v>0</v>
      </c>
      <c r="F5" s="2">
        <v>56.99</v>
      </c>
      <c r="G5" s="1">
        <v>45966</v>
      </c>
      <c r="I5" t="s">
        <v>9</v>
      </c>
      <c r="K5" s="2">
        <f t="shared" si="0"/>
        <v>56.99</v>
      </c>
    </row>
    <row r="6" spans="1:11" x14ac:dyDescent="0.25">
      <c r="A6">
        <v>1000</v>
      </c>
      <c r="B6">
        <v>1000</v>
      </c>
      <c r="C6" s="1">
        <v>45961</v>
      </c>
      <c r="D6" s="14" t="s">
        <v>178</v>
      </c>
      <c r="E6">
        <v>3224000034</v>
      </c>
      <c r="F6" s="2">
        <v>15565.86</v>
      </c>
      <c r="G6" s="1">
        <v>45966</v>
      </c>
      <c r="I6" t="s">
        <v>9</v>
      </c>
      <c r="K6" s="2">
        <f t="shared" si="0"/>
        <v>15565.86</v>
      </c>
    </row>
    <row r="7" spans="1:11" x14ac:dyDescent="0.25">
      <c r="A7">
        <v>1000</v>
      </c>
      <c r="B7">
        <v>1000</v>
      </c>
      <c r="C7" s="1">
        <v>45961</v>
      </c>
      <c r="D7" s="14" t="s">
        <v>179</v>
      </c>
      <c r="E7">
        <v>0</v>
      </c>
      <c r="F7" s="2">
        <v>13281.47</v>
      </c>
      <c r="G7" s="1">
        <v>45966</v>
      </c>
      <c r="I7" t="s">
        <v>9</v>
      </c>
      <c r="K7" s="2">
        <f t="shared" si="0"/>
        <v>13281.47</v>
      </c>
    </row>
    <row r="8" spans="1:11" x14ac:dyDescent="0.25">
      <c r="A8">
        <v>1000</v>
      </c>
      <c r="B8">
        <v>1000</v>
      </c>
      <c r="C8" s="1">
        <v>45961</v>
      </c>
      <c r="D8" s="14" t="s">
        <v>180</v>
      </c>
      <c r="E8">
        <v>0</v>
      </c>
      <c r="F8" s="2">
        <v>2367.02</v>
      </c>
      <c r="G8" s="1">
        <v>45966</v>
      </c>
      <c r="I8" t="s">
        <v>9</v>
      </c>
      <c r="K8" s="2">
        <f t="shared" si="0"/>
        <v>2367.02</v>
      </c>
    </row>
    <row r="9" spans="1:11" x14ac:dyDescent="0.25">
      <c r="A9">
        <v>1000</v>
      </c>
      <c r="B9">
        <v>1000</v>
      </c>
      <c r="C9" s="1">
        <v>45961</v>
      </c>
      <c r="D9" s="14" t="s">
        <v>56</v>
      </c>
      <c r="E9">
        <v>3331004793</v>
      </c>
      <c r="F9" s="2">
        <v>365.47</v>
      </c>
      <c r="G9" s="1">
        <v>45966</v>
      </c>
      <c r="I9" t="s">
        <v>9</v>
      </c>
      <c r="K9" s="2">
        <f t="shared" si="0"/>
        <v>365.47</v>
      </c>
    </row>
    <row r="10" spans="1:11" x14ac:dyDescent="0.25">
      <c r="A10">
        <v>1000</v>
      </c>
      <c r="B10">
        <v>1000</v>
      </c>
      <c r="C10" s="1">
        <v>45961</v>
      </c>
      <c r="D10" s="14" t="s">
        <v>34</v>
      </c>
      <c r="E10">
        <v>3235000082</v>
      </c>
      <c r="F10" s="2">
        <v>2487.86</v>
      </c>
      <c r="G10" s="1">
        <v>45966</v>
      </c>
      <c r="I10" t="s">
        <v>9</v>
      </c>
      <c r="K10" s="2">
        <f t="shared" si="0"/>
        <v>2487.86</v>
      </c>
    </row>
    <row r="11" spans="1:11" x14ac:dyDescent="0.25">
      <c r="A11">
        <v>1000</v>
      </c>
      <c r="B11">
        <v>1000</v>
      </c>
      <c r="C11" s="1">
        <v>45961</v>
      </c>
      <c r="D11" s="14" t="s">
        <v>67</v>
      </c>
      <c r="E11">
        <v>3341000144</v>
      </c>
      <c r="F11" s="2">
        <v>157.74</v>
      </c>
      <c r="G11" s="1">
        <v>45966</v>
      </c>
      <c r="I11" t="s">
        <v>9</v>
      </c>
      <c r="K11" s="2">
        <f t="shared" si="0"/>
        <v>157.74</v>
      </c>
    </row>
    <row r="12" spans="1:11" x14ac:dyDescent="0.25">
      <c r="A12">
        <v>1000</v>
      </c>
      <c r="B12">
        <v>1000</v>
      </c>
      <c r="C12" s="1">
        <v>45961</v>
      </c>
      <c r="D12" s="14" t="s">
        <v>70</v>
      </c>
      <c r="E12">
        <v>3331004729</v>
      </c>
      <c r="F12" s="2">
        <v>99.57</v>
      </c>
      <c r="G12" s="1">
        <v>45966</v>
      </c>
      <c r="I12" t="s">
        <v>9</v>
      </c>
      <c r="K12" s="2">
        <f t="shared" si="0"/>
        <v>99.57</v>
      </c>
    </row>
    <row r="13" spans="1:11" x14ac:dyDescent="0.25">
      <c r="A13">
        <v>1000</v>
      </c>
      <c r="B13">
        <v>1000</v>
      </c>
      <c r="C13" s="1">
        <v>45961</v>
      </c>
      <c r="D13" s="14" t="s">
        <v>34</v>
      </c>
      <c r="E13">
        <v>3224000020</v>
      </c>
      <c r="F13" s="2">
        <v>3487.25</v>
      </c>
      <c r="G13" s="1">
        <v>45966</v>
      </c>
      <c r="I13" t="s">
        <v>9</v>
      </c>
      <c r="K13" s="2">
        <f t="shared" si="0"/>
        <v>3487.25</v>
      </c>
    </row>
    <row r="14" spans="1:11" s="23" customFormat="1" x14ac:dyDescent="0.25">
      <c r="A14" s="23">
        <v>1000</v>
      </c>
      <c r="B14" s="23">
        <v>1000</v>
      </c>
      <c r="C14" s="24">
        <v>45961</v>
      </c>
      <c r="D14" s="25" t="s">
        <v>53</v>
      </c>
      <c r="E14" s="23">
        <v>0</v>
      </c>
      <c r="F14" s="26">
        <v>11661.67</v>
      </c>
      <c r="G14" s="24">
        <v>45966</v>
      </c>
      <c r="I14" s="23" t="s">
        <v>9</v>
      </c>
      <c r="J14" s="26">
        <f>ROUND(VLOOKUP(D14,SAP!$S$4:$T$18,2,0),2)</f>
        <v>-828.16</v>
      </c>
      <c r="K14" s="26">
        <f t="shared" si="0"/>
        <v>10833.51</v>
      </c>
    </row>
    <row r="15" spans="1:11" x14ac:dyDescent="0.25">
      <c r="A15">
        <v>1000</v>
      </c>
      <c r="B15">
        <v>1000</v>
      </c>
      <c r="C15" s="1">
        <v>45961</v>
      </c>
      <c r="D15" s="14" t="s">
        <v>181</v>
      </c>
      <c r="E15">
        <v>0</v>
      </c>
      <c r="F15" s="2">
        <v>14562.6</v>
      </c>
      <c r="G15" s="1">
        <v>45966</v>
      </c>
      <c r="I15" t="s">
        <v>9</v>
      </c>
      <c r="K15" s="2">
        <f t="shared" si="0"/>
        <v>14562.6</v>
      </c>
    </row>
    <row r="16" spans="1:11" x14ac:dyDescent="0.25">
      <c r="A16">
        <v>1000</v>
      </c>
      <c r="B16">
        <v>1000</v>
      </c>
      <c r="C16" s="1">
        <v>45961</v>
      </c>
      <c r="D16" s="14" t="s">
        <v>56</v>
      </c>
      <c r="E16">
        <v>3331002907</v>
      </c>
      <c r="F16" s="2">
        <v>26.66</v>
      </c>
      <c r="G16" s="1">
        <v>45966</v>
      </c>
      <c r="I16" t="s">
        <v>9</v>
      </c>
      <c r="K16" s="2">
        <f t="shared" si="0"/>
        <v>26.66</v>
      </c>
    </row>
    <row r="17" spans="1:11" s="23" customFormat="1" x14ac:dyDescent="0.25">
      <c r="A17" s="23">
        <v>1000</v>
      </c>
      <c r="B17" s="23">
        <v>1000</v>
      </c>
      <c r="C17" s="24">
        <v>45961</v>
      </c>
      <c r="D17" s="25" t="s">
        <v>47</v>
      </c>
      <c r="E17" s="23">
        <v>0</v>
      </c>
      <c r="F17" s="26">
        <v>696701.5</v>
      </c>
      <c r="G17" s="24">
        <v>45966</v>
      </c>
      <c r="I17" s="23" t="s">
        <v>9</v>
      </c>
      <c r="J17" s="26">
        <f>ROUND(VLOOKUP(D17,SAP!$S$4:$T$18,2,0),2)</f>
        <v>-598839.21</v>
      </c>
      <c r="K17" s="26">
        <f t="shared" si="0"/>
        <v>97862.290000000037</v>
      </c>
    </row>
    <row r="18" spans="1:11" x14ac:dyDescent="0.25">
      <c r="A18">
        <v>1000</v>
      </c>
      <c r="B18">
        <v>1000</v>
      </c>
      <c r="C18" s="1">
        <v>45961</v>
      </c>
      <c r="D18" s="14" t="s">
        <v>182</v>
      </c>
      <c r="E18">
        <v>0</v>
      </c>
      <c r="F18" s="2">
        <v>173.42</v>
      </c>
      <c r="G18" s="1">
        <v>45966</v>
      </c>
      <c r="I18" t="s">
        <v>9</v>
      </c>
      <c r="K18" s="2">
        <f t="shared" si="0"/>
        <v>173.42</v>
      </c>
    </row>
    <row r="19" spans="1:11" s="23" customFormat="1" x14ac:dyDescent="0.25">
      <c r="A19" s="23">
        <v>1000</v>
      </c>
      <c r="B19" s="23">
        <v>1000</v>
      </c>
      <c r="C19" s="24">
        <v>45961</v>
      </c>
      <c r="D19" s="25" t="s">
        <v>70</v>
      </c>
      <c r="E19" s="23">
        <v>0</v>
      </c>
      <c r="F19" s="26">
        <v>24101.279999999999</v>
      </c>
      <c r="G19" s="24">
        <v>45966</v>
      </c>
      <c r="I19" s="23" t="s">
        <v>9</v>
      </c>
      <c r="J19" s="26">
        <f>ROUND(VLOOKUP(D19,SAP!$S$4:$T$18,2,0),2)</f>
        <v>-11566.26</v>
      </c>
      <c r="K19" s="26">
        <f t="shared" si="0"/>
        <v>12535.019999999999</v>
      </c>
    </row>
    <row r="20" spans="1:11" x14ac:dyDescent="0.25">
      <c r="A20">
        <v>1000</v>
      </c>
      <c r="B20">
        <v>1000</v>
      </c>
      <c r="C20" s="1">
        <v>45961</v>
      </c>
      <c r="D20" s="14" t="s">
        <v>183</v>
      </c>
      <c r="E20">
        <v>3224000075</v>
      </c>
      <c r="F20" s="2">
        <v>2966.91</v>
      </c>
      <c r="G20" s="1">
        <v>45966</v>
      </c>
      <c r="I20" t="s">
        <v>9</v>
      </c>
      <c r="K20" s="2">
        <f t="shared" si="0"/>
        <v>2966.91</v>
      </c>
    </row>
    <row r="21" spans="1:11" x14ac:dyDescent="0.25">
      <c r="A21">
        <v>1000</v>
      </c>
      <c r="B21">
        <v>1000</v>
      </c>
      <c r="C21" s="1">
        <v>45961</v>
      </c>
      <c r="D21" s="14" t="s">
        <v>53</v>
      </c>
      <c r="E21">
        <v>3331002952</v>
      </c>
      <c r="F21" s="2">
        <v>150.81</v>
      </c>
      <c r="G21" s="1">
        <v>45966</v>
      </c>
      <c r="I21" t="s">
        <v>9</v>
      </c>
      <c r="K21" s="2">
        <f t="shared" si="0"/>
        <v>150.81</v>
      </c>
    </row>
    <row r="22" spans="1:11" x14ac:dyDescent="0.25">
      <c r="A22">
        <v>1000</v>
      </c>
      <c r="B22">
        <v>1000</v>
      </c>
      <c r="C22" s="1">
        <v>45961</v>
      </c>
      <c r="D22" s="14" t="s">
        <v>184</v>
      </c>
      <c r="E22">
        <v>0</v>
      </c>
      <c r="F22" s="2">
        <v>2022.98</v>
      </c>
      <c r="G22" s="1">
        <v>45966</v>
      </c>
      <c r="I22" t="s">
        <v>9</v>
      </c>
      <c r="K22" s="2">
        <f t="shared" si="0"/>
        <v>2022.98</v>
      </c>
    </row>
    <row r="23" spans="1:11" x14ac:dyDescent="0.25">
      <c r="A23">
        <v>1000</v>
      </c>
      <c r="B23">
        <v>1000</v>
      </c>
      <c r="C23" s="1">
        <v>45961</v>
      </c>
      <c r="D23" s="14" t="s">
        <v>185</v>
      </c>
      <c r="E23">
        <v>0</v>
      </c>
      <c r="F23" s="2">
        <v>14534.36</v>
      </c>
      <c r="G23" s="1">
        <v>45966</v>
      </c>
      <c r="I23" t="s">
        <v>9</v>
      </c>
      <c r="K23" s="2">
        <f t="shared" si="0"/>
        <v>14534.36</v>
      </c>
    </row>
    <row r="24" spans="1:11" x14ac:dyDescent="0.25">
      <c r="A24">
        <v>1000</v>
      </c>
      <c r="B24">
        <v>1000</v>
      </c>
      <c r="C24" s="1">
        <v>45961</v>
      </c>
      <c r="D24" s="14" t="s">
        <v>186</v>
      </c>
      <c r="E24">
        <v>0</v>
      </c>
      <c r="F24" s="2">
        <v>2407.86</v>
      </c>
      <c r="G24" s="1">
        <v>45966</v>
      </c>
      <c r="I24" t="s">
        <v>9</v>
      </c>
      <c r="K24" s="2">
        <f t="shared" si="0"/>
        <v>2407.86</v>
      </c>
    </row>
    <row r="25" spans="1:11" x14ac:dyDescent="0.25">
      <c r="A25">
        <v>1000</v>
      </c>
      <c r="B25">
        <v>1000</v>
      </c>
      <c r="C25" s="1">
        <v>45961</v>
      </c>
      <c r="D25" s="14" t="s">
        <v>56</v>
      </c>
      <c r="E25">
        <v>3331000028</v>
      </c>
      <c r="F25" s="2">
        <v>46.3</v>
      </c>
      <c r="G25" s="1">
        <v>45966</v>
      </c>
      <c r="I25" t="s">
        <v>9</v>
      </c>
      <c r="K25" s="2">
        <f t="shared" si="0"/>
        <v>46.3</v>
      </c>
    </row>
    <row r="26" spans="1:11" x14ac:dyDescent="0.25">
      <c r="A26">
        <v>1000</v>
      </c>
      <c r="B26">
        <v>1000</v>
      </c>
      <c r="C26" s="1">
        <v>45961</v>
      </c>
      <c r="D26" s="14" t="s">
        <v>56</v>
      </c>
      <c r="E26">
        <v>3331000375</v>
      </c>
      <c r="F26" s="2">
        <v>59.33</v>
      </c>
      <c r="G26" s="1">
        <v>45966</v>
      </c>
      <c r="I26" t="s">
        <v>9</v>
      </c>
      <c r="K26" s="2">
        <f t="shared" si="0"/>
        <v>59.33</v>
      </c>
    </row>
    <row r="27" spans="1:11" x14ac:dyDescent="0.25">
      <c r="A27">
        <v>1000</v>
      </c>
      <c r="B27">
        <v>1000</v>
      </c>
      <c r="C27" s="1">
        <v>45961</v>
      </c>
      <c r="D27" s="14" t="s">
        <v>187</v>
      </c>
      <c r="E27">
        <v>0</v>
      </c>
      <c r="F27" s="2">
        <v>2174.64</v>
      </c>
      <c r="G27" s="1">
        <v>45966</v>
      </c>
      <c r="I27" t="s">
        <v>9</v>
      </c>
      <c r="K27" s="2">
        <f t="shared" si="0"/>
        <v>2174.64</v>
      </c>
    </row>
    <row r="28" spans="1:11" x14ac:dyDescent="0.25">
      <c r="A28">
        <v>1000</v>
      </c>
      <c r="B28">
        <v>1000</v>
      </c>
      <c r="C28" s="1">
        <v>45961</v>
      </c>
      <c r="D28" s="14" t="s">
        <v>47</v>
      </c>
      <c r="E28">
        <v>3224000061</v>
      </c>
      <c r="F28" s="2">
        <v>9390.7999999999993</v>
      </c>
      <c r="G28" s="1">
        <v>45966</v>
      </c>
      <c r="I28" t="s">
        <v>9</v>
      </c>
      <c r="K28" s="2">
        <f t="shared" si="0"/>
        <v>9390.7999999999993</v>
      </c>
    </row>
    <row r="29" spans="1:11" x14ac:dyDescent="0.25">
      <c r="A29">
        <v>1000</v>
      </c>
      <c r="B29">
        <v>1000</v>
      </c>
      <c r="C29" s="1">
        <v>45961</v>
      </c>
      <c r="D29" s="14" t="s">
        <v>47</v>
      </c>
      <c r="E29">
        <v>3331004802</v>
      </c>
      <c r="F29" s="2">
        <v>472.16</v>
      </c>
      <c r="G29" s="1">
        <v>45966</v>
      </c>
      <c r="I29" t="s">
        <v>9</v>
      </c>
      <c r="K29" s="2">
        <f t="shared" si="0"/>
        <v>472.16</v>
      </c>
    </row>
    <row r="30" spans="1:11" s="23" customFormat="1" x14ac:dyDescent="0.25">
      <c r="A30" s="23">
        <v>1000</v>
      </c>
      <c r="B30" s="23">
        <v>1000</v>
      </c>
      <c r="C30" s="24">
        <v>45961</v>
      </c>
      <c r="D30" s="25" t="s">
        <v>31</v>
      </c>
      <c r="E30" s="23">
        <v>0</v>
      </c>
      <c r="F30" s="26">
        <v>33676.769999999997</v>
      </c>
      <c r="G30" s="24">
        <v>45966</v>
      </c>
      <c r="I30" s="23" t="s">
        <v>9</v>
      </c>
      <c r="J30" s="26">
        <f>ROUND(VLOOKUP(D30,SAP!$S$4:$T$18,2,0),2)</f>
        <v>-26066.880000000001</v>
      </c>
      <c r="K30" s="26">
        <f t="shared" si="0"/>
        <v>7609.8899999999958</v>
      </c>
    </row>
    <row r="31" spans="1:11" x14ac:dyDescent="0.25">
      <c r="A31">
        <v>1000</v>
      </c>
      <c r="B31">
        <v>1000</v>
      </c>
      <c r="C31" s="1">
        <v>45961</v>
      </c>
      <c r="D31" s="14" t="s">
        <v>188</v>
      </c>
      <c r="E31">
        <v>3331000242</v>
      </c>
      <c r="F31" s="2">
        <v>324.64</v>
      </c>
      <c r="G31" s="1">
        <v>45966</v>
      </c>
      <c r="I31" t="s">
        <v>9</v>
      </c>
      <c r="K31" s="2">
        <f t="shared" si="0"/>
        <v>324.64</v>
      </c>
    </row>
    <row r="32" spans="1:11" x14ac:dyDescent="0.25">
      <c r="A32">
        <v>1000</v>
      </c>
      <c r="B32">
        <v>1000</v>
      </c>
      <c r="C32" s="1">
        <v>45961</v>
      </c>
      <c r="D32" s="14" t="s">
        <v>34</v>
      </c>
      <c r="E32">
        <v>3225000014</v>
      </c>
      <c r="F32" s="2">
        <v>9159.32</v>
      </c>
      <c r="G32" s="1">
        <v>45966</v>
      </c>
      <c r="I32" t="s">
        <v>9</v>
      </c>
      <c r="K32" s="2">
        <f t="shared" si="0"/>
        <v>9159.32</v>
      </c>
    </row>
    <row r="33" spans="1:11" x14ac:dyDescent="0.25">
      <c r="A33">
        <v>1000</v>
      </c>
      <c r="B33">
        <v>1000</v>
      </c>
      <c r="C33" s="1">
        <v>45961</v>
      </c>
      <c r="D33" s="14" t="s">
        <v>53</v>
      </c>
      <c r="E33">
        <v>3331000051</v>
      </c>
      <c r="F33" s="2">
        <v>129.26</v>
      </c>
      <c r="G33" s="1">
        <v>45966</v>
      </c>
      <c r="I33" t="s">
        <v>9</v>
      </c>
      <c r="K33" s="2">
        <f t="shared" si="0"/>
        <v>129.26</v>
      </c>
    </row>
    <row r="34" spans="1:11" x14ac:dyDescent="0.25">
      <c r="A34">
        <v>1000</v>
      </c>
      <c r="B34">
        <v>1000</v>
      </c>
      <c r="C34" s="1">
        <v>45961</v>
      </c>
      <c r="D34" s="14" t="s">
        <v>189</v>
      </c>
      <c r="E34">
        <v>0</v>
      </c>
      <c r="F34" s="2">
        <v>216.44</v>
      </c>
      <c r="G34" s="1">
        <v>45966</v>
      </c>
      <c r="I34" t="s">
        <v>9</v>
      </c>
      <c r="K34" s="2">
        <f t="shared" si="0"/>
        <v>216.44</v>
      </c>
    </row>
    <row r="35" spans="1:11" s="23" customFormat="1" x14ac:dyDescent="0.25">
      <c r="A35" s="23">
        <v>1000</v>
      </c>
      <c r="B35" s="23">
        <v>1000</v>
      </c>
      <c r="C35" s="24">
        <v>45961</v>
      </c>
      <c r="D35" s="25" t="s">
        <v>73</v>
      </c>
      <c r="E35" s="23">
        <v>0</v>
      </c>
      <c r="F35" s="26">
        <v>5604.82</v>
      </c>
      <c r="G35" s="24">
        <v>45966</v>
      </c>
      <c r="I35" s="23" t="s">
        <v>9</v>
      </c>
      <c r="J35" s="26">
        <f>ROUND(VLOOKUP(D35,SAP!$S$4:$T$18,2,0),2)</f>
        <v>-305.95999999999998</v>
      </c>
      <c r="K35" s="26">
        <f t="shared" si="0"/>
        <v>5298.86</v>
      </c>
    </row>
    <row r="36" spans="1:11" x14ac:dyDescent="0.25">
      <c r="A36">
        <v>1000</v>
      </c>
      <c r="B36">
        <v>1000</v>
      </c>
      <c r="C36" s="1">
        <v>45961</v>
      </c>
      <c r="D36" s="14" t="s">
        <v>178</v>
      </c>
      <c r="E36">
        <v>3331000023</v>
      </c>
      <c r="F36" s="2">
        <v>2438.25</v>
      </c>
      <c r="G36" s="1">
        <v>45966</v>
      </c>
      <c r="I36" t="s">
        <v>9</v>
      </c>
      <c r="K36" s="2">
        <f t="shared" si="0"/>
        <v>2438.25</v>
      </c>
    </row>
    <row r="37" spans="1:11" x14ac:dyDescent="0.25">
      <c r="A37">
        <v>1000</v>
      </c>
      <c r="B37">
        <v>1000</v>
      </c>
      <c r="C37" s="1">
        <v>45961</v>
      </c>
      <c r="D37" s="14" t="s">
        <v>61</v>
      </c>
      <c r="E37">
        <v>3331004108</v>
      </c>
      <c r="F37" s="2">
        <v>320.52999999999997</v>
      </c>
      <c r="G37" s="1">
        <v>45966</v>
      </c>
      <c r="I37" t="s">
        <v>9</v>
      </c>
      <c r="K37" s="2">
        <f t="shared" si="0"/>
        <v>320.52999999999997</v>
      </c>
    </row>
    <row r="38" spans="1:11" s="23" customFormat="1" x14ac:dyDescent="0.25">
      <c r="A38" s="23">
        <v>1000</v>
      </c>
      <c r="B38" s="23">
        <v>1000</v>
      </c>
      <c r="C38" s="24">
        <v>45961</v>
      </c>
      <c r="D38" s="25" t="s">
        <v>61</v>
      </c>
      <c r="E38" s="23">
        <v>0</v>
      </c>
      <c r="F38" s="26">
        <v>18929.3</v>
      </c>
      <c r="G38" s="24">
        <v>45966</v>
      </c>
      <c r="I38" s="23" t="s">
        <v>9</v>
      </c>
      <c r="J38" s="26">
        <f>ROUND(VLOOKUP(D38,SAP!$S$4:$T$18,2,0),2)</f>
        <v>-3658.19</v>
      </c>
      <c r="K38" s="26">
        <f t="shared" si="0"/>
        <v>15271.109999999999</v>
      </c>
    </row>
    <row r="39" spans="1:11" x14ac:dyDescent="0.25">
      <c r="A39">
        <v>1000</v>
      </c>
      <c r="B39">
        <v>1000</v>
      </c>
      <c r="C39" s="1">
        <v>45961</v>
      </c>
      <c r="D39" s="14" t="s">
        <v>34</v>
      </c>
      <c r="E39">
        <v>3225000040</v>
      </c>
      <c r="F39" s="2">
        <v>359.64</v>
      </c>
      <c r="G39" s="1">
        <v>45966</v>
      </c>
      <c r="I39" t="s">
        <v>9</v>
      </c>
      <c r="K39" s="2">
        <f t="shared" si="0"/>
        <v>359.64</v>
      </c>
    </row>
    <row r="40" spans="1:11" x14ac:dyDescent="0.25">
      <c r="A40">
        <v>1000</v>
      </c>
      <c r="B40">
        <v>1000</v>
      </c>
      <c r="C40" s="1">
        <v>45961</v>
      </c>
      <c r="D40" s="14" t="s">
        <v>190</v>
      </c>
      <c r="E40">
        <v>3341000050</v>
      </c>
      <c r="F40" s="2">
        <v>1973.34</v>
      </c>
      <c r="G40" s="1">
        <v>45966</v>
      </c>
      <c r="I40" t="s">
        <v>9</v>
      </c>
      <c r="K40" s="2">
        <f t="shared" si="0"/>
        <v>1973.34</v>
      </c>
    </row>
    <row r="41" spans="1:11" x14ac:dyDescent="0.25">
      <c r="A41">
        <v>1000</v>
      </c>
      <c r="B41">
        <v>1000</v>
      </c>
      <c r="C41" s="1">
        <v>45961</v>
      </c>
      <c r="D41" s="14" t="s">
        <v>191</v>
      </c>
      <c r="E41">
        <v>0</v>
      </c>
      <c r="F41" s="2">
        <v>962.35</v>
      </c>
      <c r="G41" s="1">
        <v>45966</v>
      </c>
      <c r="I41" t="s">
        <v>9</v>
      </c>
      <c r="K41" s="2">
        <f t="shared" si="0"/>
        <v>962.35</v>
      </c>
    </row>
    <row r="42" spans="1:11" x14ac:dyDescent="0.25">
      <c r="A42">
        <v>1000</v>
      </c>
      <c r="B42">
        <v>1000</v>
      </c>
      <c r="C42" s="1">
        <v>45961</v>
      </c>
      <c r="D42" s="14" t="s">
        <v>183</v>
      </c>
      <c r="E42">
        <v>3331000024</v>
      </c>
      <c r="F42" s="2">
        <v>3038.44</v>
      </c>
      <c r="G42" s="1">
        <v>45966</v>
      </c>
      <c r="I42" t="s">
        <v>9</v>
      </c>
      <c r="K42" s="2">
        <f t="shared" si="0"/>
        <v>3038.44</v>
      </c>
    </row>
    <row r="43" spans="1:11" x14ac:dyDescent="0.25">
      <c r="A43">
        <v>1000</v>
      </c>
      <c r="B43">
        <v>1000</v>
      </c>
      <c r="C43" s="1">
        <v>45961</v>
      </c>
      <c r="D43" s="14" t="s">
        <v>177</v>
      </c>
      <c r="E43">
        <v>3331000111</v>
      </c>
      <c r="F43" s="2">
        <v>51.17</v>
      </c>
      <c r="G43" s="1">
        <v>45966</v>
      </c>
      <c r="I43" t="s">
        <v>9</v>
      </c>
      <c r="K43" s="2">
        <f t="shared" si="0"/>
        <v>51.17</v>
      </c>
    </row>
    <row r="44" spans="1:11" x14ac:dyDescent="0.25">
      <c r="A44">
        <v>1000</v>
      </c>
      <c r="B44">
        <v>1000</v>
      </c>
      <c r="C44" s="1">
        <v>45961</v>
      </c>
      <c r="D44" s="14" t="s">
        <v>192</v>
      </c>
      <c r="E44">
        <v>0</v>
      </c>
      <c r="F44" s="2">
        <v>7033.05</v>
      </c>
      <c r="G44" s="1">
        <v>45966</v>
      </c>
      <c r="I44" t="s">
        <v>9</v>
      </c>
      <c r="K44" s="2">
        <f t="shared" si="0"/>
        <v>7033.05</v>
      </c>
    </row>
    <row r="45" spans="1:11" s="23" customFormat="1" x14ac:dyDescent="0.25">
      <c r="A45" s="23">
        <v>1000</v>
      </c>
      <c r="B45" s="23">
        <v>1000</v>
      </c>
      <c r="C45" s="24">
        <v>45961</v>
      </c>
      <c r="D45" s="25" t="s">
        <v>34</v>
      </c>
      <c r="E45" s="23">
        <v>0</v>
      </c>
      <c r="F45" s="26">
        <v>80709.36</v>
      </c>
      <c r="G45" s="24">
        <v>45966</v>
      </c>
      <c r="I45" s="23" t="s">
        <v>9</v>
      </c>
      <c r="J45" s="26">
        <f>ROUND(VLOOKUP(D45,SAP!$S$4:$T$18,2,0),2)</f>
        <v>-63019.79</v>
      </c>
      <c r="K45" s="26">
        <f t="shared" si="0"/>
        <v>17689.57</v>
      </c>
    </row>
    <row r="46" spans="1:11" x14ac:dyDescent="0.25">
      <c r="A46">
        <v>1000</v>
      </c>
      <c r="B46">
        <v>1000</v>
      </c>
      <c r="C46" s="1">
        <v>45961</v>
      </c>
      <c r="D46" s="14" t="s">
        <v>47</v>
      </c>
      <c r="E46">
        <v>3331004622</v>
      </c>
      <c r="F46" s="2">
        <v>497.03</v>
      </c>
      <c r="G46" s="1">
        <v>45966</v>
      </c>
      <c r="I46" t="s">
        <v>9</v>
      </c>
      <c r="K46" s="2">
        <f t="shared" si="0"/>
        <v>497.03</v>
      </c>
    </row>
    <row r="47" spans="1:11" x14ac:dyDescent="0.25">
      <c r="A47">
        <v>1000</v>
      </c>
      <c r="B47">
        <v>1000</v>
      </c>
      <c r="C47" s="1">
        <v>45961</v>
      </c>
      <c r="D47" s="14" t="s">
        <v>193</v>
      </c>
      <c r="E47">
        <v>0</v>
      </c>
      <c r="F47" s="2">
        <v>2568.61</v>
      </c>
      <c r="G47" s="1">
        <v>45966</v>
      </c>
      <c r="I47" t="s">
        <v>9</v>
      </c>
      <c r="K47" s="2">
        <f t="shared" si="0"/>
        <v>2568.61</v>
      </c>
    </row>
    <row r="48" spans="1:11" x14ac:dyDescent="0.25">
      <c r="A48">
        <v>1000</v>
      </c>
      <c r="B48">
        <v>1000</v>
      </c>
      <c r="C48" s="1">
        <v>45961</v>
      </c>
      <c r="D48" s="14" t="s">
        <v>34</v>
      </c>
      <c r="E48">
        <v>3224000007</v>
      </c>
      <c r="F48" s="2">
        <v>3157.61</v>
      </c>
      <c r="G48" s="1">
        <v>45966</v>
      </c>
      <c r="I48" t="s">
        <v>9</v>
      </c>
      <c r="K48" s="2">
        <f t="shared" si="0"/>
        <v>3157.61</v>
      </c>
    </row>
    <row r="49" spans="1:11" x14ac:dyDescent="0.25">
      <c r="A49">
        <v>1000</v>
      </c>
      <c r="B49">
        <v>1000</v>
      </c>
      <c r="C49" s="1">
        <v>45961</v>
      </c>
      <c r="D49" s="14" t="s">
        <v>194</v>
      </c>
      <c r="E49">
        <v>0</v>
      </c>
      <c r="F49" s="2">
        <v>2017.92</v>
      </c>
      <c r="G49" s="1">
        <v>45966</v>
      </c>
      <c r="I49" t="s">
        <v>9</v>
      </c>
      <c r="K49" s="2">
        <f t="shared" si="0"/>
        <v>2017.92</v>
      </c>
    </row>
    <row r="50" spans="1:11" x14ac:dyDescent="0.25">
      <c r="A50">
        <v>1000</v>
      </c>
      <c r="B50">
        <v>1000</v>
      </c>
      <c r="C50" s="1">
        <v>45961</v>
      </c>
      <c r="D50" s="14" t="s">
        <v>61</v>
      </c>
      <c r="E50">
        <v>3331004114</v>
      </c>
      <c r="F50" s="2">
        <v>332</v>
      </c>
      <c r="G50" s="1">
        <v>45966</v>
      </c>
      <c r="I50" t="s">
        <v>9</v>
      </c>
      <c r="K50" s="2">
        <f t="shared" si="0"/>
        <v>332</v>
      </c>
    </row>
    <row r="51" spans="1:11" x14ac:dyDescent="0.25">
      <c r="A51">
        <v>1000</v>
      </c>
      <c r="B51">
        <v>1000</v>
      </c>
      <c r="C51" s="1">
        <v>45961</v>
      </c>
      <c r="D51" s="14" t="s">
        <v>195</v>
      </c>
      <c r="E51">
        <v>3341000134</v>
      </c>
      <c r="F51" s="2">
        <v>273.05</v>
      </c>
      <c r="G51" s="1">
        <v>45966</v>
      </c>
      <c r="I51" t="s">
        <v>9</v>
      </c>
      <c r="K51" s="2">
        <f t="shared" si="0"/>
        <v>273.05</v>
      </c>
    </row>
    <row r="52" spans="1:11" x14ac:dyDescent="0.25">
      <c r="A52">
        <v>1000</v>
      </c>
      <c r="B52">
        <v>1000</v>
      </c>
      <c r="C52" s="1">
        <v>45961</v>
      </c>
      <c r="D52" s="14" t="s">
        <v>178</v>
      </c>
      <c r="E52">
        <v>3331004762</v>
      </c>
      <c r="F52" s="2">
        <v>44.73</v>
      </c>
      <c r="G52" s="1">
        <v>45966</v>
      </c>
      <c r="I52" t="s">
        <v>9</v>
      </c>
      <c r="K52" s="2">
        <f t="shared" si="0"/>
        <v>44.73</v>
      </c>
    </row>
    <row r="53" spans="1:11" x14ac:dyDescent="0.25">
      <c r="A53">
        <v>1000</v>
      </c>
      <c r="B53">
        <v>1000</v>
      </c>
      <c r="C53" s="1">
        <v>45961</v>
      </c>
      <c r="D53" s="14" t="s">
        <v>190</v>
      </c>
      <c r="E53">
        <v>0</v>
      </c>
      <c r="F53" s="2">
        <v>1432.31</v>
      </c>
      <c r="G53" s="1">
        <v>45966</v>
      </c>
      <c r="I53" t="s">
        <v>9</v>
      </c>
      <c r="K53" s="2">
        <f t="shared" si="0"/>
        <v>1432.31</v>
      </c>
    </row>
    <row r="54" spans="1:11" x14ac:dyDescent="0.25">
      <c r="A54">
        <v>1000</v>
      </c>
      <c r="B54">
        <v>1000</v>
      </c>
      <c r="C54" s="1">
        <v>45961</v>
      </c>
      <c r="D54" s="14" t="s">
        <v>196</v>
      </c>
      <c r="E54">
        <v>0</v>
      </c>
      <c r="F54" s="2">
        <v>356.56</v>
      </c>
      <c r="G54" s="1">
        <v>45966</v>
      </c>
      <c r="I54" t="s">
        <v>9</v>
      </c>
      <c r="K54" s="2">
        <f t="shared" si="0"/>
        <v>356.56</v>
      </c>
    </row>
    <row r="55" spans="1:11" x14ac:dyDescent="0.25">
      <c r="A55">
        <v>1000</v>
      </c>
      <c r="B55">
        <v>1000</v>
      </c>
      <c r="C55" s="1">
        <v>45961</v>
      </c>
      <c r="D55" s="14" t="s">
        <v>34</v>
      </c>
      <c r="E55">
        <v>3341000062</v>
      </c>
      <c r="F55" s="2">
        <v>1456.29</v>
      </c>
      <c r="G55" s="1">
        <v>45966</v>
      </c>
      <c r="I55" t="s">
        <v>9</v>
      </c>
      <c r="K55" s="2">
        <f t="shared" si="0"/>
        <v>1456.29</v>
      </c>
    </row>
    <row r="56" spans="1:11" x14ac:dyDescent="0.25">
      <c r="A56">
        <v>1000</v>
      </c>
      <c r="B56">
        <v>1000</v>
      </c>
      <c r="C56" s="1">
        <v>45961</v>
      </c>
      <c r="D56" s="14" t="s">
        <v>176</v>
      </c>
      <c r="E56">
        <v>3324000138</v>
      </c>
      <c r="F56" s="2">
        <v>116.54</v>
      </c>
      <c r="G56" s="1">
        <v>45966</v>
      </c>
      <c r="I56" t="s">
        <v>9</v>
      </c>
      <c r="K56" s="2">
        <f t="shared" si="0"/>
        <v>116.54</v>
      </c>
    </row>
    <row r="57" spans="1:11" x14ac:dyDescent="0.25">
      <c r="A57">
        <v>1000</v>
      </c>
      <c r="B57">
        <v>1000</v>
      </c>
      <c r="C57" s="1">
        <v>45961</v>
      </c>
      <c r="D57" s="14" t="s">
        <v>195</v>
      </c>
      <c r="E57">
        <v>0</v>
      </c>
      <c r="F57" s="2">
        <v>3085.89</v>
      </c>
      <c r="G57" s="1">
        <v>45966</v>
      </c>
      <c r="I57" t="s">
        <v>9</v>
      </c>
      <c r="K57" s="2">
        <f t="shared" si="0"/>
        <v>3085.89</v>
      </c>
    </row>
    <row r="58" spans="1:11" s="23" customFormat="1" x14ac:dyDescent="0.25">
      <c r="A58" s="23">
        <v>1000</v>
      </c>
      <c r="B58" s="23">
        <v>1000</v>
      </c>
      <c r="C58" s="24">
        <v>45961</v>
      </c>
      <c r="D58" s="25" t="s">
        <v>34</v>
      </c>
      <c r="E58" s="23">
        <v>3224000002</v>
      </c>
      <c r="F58" s="26">
        <v>57403.73</v>
      </c>
      <c r="G58" s="24">
        <v>45966</v>
      </c>
      <c r="I58" s="23" t="s">
        <v>9</v>
      </c>
      <c r="J58" s="27">
        <f>+SAP!M40</f>
        <v>-51663.357000000004</v>
      </c>
      <c r="K58" s="26">
        <f t="shared" si="0"/>
        <v>5740.3729999999996</v>
      </c>
    </row>
    <row r="59" spans="1:11" x14ac:dyDescent="0.25">
      <c r="A59">
        <v>1000</v>
      </c>
      <c r="B59">
        <v>1000</v>
      </c>
      <c r="C59" s="1">
        <v>45961</v>
      </c>
      <c r="D59" s="14" t="s">
        <v>56</v>
      </c>
      <c r="E59">
        <v>3331000054</v>
      </c>
      <c r="F59" s="2">
        <v>1094.06</v>
      </c>
      <c r="G59" s="1">
        <v>45966</v>
      </c>
      <c r="I59" t="s">
        <v>9</v>
      </c>
      <c r="K59" s="2">
        <f t="shared" si="0"/>
        <v>1094.06</v>
      </c>
    </row>
    <row r="60" spans="1:11" x14ac:dyDescent="0.25">
      <c r="A60">
        <v>1000</v>
      </c>
      <c r="B60">
        <v>1000</v>
      </c>
      <c r="C60" s="1">
        <v>45961</v>
      </c>
      <c r="D60" s="14" t="s">
        <v>183</v>
      </c>
      <c r="E60">
        <v>3331000005</v>
      </c>
      <c r="F60" s="2">
        <v>1191.1099999999999</v>
      </c>
      <c r="G60" s="1">
        <v>45966</v>
      </c>
      <c r="I60" t="s">
        <v>9</v>
      </c>
      <c r="K60" s="2">
        <f t="shared" si="0"/>
        <v>1191.1099999999999</v>
      </c>
    </row>
    <row r="61" spans="1:11" x14ac:dyDescent="0.25">
      <c r="A61">
        <v>1000</v>
      </c>
      <c r="B61">
        <v>1000</v>
      </c>
      <c r="C61" s="1">
        <v>45961</v>
      </c>
      <c r="D61" s="14" t="s">
        <v>176</v>
      </c>
      <c r="E61">
        <v>3324000155</v>
      </c>
      <c r="F61" s="2">
        <v>117.15</v>
      </c>
      <c r="G61" s="1">
        <v>45966</v>
      </c>
      <c r="I61" t="s">
        <v>9</v>
      </c>
      <c r="K61" s="2">
        <f t="shared" si="0"/>
        <v>117.15</v>
      </c>
    </row>
    <row r="62" spans="1:11" x14ac:dyDescent="0.25">
      <c r="A62">
        <v>1000</v>
      </c>
      <c r="B62">
        <v>1000</v>
      </c>
      <c r="C62" s="1">
        <v>45961</v>
      </c>
      <c r="D62" s="14" t="s">
        <v>47</v>
      </c>
      <c r="E62">
        <v>3331004620</v>
      </c>
      <c r="F62" s="2">
        <v>496.88</v>
      </c>
      <c r="G62" s="1">
        <v>45966</v>
      </c>
      <c r="I62" t="s">
        <v>9</v>
      </c>
      <c r="K62" s="2">
        <f t="shared" si="0"/>
        <v>496.88</v>
      </c>
    </row>
    <row r="63" spans="1:11" x14ac:dyDescent="0.25">
      <c r="A63">
        <v>1000</v>
      </c>
      <c r="B63">
        <v>1000</v>
      </c>
      <c r="C63" s="1">
        <v>45961</v>
      </c>
      <c r="D63" s="14" t="s">
        <v>178</v>
      </c>
      <c r="E63">
        <v>0</v>
      </c>
      <c r="F63" s="2">
        <v>129.46</v>
      </c>
      <c r="G63" s="1">
        <v>45966</v>
      </c>
      <c r="I63" t="s">
        <v>9</v>
      </c>
      <c r="K63" s="2">
        <f t="shared" si="0"/>
        <v>129.46</v>
      </c>
    </row>
    <row r="64" spans="1:11" x14ac:dyDescent="0.25">
      <c r="A64">
        <v>1000</v>
      </c>
      <c r="B64">
        <v>1000</v>
      </c>
      <c r="C64" s="1">
        <v>45961</v>
      </c>
      <c r="D64" s="14" t="s">
        <v>34</v>
      </c>
      <c r="E64">
        <v>3341000061</v>
      </c>
      <c r="F64" s="2">
        <v>1456.29</v>
      </c>
      <c r="G64" s="1">
        <v>45966</v>
      </c>
      <c r="I64" t="s">
        <v>9</v>
      </c>
      <c r="K64" s="2">
        <f t="shared" si="0"/>
        <v>1456.29</v>
      </c>
    </row>
    <row r="65" spans="1:11" x14ac:dyDescent="0.25">
      <c r="A65">
        <v>1000</v>
      </c>
      <c r="B65">
        <v>1000</v>
      </c>
      <c r="C65" s="1">
        <v>45961</v>
      </c>
      <c r="D65" s="14" t="s">
        <v>34</v>
      </c>
      <c r="E65">
        <v>3224000054</v>
      </c>
      <c r="F65" s="2">
        <v>7194.87</v>
      </c>
      <c r="G65" s="1">
        <v>45966</v>
      </c>
      <c r="I65" t="s">
        <v>9</v>
      </c>
      <c r="K65" s="2">
        <f t="shared" si="0"/>
        <v>7194.87</v>
      </c>
    </row>
    <row r="66" spans="1:11" x14ac:dyDescent="0.25">
      <c r="A66">
        <v>1000</v>
      </c>
      <c r="B66">
        <v>1000</v>
      </c>
      <c r="C66" s="1">
        <v>45961</v>
      </c>
      <c r="D66" s="14" t="s">
        <v>183</v>
      </c>
      <c r="E66">
        <v>3331004635</v>
      </c>
      <c r="F66" s="2">
        <v>115.56</v>
      </c>
      <c r="G66" s="1">
        <v>45966</v>
      </c>
      <c r="I66" t="s">
        <v>9</v>
      </c>
      <c r="K66" s="2">
        <f t="shared" si="0"/>
        <v>115.56</v>
      </c>
    </row>
    <row r="67" spans="1:11" x14ac:dyDescent="0.25">
      <c r="A67">
        <v>1000</v>
      </c>
      <c r="B67">
        <v>1000</v>
      </c>
      <c r="C67" s="1">
        <v>45961</v>
      </c>
      <c r="D67" s="14" t="s">
        <v>183</v>
      </c>
      <c r="E67">
        <v>3331002816</v>
      </c>
      <c r="F67" s="2">
        <v>123.22</v>
      </c>
      <c r="G67" s="1">
        <v>45966</v>
      </c>
      <c r="I67" t="s">
        <v>9</v>
      </c>
      <c r="K67" s="2">
        <f t="shared" si="0"/>
        <v>123.22</v>
      </c>
    </row>
    <row r="68" spans="1:11" x14ac:dyDescent="0.25">
      <c r="A68">
        <v>1000</v>
      </c>
      <c r="B68">
        <v>1000</v>
      </c>
      <c r="C68" s="1">
        <v>45961</v>
      </c>
      <c r="D68" s="14" t="s">
        <v>67</v>
      </c>
      <c r="E68">
        <v>3341000146</v>
      </c>
      <c r="F68" s="2">
        <v>157.94</v>
      </c>
      <c r="G68" s="1">
        <v>45966</v>
      </c>
      <c r="I68" t="s">
        <v>9</v>
      </c>
      <c r="K68" s="2">
        <f t="shared" ref="K68:K131" si="1">+F68+J68</f>
        <v>157.94</v>
      </c>
    </row>
    <row r="69" spans="1:11" x14ac:dyDescent="0.25">
      <c r="A69">
        <v>1000</v>
      </c>
      <c r="B69">
        <v>1000</v>
      </c>
      <c r="C69" s="1">
        <v>45961</v>
      </c>
      <c r="D69" s="14" t="s">
        <v>183</v>
      </c>
      <c r="E69">
        <v>3369001477</v>
      </c>
      <c r="F69" s="2">
        <v>61.8</v>
      </c>
      <c r="G69" s="1">
        <v>45966</v>
      </c>
      <c r="I69" t="s">
        <v>9</v>
      </c>
      <c r="K69" s="2">
        <f t="shared" si="1"/>
        <v>61.8</v>
      </c>
    </row>
    <row r="70" spans="1:11" s="23" customFormat="1" x14ac:dyDescent="0.25">
      <c r="A70" s="23">
        <v>1000</v>
      </c>
      <c r="B70" s="23">
        <v>1000</v>
      </c>
      <c r="C70" s="24">
        <v>45961</v>
      </c>
      <c r="D70" s="25" t="s">
        <v>64</v>
      </c>
      <c r="E70" s="23">
        <v>0</v>
      </c>
      <c r="F70" s="26">
        <v>17480.13</v>
      </c>
      <c r="G70" s="24">
        <v>45966</v>
      </c>
      <c r="I70" s="23" t="s">
        <v>9</v>
      </c>
      <c r="J70" s="26">
        <f>ROUND(VLOOKUP(D70,SAP!$S$4:$T$18,2,0),2)</f>
        <v>-8596</v>
      </c>
      <c r="K70" s="26">
        <f t="shared" si="1"/>
        <v>8884.130000000001</v>
      </c>
    </row>
    <row r="71" spans="1:11" x14ac:dyDescent="0.25">
      <c r="A71">
        <v>1000</v>
      </c>
      <c r="B71">
        <v>1000</v>
      </c>
      <c r="C71" s="1">
        <v>45961</v>
      </c>
      <c r="D71" s="14" t="s">
        <v>34</v>
      </c>
      <c r="E71">
        <v>3225000025</v>
      </c>
      <c r="F71" s="2">
        <v>346.44</v>
      </c>
      <c r="G71" s="1">
        <v>45966</v>
      </c>
      <c r="I71" t="s">
        <v>9</v>
      </c>
      <c r="K71" s="2">
        <f t="shared" si="1"/>
        <v>346.44</v>
      </c>
    </row>
    <row r="72" spans="1:11" x14ac:dyDescent="0.25">
      <c r="A72">
        <v>1000</v>
      </c>
      <c r="B72">
        <v>1000</v>
      </c>
      <c r="C72" s="1">
        <v>45961</v>
      </c>
      <c r="D72" s="14" t="s">
        <v>34</v>
      </c>
      <c r="E72">
        <v>3225000016</v>
      </c>
      <c r="F72" s="2">
        <v>301.75</v>
      </c>
      <c r="G72" s="1">
        <v>45966</v>
      </c>
      <c r="I72" t="s">
        <v>9</v>
      </c>
      <c r="K72" s="2">
        <f t="shared" si="1"/>
        <v>301.75</v>
      </c>
    </row>
    <row r="73" spans="1:11" x14ac:dyDescent="0.25">
      <c r="A73">
        <v>1000</v>
      </c>
      <c r="B73">
        <v>1000</v>
      </c>
      <c r="C73" s="1">
        <v>45961</v>
      </c>
      <c r="D73" s="14" t="s">
        <v>47</v>
      </c>
      <c r="E73">
        <v>3331004647</v>
      </c>
      <c r="F73" s="2">
        <v>221.54</v>
      </c>
      <c r="G73" s="1">
        <v>45966</v>
      </c>
      <c r="I73" t="s">
        <v>9</v>
      </c>
      <c r="K73" s="2">
        <f t="shared" si="1"/>
        <v>221.54</v>
      </c>
    </row>
    <row r="74" spans="1:11" x14ac:dyDescent="0.25">
      <c r="A74">
        <v>1000</v>
      </c>
      <c r="B74">
        <v>1000</v>
      </c>
      <c r="C74" s="1">
        <v>45961</v>
      </c>
      <c r="D74" s="14" t="s">
        <v>183</v>
      </c>
      <c r="E74">
        <v>3224000027</v>
      </c>
      <c r="F74" s="2">
        <v>3434.75</v>
      </c>
      <c r="G74" s="1">
        <v>45966</v>
      </c>
      <c r="I74" t="s">
        <v>9</v>
      </c>
      <c r="K74" s="2">
        <f t="shared" si="1"/>
        <v>3434.75</v>
      </c>
    </row>
    <row r="75" spans="1:11" x14ac:dyDescent="0.25">
      <c r="A75">
        <v>1000</v>
      </c>
      <c r="B75">
        <v>1000</v>
      </c>
      <c r="C75" s="1">
        <v>45961</v>
      </c>
      <c r="D75" s="14" t="s">
        <v>176</v>
      </c>
      <c r="E75">
        <v>3331002938</v>
      </c>
      <c r="F75" s="2">
        <v>453</v>
      </c>
      <c r="G75" s="1">
        <v>45966</v>
      </c>
      <c r="I75" t="s">
        <v>9</v>
      </c>
      <c r="K75" s="2">
        <f t="shared" si="1"/>
        <v>453</v>
      </c>
    </row>
    <row r="76" spans="1:11" x14ac:dyDescent="0.25">
      <c r="A76">
        <v>1000</v>
      </c>
      <c r="B76">
        <v>1000</v>
      </c>
      <c r="C76" s="1">
        <v>45961</v>
      </c>
      <c r="D76" s="14" t="s">
        <v>67</v>
      </c>
      <c r="E76">
        <v>3331004737</v>
      </c>
      <c r="F76" s="2">
        <v>669.49</v>
      </c>
      <c r="G76" s="1">
        <v>45966</v>
      </c>
      <c r="I76" t="s">
        <v>9</v>
      </c>
      <c r="K76" s="2">
        <f t="shared" si="1"/>
        <v>669.49</v>
      </c>
    </row>
    <row r="77" spans="1:11" x14ac:dyDescent="0.25">
      <c r="A77">
        <v>1000</v>
      </c>
      <c r="B77">
        <v>1000</v>
      </c>
      <c r="C77" s="1">
        <v>45961</v>
      </c>
      <c r="D77" s="14" t="s">
        <v>34</v>
      </c>
      <c r="E77">
        <v>3224000015</v>
      </c>
      <c r="F77" s="2">
        <v>2859.75</v>
      </c>
      <c r="G77" s="1">
        <v>45966</v>
      </c>
      <c r="I77" t="s">
        <v>9</v>
      </c>
      <c r="K77" s="2">
        <f t="shared" si="1"/>
        <v>2859.75</v>
      </c>
    </row>
    <row r="78" spans="1:11" x14ac:dyDescent="0.25">
      <c r="A78">
        <v>1000</v>
      </c>
      <c r="B78">
        <v>1000</v>
      </c>
      <c r="C78" s="1">
        <v>45961</v>
      </c>
      <c r="D78" s="14" t="s">
        <v>183</v>
      </c>
      <c r="E78">
        <v>3331004634</v>
      </c>
      <c r="F78" s="2">
        <v>129.44</v>
      </c>
      <c r="G78" s="1">
        <v>45966</v>
      </c>
      <c r="I78" t="s">
        <v>9</v>
      </c>
      <c r="K78" s="2">
        <f t="shared" si="1"/>
        <v>129.44</v>
      </c>
    </row>
    <row r="79" spans="1:11" x14ac:dyDescent="0.25">
      <c r="A79">
        <v>1000</v>
      </c>
      <c r="B79">
        <v>1000</v>
      </c>
      <c r="C79" s="1">
        <v>45961</v>
      </c>
      <c r="D79" s="14" t="s">
        <v>56</v>
      </c>
      <c r="E79">
        <v>3331002904</v>
      </c>
      <c r="F79" s="2">
        <v>72.47</v>
      </c>
      <c r="G79" s="1">
        <v>45966</v>
      </c>
      <c r="I79" t="s">
        <v>9</v>
      </c>
      <c r="K79" s="2">
        <f t="shared" si="1"/>
        <v>72.47</v>
      </c>
    </row>
    <row r="80" spans="1:11" x14ac:dyDescent="0.25">
      <c r="A80">
        <v>1000</v>
      </c>
      <c r="B80">
        <v>1000</v>
      </c>
      <c r="C80" s="1">
        <v>45961</v>
      </c>
      <c r="D80" s="14" t="s">
        <v>53</v>
      </c>
      <c r="E80">
        <v>3331003040</v>
      </c>
      <c r="F80" s="2">
        <v>202.76</v>
      </c>
      <c r="G80" s="1">
        <v>45966</v>
      </c>
      <c r="I80" t="s">
        <v>9</v>
      </c>
      <c r="K80" s="2">
        <f t="shared" si="1"/>
        <v>202.76</v>
      </c>
    </row>
    <row r="81" spans="1:11" x14ac:dyDescent="0.25">
      <c r="A81">
        <v>1000</v>
      </c>
      <c r="B81">
        <v>1000</v>
      </c>
      <c r="C81" s="1">
        <v>45961</v>
      </c>
      <c r="D81" s="14" t="s">
        <v>34</v>
      </c>
      <c r="E81">
        <v>3225000045</v>
      </c>
      <c r="F81" s="2">
        <v>359.64</v>
      </c>
      <c r="G81" s="1">
        <v>45966</v>
      </c>
      <c r="I81" t="s">
        <v>9</v>
      </c>
      <c r="K81" s="2">
        <f t="shared" si="1"/>
        <v>359.64</v>
      </c>
    </row>
    <row r="82" spans="1:11" x14ac:dyDescent="0.25">
      <c r="A82">
        <v>1000</v>
      </c>
      <c r="B82">
        <v>1000</v>
      </c>
      <c r="C82" s="1">
        <v>45961</v>
      </c>
      <c r="D82" s="14" t="s">
        <v>176</v>
      </c>
      <c r="E82">
        <v>3324000162</v>
      </c>
      <c r="F82" s="2">
        <v>61.68</v>
      </c>
      <c r="G82" s="1">
        <v>45966</v>
      </c>
      <c r="I82" t="s">
        <v>9</v>
      </c>
      <c r="K82" s="2">
        <f t="shared" si="1"/>
        <v>61.68</v>
      </c>
    </row>
    <row r="83" spans="1:11" x14ac:dyDescent="0.25">
      <c r="A83">
        <v>1000</v>
      </c>
      <c r="B83">
        <v>1000</v>
      </c>
      <c r="C83" s="1">
        <v>45961</v>
      </c>
      <c r="D83" s="14" t="s">
        <v>61</v>
      </c>
      <c r="E83">
        <v>3331004113</v>
      </c>
      <c r="F83" s="2">
        <v>329.77</v>
      </c>
      <c r="G83" s="1">
        <v>45966</v>
      </c>
      <c r="I83" t="s">
        <v>9</v>
      </c>
      <c r="K83" s="2">
        <f t="shared" si="1"/>
        <v>329.77</v>
      </c>
    </row>
    <row r="84" spans="1:11" x14ac:dyDescent="0.25">
      <c r="A84">
        <v>1000</v>
      </c>
      <c r="B84">
        <v>1000</v>
      </c>
      <c r="C84" s="1">
        <v>45961</v>
      </c>
      <c r="D84" s="14" t="s">
        <v>34</v>
      </c>
      <c r="E84">
        <v>3331000010</v>
      </c>
      <c r="F84" s="2">
        <v>2319.6799999999998</v>
      </c>
      <c r="G84" s="1">
        <v>45966</v>
      </c>
      <c r="I84" t="s">
        <v>9</v>
      </c>
      <c r="K84" s="2">
        <f t="shared" si="1"/>
        <v>2319.6799999999998</v>
      </c>
    </row>
    <row r="85" spans="1:11" x14ac:dyDescent="0.25">
      <c r="A85">
        <v>1000</v>
      </c>
      <c r="B85">
        <v>1000</v>
      </c>
      <c r="C85" s="1">
        <v>45961</v>
      </c>
      <c r="D85" s="14" t="s">
        <v>176</v>
      </c>
      <c r="E85">
        <v>3324000154</v>
      </c>
      <c r="F85" s="2">
        <v>123.3</v>
      </c>
      <c r="G85" s="1">
        <v>45966</v>
      </c>
      <c r="I85" t="s">
        <v>9</v>
      </c>
      <c r="K85" s="2">
        <f t="shared" si="1"/>
        <v>123.3</v>
      </c>
    </row>
    <row r="86" spans="1:11" x14ac:dyDescent="0.25">
      <c r="A86">
        <v>1000</v>
      </c>
      <c r="B86">
        <v>1000</v>
      </c>
      <c r="C86" s="1">
        <v>45961</v>
      </c>
      <c r="D86" s="14" t="s">
        <v>183</v>
      </c>
      <c r="E86">
        <v>3224000057</v>
      </c>
      <c r="F86" s="2">
        <v>3712.78</v>
      </c>
      <c r="G86" s="1">
        <v>45966</v>
      </c>
      <c r="I86" t="s">
        <v>9</v>
      </c>
      <c r="K86" s="2">
        <f t="shared" si="1"/>
        <v>3712.78</v>
      </c>
    </row>
    <row r="87" spans="1:11" x14ac:dyDescent="0.25">
      <c r="A87">
        <v>1000</v>
      </c>
      <c r="B87">
        <v>1000</v>
      </c>
      <c r="C87" s="1">
        <v>45961</v>
      </c>
      <c r="D87" s="14" t="s">
        <v>197</v>
      </c>
      <c r="E87">
        <v>0</v>
      </c>
      <c r="F87" s="2">
        <v>134.87</v>
      </c>
      <c r="G87" s="1">
        <v>45966</v>
      </c>
      <c r="I87" t="s">
        <v>9</v>
      </c>
      <c r="K87" s="2">
        <f t="shared" si="1"/>
        <v>134.87</v>
      </c>
    </row>
    <row r="88" spans="1:11" x14ac:dyDescent="0.25">
      <c r="A88">
        <v>1000</v>
      </c>
      <c r="B88">
        <v>1000</v>
      </c>
      <c r="C88" s="1">
        <v>45961</v>
      </c>
      <c r="D88" s="14" t="s">
        <v>34</v>
      </c>
      <c r="E88">
        <v>3225000039</v>
      </c>
      <c r="F88" s="2">
        <v>359.64</v>
      </c>
      <c r="G88" s="1">
        <v>45966</v>
      </c>
      <c r="I88" t="s">
        <v>9</v>
      </c>
      <c r="K88" s="2">
        <f t="shared" si="1"/>
        <v>359.64</v>
      </c>
    </row>
    <row r="89" spans="1:11" x14ac:dyDescent="0.25">
      <c r="A89">
        <v>1000</v>
      </c>
      <c r="B89">
        <v>1000</v>
      </c>
      <c r="C89" s="1">
        <v>45961</v>
      </c>
      <c r="D89" s="14" t="s">
        <v>47</v>
      </c>
      <c r="E89">
        <v>3331004803</v>
      </c>
      <c r="F89" s="2">
        <v>472.16</v>
      </c>
      <c r="G89" s="1">
        <v>45966</v>
      </c>
      <c r="I89" t="s">
        <v>9</v>
      </c>
      <c r="K89" s="2">
        <f t="shared" si="1"/>
        <v>472.16</v>
      </c>
    </row>
    <row r="90" spans="1:11" x14ac:dyDescent="0.25">
      <c r="A90">
        <v>1000</v>
      </c>
      <c r="B90">
        <v>1000</v>
      </c>
      <c r="C90" s="1">
        <v>45961</v>
      </c>
      <c r="D90" s="14" t="s">
        <v>178</v>
      </c>
      <c r="E90">
        <v>3331000017</v>
      </c>
      <c r="F90" s="2">
        <v>2649.49</v>
      </c>
      <c r="G90" s="1">
        <v>45966</v>
      </c>
      <c r="I90" t="s">
        <v>9</v>
      </c>
      <c r="K90" s="2">
        <f t="shared" si="1"/>
        <v>2649.49</v>
      </c>
    </row>
    <row r="91" spans="1:11" x14ac:dyDescent="0.25">
      <c r="A91">
        <v>1000</v>
      </c>
      <c r="B91">
        <v>1000</v>
      </c>
      <c r="C91" s="1">
        <v>45961</v>
      </c>
      <c r="D91" s="14" t="s">
        <v>178</v>
      </c>
      <c r="E91">
        <v>3331000385</v>
      </c>
      <c r="F91" s="2">
        <v>2602.67</v>
      </c>
      <c r="G91" s="1">
        <v>45966</v>
      </c>
      <c r="I91" t="s">
        <v>9</v>
      </c>
      <c r="K91" s="2">
        <f t="shared" si="1"/>
        <v>2602.67</v>
      </c>
    </row>
    <row r="92" spans="1:11" x14ac:dyDescent="0.25">
      <c r="A92">
        <v>1000</v>
      </c>
      <c r="B92">
        <v>1000</v>
      </c>
      <c r="C92" s="1">
        <v>45961</v>
      </c>
      <c r="D92" s="14" t="s">
        <v>47</v>
      </c>
      <c r="E92">
        <v>3331004621</v>
      </c>
      <c r="F92" s="2">
        <v>496.88</v>
      </c>
      <c r="G92" s="1">
        <v>45966</v>
      </c>
      <c r="I92" t="s">
        <v>9</v>
      </c>
      <c r="K92" s="2">
        <f t="shared" si="1"/>
        <v>496.88</v>
      </c>
    </row>
    <row r="93" spans="1:11" x14ac:dyDescent="0.25">
      <c r="A93">
        <v>1000</v>
      </c>
      <c r="B93">
        <v>1000</v>
      </c>
      <c r="C93" s="1">
        <v>45961</v>
      </c>
      <c r="D93" s="14" t="s">
        <v>56</v>
      </c>
      <c r="E93">
        <v>3341000131</v>
      </c>
      <c r="F93" s="2">
        <v>270.44</v>
      </c>
      <c r="G93" s="1">
        <v>45966</v>
      </c>
      <c r="I93" t="s">
        <v>9</v>
      </c>
      <c r="K93" s="2">
        <f t="shared" si="1"/>
        <v>270.44</v>
      </c>
    </row>
    <row r="94" spans="1:11" x14ac:dyDescent="0.25">
      <c r="A94">
        <v>1000</v>
      </c>
      <c r="B94">
        <v>1000</v>
      </c>
      <c r="C94" s="1">
        <v>45961</v>
      </c>
      <c r="D94" s="14" t="s">
        <v>176</v>
      </c>
      <c r="E94">
        <v>3324000137</v>
      </c>
      <c r="F94" s="2">
        <v>145.66999999999999</v>
      </c>
      <c r="G94" s="1">
        <v>45966</v>
      </c>
      <c r="I94" t="s">
        <v>9</v>
      </c>
      <c r="K94" s="2">
        <f t="shared" si="1"/>
        <v>145.66999999999999</v>
      </c>
    </row>
    <row r="95" spans="1:11" x14ac:dyDescent="0.25">
      <c r="A95">
        <v>1000</v>
      </c>
      <c r="B95">
        <v>1000</v>
      </c>
      <c r="C95" s="1">
        <v>45961</v>
      </c>
      <c r="D95" s="14" t="s">
        <v>34</v>
      </c>
      <c r="E95">
        <v>3224000047</v>
      </c>
      <c r="F95" s="2">
        <v>932.4</v>
      </c>
      <c r="G95" s="1">
        <v>45966</v>
      </c>
      <c r="I95" t="s">
        <v>9</v>
      </c>
      <c r="K95" s="2">
        <f t="shared" si="1"/>
        <v>932.4</v>
      </c>
    </row>
    <row r="96" spans="1:11" x14ac:dyDescent="0.25">
      <c r="A96">
        <v>1000</v>
      </c>
      <c r="B96">
        <v>1000</v>
      </c>
      <c r="C96" s="1">
        <v>45961</v>
      </c>
      <c r="D96" s="14" t="s">
        <v>177</v>
      </c>
      <c r="E96">
        <v>3331002843</v>
      </c>
      <c r="F96" s="2">
        <v>63.75</v>
      </c>
      <c r="G96" s="1">
        <v>45966</v>
      </c>
      <c r="I96" t="s">
        <v>9</v>
      </c>
      <c r="K96" s="2">
        <f t="shared" si="1"/>
        <v>63.75</v>
      </c>
    </row>
    <row r="97" spans="1:11" x14ac:dyDescent="0.25">
      <c r="A97">
        <v>1000</v>
      </c>
      <c r="B97">
        <v>1000</v>
      </c>
      <c r="C97" s="1">
        <v>45961</v>
      </c>
      <c r="D97" s="14" t="s">
        <v>47</v>
      </c>
      <c r="E97">
        <v>3224000026</v>
      </c>
      <c r="F97" s="2">
        <v>2906.04</v>
      </c>
      <c r="G97" s="1">
        <v>45966</v>
      </c>
      <c r="I97" t="s">
        <v>9</v>
      </c>
      <c r="K97" s="2">
        <f t="shared" si="1"/>
        <v>2906.04</v>
      </c>
    </row>
    <row r="98" spans="1:11" s="23" customFormat="1" x14ac:dyDescent="0.25">
      <c r="A98" s="23">
        <v>1000</v>
      </c>
      <c r="B98" s="23">
        <v>1000</v>
      </c>
      <c r="C98" s="24">
        <v>45961</v>
      </c>
      <c r="D98" s="25" t="s">
        <v>50</v>
      </c>
      <c r="E98" s="23">
        <v>0</v>
      </c>
      <c r="F98" s="26">
        <v>21183.58</v>
      </c>
      <c r="G98" s="24">
        <v>45966</v>
      </c>
      <c r="I98" s="23" t="s">
        <v>9</v>
      </c>
      <c r="J98" s="26">
        <f>ROUND(VLOOKUP(D98,SAP!$S$4:$T$18,2,0),2)</f>
        <v>-19065.22</v>
      </c>
      <c r="K98" s="26">
        <f t="shared" si="1"/>
        <v>2118.3600000000006</v>
      </c>
    </row>
    <row r="99" spans="1:11" x14ac:dyDescent="0.25">
      <c r="A99">
        <v>1000</v>
      </c>
      <c r="B99">
        <v>1000</v>
      </c>
      <c r="C99" s="1">
        <v>45961</v>
      </c>
      <c r="D99" s="14" t="s">
        <v>31</v>
      </c>
      <c r="E99">
        <v>3331002852</v>
      </c>
      <c r="F99" s="2">
        <v>1335.37</v>
      </c>
      <c r="G99" s="1">
        <v>45966</v>
      </c>
      <c r="I99" t="s">
        <v>9</v>
      </c>
      <c r="K99" s="2">
        <f t="shared" si="1"/>
        <v>1335.37</v>
      </c>
    </row>
    <row r="100" spans="1:11" x14ac:dyDescent="0.25">
      <c r="A100">
        <v>1000</v>
      </c>
      <c r="B100">
        <v>1000</v>
      </c>
      <c r="C100" s="1">
        <v>45961</v>
      </c>
      <c r="D100" s="14" t="s">
        <v>183</v>
      </c>
      <c r="E100">
        <v>3331004636</v>
      </c>
      <c r="F100" s="2">
        <v>238.12</v>
      </c>
      <c r="G100" s="1">
        <v>45966</v>
      </c>
      <c r="I100" t="s">
        <v>9</v>
      </c>
      <c r="K100" s="2">
        <f t="shared" si="1"/>
        <v>238.12</v>
      </c>
    </row>
    <row r="101" spans="1:11" x14ac:dyDescent="0.25">
      <c r="A101">
        <v>1000</v>
      </c>
      <c r="B101">
        <v>1000</v>
      </c>
      <c r="C101" s="1">
        <v>45961</v>
      </c>
      <c r="D101" s="14" t="s">
        <v>176</v>
      </c>
      <c r="E101">
        <v>3331002942</v>
      </c>
      <c r="F101" s="2">
        <v>349.26</v>
      </c>
      <c r="G101" s="1">
        <v>45966</v>
      </c>
      <c r="I101" t="s">
        <v>9</v>
      </c>
      <c r="K101" s="2">
        <f t="shared" si="1"/>
        <v>349.26</v>
      </c>
    </row>
    <row r="102" spans="1:11" s="23" customFormat="1" x14ac:dyDescent="0.25">
      <c r="A102" s="23">
        <v>1000</v>
      </c>
      <c r="B102" s="23">
        <v>1000</v>
      </c>
      <c r="C102" s="24">
        <v>45961</v>
      </c>
      <c r="D102" s="25" t="s">
        <v>34</v>
      </c>
      <c r="E102" s="23">
        <v>3224000003</v>
      </c>
      <c r="F102" s="26">
        <v>22724.34</v>
      </c>
      <c r="G102" s="24">
        <v>45966</v>
      </c>
      <c r="I102" s="23" t="s">
        <v>9</v>
      </c>
      <c r="J102" s="27">
        <f>+SAP!M38</f>
        <v>-17043.260000000002</v>
      </c>
      <c r="K102" s="26">
        <f t="shared" si="1"/>
        <v>5681.0799999999981</v>
      </c>
    </row>
    <row r="103" spans="1:11" x14ac:dyDescent="0.25">
      <c r="A103">
        <v>1000</v>
      </c>
      <c r="B103">
        <v>1000</v>
      </c>
      <c r="C103" s="1">
        <v>45961</v>
      </c>
      <c r="D103" s="14" t="s">
        <v>34</v>
      </c>
      <c r="E103">
        <v>3224000045</v>
      </c>
      <c r="F103" s="2">
        <v>932.4</v>
      </c>
      <c r="G103" s="1">
        <v>45966</v>
      </c>
      <c r="I103" t="s">
        <v>9</v>
      </c>
      <c r="K103" s="2">
        <f t="shared" si="1"/>
        <v>932.4</v>
      </c>
    </row>
    <row r="104" spans="1:11" x14ac:dyDescent="0.25">
      <c r="A104">
        <v>1000</v>
      </c>
      <c r="B104">
        <v>1000</v>
      </c>
      <c r="C104" s="1">
        <v>45961</v>
      </c>
      <c r="D104" s="14" t="s">
        <v>31</v>
      </c>
      <c r="E104">
        <v>3331000308</v>
      </c>
      <c r="F104" s="2">
        <v>1509.78</v>
      </c>
      <c r="G104" s="1">
        <v>45966</v>
      </c>
      <c r="I104" t="s">
        <v>9</v>
      </c>
      <c r="K104" s="2">
        <f t="shared" si="1"/>
        <v>1509.78</v>
      </c>
    </row>
    <row r="105" spans="1:11" x14ac:dyDescent="0.25">
      <c r="A105">
        <v>1000</v>
      </c>
      <c r="B105">
        <v>1000</v>
      </c>
      <c r="C105" s="1">
        <v>45961</v>
      </c>
      <c r="D105" s="14" t="s">
        <v>34</v>
      </c>
      <c r="E105">
        <v>3225000054</v>
      </c>
      <c r="F105" s="2">
        <v>318.19</v>
      </c>
      <c r="G105" s="1">
        <v>45966</v>
      </c>
      <c r="I105" t="s">
        <v>9</v>
      </c>
      <c r="K105" s="2">
        <f t="shared" si="1"/>
        <v>318.19</v>
      </c>
    </row>
    <row r="106" spans="1:11" x14ac:dyDescent="0.25">
      <c r="A106">
        <v>1000</v>
      </c>
      <c r="B106">
        <v>1000</v>
      </c>
      <c r="C106" s="1">
        <v>45961</v>
      </c>
      <c r="D106" s="14" t="s">
        <v>183</v>
      </c>
      <c r="E106">
        <v>3224000001</v>
      </c>
      <c r="F106" s="2">
        <v>1755.21</v>
      </c>
      <c r="G106" s="1">
        <v>45966</v>
      </c>
      <c r="I106" t="s">
        <v>9</v>
      </c>
      <c r="K106" s="2">
        <f t="shared" si="1"/>
        <v>1755.21</v>
      </c>
    </row>
    <row r="107" spans="1:11" x14ac:dyDescent="0.25">
      <c r="A107">
        <v>1000</v>
      </c>
      <c r="B107">
        <v>1000</v>
      </c>
      <c r="C107" s="1">
        <v>45961</v>
      </c>
      <c r="D107" s="14" t="s">
        <v>47</v>
      </c>
      <c r="E107">
        <v>3235000075</v>
      </c>
      <c r="F107" s="2">
        <v>4758.49</v>
      </c>
      <c r="G107" s="1">
        <v>45966</v>
      </c>
      <c r="I107" t="s">
        <v>9</v>
      </c>
      <c r="K107" s="2">
        <f t="shared" si="1"/>
        <v>4758.49</v>
      </c>
    </row>
    <row r="108" spans="1:11" x14ac:dyDescent="0.25">
      <c r="A108">
        <v>1000</v>
      </c>
      <c r="B108">
        <v>1000</v>
      </c>
      <c r="C108" s="1">
        <v>45961</v>
      </c>
      <c r="D108" s="14" t="s">
        <v>198</v>
      </c>
      <c r="E108">
        <v>0</v>
      </c>
      <c r="F108" s="2">
        <v>246.52</v>
      </c>
      <c r="G108" s="1">
        <v>45966</v>
      </c>
      <c r="I108" t="s">
        <v>9</v>
      </c>
      <c r="K108" s="2">
        <f t="shared" si="1"/>
        <v>246.52</v>
      </c>
    </row>
    <row r="109" spans="1:11" x14ac:dyDescent="0.25">
      <c r="A109">
        <v>1000</v>
      </c>
      <c r="B109">
        <v>1000</v>
      </c>
      <c r="C109" s="1">
        <v>45961</v>
      </c>
      <c r="D109" s="14" t="s">
        <v>183</v>
      </c>
      <c r="E109">
        <v>3224000038</v>
      </c>
      <c r="F109" s="2">
        <v>8919.81</v>
      </c>
      <c r="G109" s="1">
        <v>45966</v>
      </c>
      <c r="I109" t="s">
        <v>9</v>
      </c>
      <c r="K109" s="2">
        <f t="shared" si="1"/>
        <v>8919.81</v>
      </c>
    </row>
    <row r="110" spans="1:11" x14ac:dyDescent="0.25">
      <c r="A110">
        <v>1000</v>
      </c>
      <c r="B110">
        <v>1000</v>
      </c>
      <c r="C110" s="1">
        <v>45961</v>
      </c>
      <c r="D110" s="14" t="s">
        <v>183</v>
      </c>
      <c r="E110">
        <v>3369001553</v>
      </c>
      <c r="F110" s="2">
        <v>236.58</v>
      </c>
      <c r="G110" s="1">
        <v>45966</v>
      </c>
      <c r="I110" t="s">
        <v>9</v>
      </c>
      <c r="K110" s="2">
        <f t="shared" si="1"/>
        <v>236.58</v>
      </c>
    </row>
    <row r="111" spans="1:11" x14ac:dyDescent="0.25">
      <c r="A111">
        <v>1000</v>
      </c>
      <c r="B111">
        <v>1000</v>
      </c>
      <c r="C111" s="1">
        <v>45961</v>
      </c>
      <c r="D111" s="14" t="s">
        <v>67</v>
      </c>
      <c r="E111">
        <v>3331002965</v>
      </c>
      <c r="F111" s="2">
        <v>687.49</v>
      </c>
      <c r="G111" s="1">
        <v>45966</v>
      </c>
      <c r="I111" t="s">
        <v>9</v>
      </c>
      <c r="K111" s="2">
        <f t="shared" si="1"/>
        <v>687.49</v>
      </c>
    </row>
    <row r="112" spans="1:11" x14ac:dyDescent="0.25">
      <c r="A112">
        <v>1000</v>
      </c>
      <c r="B112">
        <v>1000</v>
      </c>
      <c r="C112" s="1">
        <v>45961</v>
      </c>
      <c r="D112" s="14" t="s">
        <v>176</v>
      </c>
      <c r="E112">
        <v>3331002939</v>
      </c>
      <c r="F112" s="2">
        <v>485.34</v>
      </c>
      <c r="G112" s="1">
        <v>45966</v>
      </c>
      <c r="I112" t="s">
        <v>9</v>
      </c>
      <c r="K112" s="2">
        <f t="shared" si="1"/>
        <v>485.34</v>
      </c>
    </row>
    <row r="113" spans="1:11" x14ac:dyDescent="0.25">
      <c r="A113">
        <v>1000</v>
      </c>
      <c r="B113">
        <v>1000</v>
      </c>
      <c r="C113" s="1">
        <v>45961</v>
      </c>
      <c r="D113" s="14" t="s">
        <v>70</v>
      </c>
      <c r="E113">
        <v>3331004567</v>
      </c>
      <c r="F113" s="2">
        <v>163.5</v>
      </c>
      <c r="G113" s="1">
        <v>45966</v>
      </c>
      <c r="I113" t="s">
        <v>9</v>
      </c>
      <c r="K113" s="2">
        <f t="shared" si="1"/>
        <v>163.5</v>
      </c>
    </row>
    <row r="114" spans="1:11" x14ac:dyDescent="0.25">
      <c r="A114">
        <v>1000</v>
      </c>
      <c r="B114">
        <v>1000</v>
      </c>
      <c r="C114" s="1">
        <v>45961</v>
      </c>
      <c r="D114" s="14" t="s">
        <v>176</v>
      </c>
      <c r="E114">
        <v>3324000152</v>
      </c>
      <c r="F114" s="2">
        <v>123.3</v>
      </c>
      <c r="G114" s="1">
        <v>45966</v>
      </c>
      <c r="I114" t="s">
        <v>9</v>
      </c>
      <c r="K114" s="2">
        <f t="shared" si="1"/>
        <v>123.3</v>
      </c>
    </row>
    <row r="115" spans="1:11" x14ac:dyDescent="0.25">
      <c r="A115">
        <v>1000</v>
      </c>
      <c r="B115">
        <v>1000</v>
      </c>
      <c r="C115" s="1">
        <v>45961</v>
      </c>
      <c r="D115" s="14" t="s">
        <v>47</v>
      </c>
      <c r="E115">
        <v>3331004795</v>
      </c>
      <c r="F115" s="2">
        <v>240.07</v>
      </c>
      <c r="G115" s="1">
        <v>45966</v>
      </c>
      <c r="I115" t="s">
        <v>9</v>
      </c>
      <c r="K115" s="2">
        <f t="shared" si="1"/>
        <v>240.07</v>
      </c>
    </row>
    <row r="116" spans="1:11" x14ac:dyDescent="0.25">
      <c r="A116">
        <v>1000</v>
      </c>
      <c r="B116">
        <v>1000</v>
      </c>
      <c r="C116" s="1">
        <v>45961</v>
      </c>
      <c r="D116" s="14" t="s">
        <v>188</v>
      </c>
      <c r="E116">
        <v>3331002830</v>
      </c>
      <c r="F116" s="2">
        <v>844.15</v>
      </c>
      <c r="G116" s="1">
        <v>45966</v>
      </c>
      <c r="I116" t="s">
        <v>9</v>
      </c>
      <c r="K116" s="2">
        <f t="shared" si="1"/>
        <v>844.15</v>
      </c>
    </row>
    <row r="117" spans="1:11" s="23" customFormat="1" x14ac:dyDescent="0.25">
      <c r="A117" s="23">
        <v>1000</v>
      </c>
      <c r="B117" s="23">
        <v>1000</v>
      </c>
      <c r="C117" s="24">
        <v>45961</v>
      </c>
      <c r="D117" s="25" t="s">
        <v>34</v>
      </c>
      <c r="E117" s="23">
        <v>3331000009</v>
      </c>
      <c r="F117" s="26">
        <v>2449.8000000000002</v>
      </c>
      <c r="G117" s="24">
        <v>45966</v>
      </c>
      <c r="I117" s="23" t="s">
        <v>9</v>
      </c>
      <c r="J117" s="27">
        <f>+SAP!M39</f>
        <v>-2204.8200000000002</v>
      </c>
      <c r="K117" s="26">
        <f t="shared" si="1"/>
        <v>244.98000000000002</v>
      </c>
    </row>
    <row r="118" spans="1:11" x14ac:dyDescent="0.25">
      <c r="A118">
        <v>1000</v>
      </c>
      <c r="B118">
        <v>1000</v>
      </c>
      <c r="C118" s="1">
        <v>45961</v>
      </c>
      <c r="D118" s="14" t="s">
        <v>177</v>
      </c>
      <c r="E118">
        <v>3224000040</v>
      </c>
      <c r="F118" s="2">
        <v>10597.49</v>
      </c>
      <c r="G118" s="1">
        <v>45966</v>
      </c>
      <c r="I118" t="s">
        <v>9</v>
      </c>
      <c r="K118" s="2">
        <f t="shared" si="1"/>
        <v>10597.49</v>
      </c>
    </row>
    <row r="119" spans="1:11" x14ac:dyDescent="0.25">
      <c r="A119">
        <v>1000</v>
      </c>
      <c r="B119">
        <v>1000</v>
      </c>
      <c r="C119" s="1">
        <v>45961</v>
      </c>
      <c r="D119" s="14" t="s">
        <v>67</v>
      </c>
      <c r="E119">
        <v>3331004744</v>
      </c>
      <c r="F119" s="2">
        <v>201.26</v>
      </c>
      <c r="G119" s="1">
        <v>45966</v>
      </c>
      <c r="I119" t="s">
        <v>9</v>
      </c>
      <c r="K119" s="2">
        <f t="shared" si="1"/>
        <v>201.26</v>
      </c>
    </row>
    <row r="120" spans="1:11" x14ac:dyDescent="0.25">
      <c r="A120">
        <v>1000</v>
      </c>
      <c r="B120">
        <v>1000</v>
      </c>
      <c r="C120" s="1">
        <v>45961</v>
      </c>
      <c r="D120" s="14" t="s">
        <v>188</v>
      </c>
      <c r="E120">
        <v>3331000241</v>
      </c>
      <c r="F120" s="2">
        <v>324.64</v>
      </c>
      <c r="G120" s="1">
        <v>45966</v>
      </c>
      <c r="I120" t="s">
        <v>9</v>
      </c>
      <c r="K120" s="2">
        <f t="shared" si="1"/>
        <v>324.64</v>
      </c>
    </row>
    <row r="121" spans="1:11" x14ac:dyDescent="0.25">
      <c r="A121">
        <v>1000</v>
      </c>
      <c r="B121">
        <v>1000</v>
      </c>
      <c r="C121" s="1">
        <v>45961</v>
      </c>
      <c r="D121" s="14" t="s">
        <v>183</v>
      </c>
      <c r="E121">
        <v>3331000046</v>
      </c>
      <c r="F121" s="2">
        <v>1689.59</v>
      </c>
      <c r="G121" s="1">
        <v>45966</v>
      </c>
      <c r="I121" t="s">
        <v>9</v>
      </c>
      <c r="K121" s="2">
        <f t="shared" si="1"/>
        <v>1689.59</v>
      </c>
    </row>
    <row r="122" spans="1:11" x14ac:dyDescent="0.25">
      <c r="A122">
        <v>1000</v>
      </c>
      <c r="B122">
        <v>1000</v>
      </c>
      <c r="C122" s="1">
        <v>45961</v>
      </c>
      <c r="D122" s="14" t="s">
        <v>183</v>
      </c>
      <c r="E122">
        <v>3224000031</v>
      </c>
      <c r="F122" s="2">
        <v>387.55</v>
      </c>
      <c r="G122" s="1">
        <v>45966</v>
      </c>
      <c r="I122" t="s">
        <v>9</v>
      </c>
      <c r="K122" s="2">
        <f t="shared" si="1"/>
        <v>387.55</v>
      </c>
    </row>
    <row r="123" spans="1:11" x14ac:dyDescent="0.25">
      <c r="A123">
        <v>1000</v>
      </c>
      <c r="B123">
        <v>1000</v>
      </c>
      <c r="C123" s="1">
        <v>45961</v>
      </c>
      <c r="D123" s="14" t="s">
        <v>178</v>
      </c>
      <c r="E123">
        <v>3331002827</v>
      </c>
      <c r="F123" s="2">
        <v>853.75</v>
      </c>
      <c r="G123" s="1">
        <v>45966</v>
      </c>
      <c r="I123" t="s">
        <v>9</v>
      </c>
      <c r="K123" s="2">
        <f t="shared" si="1"/>
        <v>853.75</v>
      </c>
    </row>
    <row r="124" spans="1:11" x14ac:dyDescent="0.25">
      <c r="A124">
        <v>1000</v>
      </c>
      <c r="B124">
        <v>1000</v>
      </c>
      <c r="C124" s="1">
        <v>45961</v>
      </c>
      <c r="D124" s="14" t="s">
        <v>176</v>
      </c>
      <c r="E124">
        <v>3324000141</v>
      </c>
      <c r="F124" s="2">
        <v>169.94</v>
      </c>
      <c r="G124" s="1">
        <v>45966</v>
      </c>
      <c r="I124" t="s">
        <v>9</v>
      </c>
      <c r="K124" s="2">
        <f t="shared" si="1"/>
        <v>169.94</v>
      </c>
    </row>
    <row r="125" spans="1:11" x14ac:dyDescent="0.25">
      <c r="A125">
        <v>1000</v>
      </c>
      <c r="B125">
        <v>1000</v>
      </c>
      <c r="C125" s="1">
        <v>45961</v>
      </c>
      <c r="D125" s="14" t="s">
        <v>56</v>
      </c>
      <c r="E125">
        <v>3331002553</v>
      </c>
      <c r="F125" s="2">
        <v>7.45</v>
      </c>
      <c r="G125" s="1">
        <v>45966</v>
      </c>
      <c r="I125" t="s">
        <v>9</v>
      </c>
      <c r="K125" s="2">
        <f t="shared" si="1"/>
        <v>7.45</v>
      </c>
    </row>
    <row r="126" spans="1:11" x14ac:dyDescent="0.25">
      <c r="A126">
        <v>1000</v>
      </c>
      <c r="B126">
        <v>1000</v>
      </c>
      <c r="C126" s="1">
        <v>45961</v>
      </c>
      <c r="D126" s="14" t="s">
        <v>199</v>
      </c>
      <c r="E126">
        <v>0</v>
      </c>
      <c r="F126" s="2">
        <v>111.05</v>
      </c>
      <c r="G126" s="1">
        <v>45966</v>
      </c>
      <c r="I126" t="s">
        <v>9</v>
      </c>
      <c r="K126" s="2">
        <f t="shared" si="1"/>
        <v>111.05</v>
      </c>
    </row>
    <row r="127" spans="1:11" x14ac:dyDescent="0.25">
      <c r="A127">
        <v>1000</v>
      </c>
      <c r="B127">
        <v>1000</v>
      </c>
      <c r="C127" s="1">
        <v>45961</v>
      </c>
      <c r="D127" s="14" t="s">
        <v>34</v>
      </c>
      <c r="E127">
        <v>3224000056</v>
      </c>
      <c r="F127" s="2">
        <v>3712.78</v>
      </c>
      <c r="G127" s="1">
        <v>45966</v>
      </c>
      <c r="I127" t="s">
        <v>9</v>
      </c>
      <c r="K127" s="2">
        <f t="shared" si="1"/>
        <v>3712.78</v>
      </c>
    </row>
    <row r="128" spans="1:11" x14ac:dyDescent="0.25">
      <c r="A128">
        <v>1000</v>
      </c>
      <c r="B128">
        <v>1000</v>
      </c>
      <c r="C128" s="1">
        <v>45961</v>
      </c>
      <c r="D128" s="14" t="s">
        <v>31</v>
      </c>
      <c r="E128">
        <v>3224000016</v>
      </c>
      <c r="F128" s="2">
        <v>24964</v>
      </c>
      <c r="G128" s="1">
        <v>45966</v>
      </c>
      <c r="I128" t="s">
        <v>9</v>
      </c>
      <c r="K128" s="2">
        <f t="shared" si="1"/>
        <v>24964</v>
      </c>
    </row>
    <row r="129" spans="1:11" x14ac:dyDescent="0.25">
      <c r="A129">
        <v>1000</v>
      </c>
      <c r="B129">
        <v>1000</v>
      </c>
      <c r="C129" s="1">
        <v>45961</v>
      </c>
      <c r="D129" s="14" t="s">
        <v>73</v>
      </c>
      <c r="E129">
        <v>3235000085</v>
      </c>
      <c r="F129" s="2">
        <v>2868.16</v>
      </c>
      <c r="G129" s="1">
        <v>45966</v>
      </c>
      <c r="I129" t="s">
        <v>9</v>
      </c>
      <c r="K129" s="2">
        <f t="shared" si="1"/>
        <v>2868.16</v>
      </c>
    </row>
    <row r="130" spans="1:11" x14ac:dyDescent="0.25">
      <c r="A130">
        <v>1000</v>
      </c>
      <c r="B130">
        <v>1000</v>
      </c>
      <c r="C130" s="1">
        <v>45961</v>
      </c>
      <c r="D130" s="14" t="s">
        <v>188</v>
      </c>
      <c r="E130">
        <v>3331000240</v>
      </c>
      <c r="F130" s="2">
        <v>324.64</v>
      </c>
      <c r="G130" s="1">
        <v>45966</v>
      </c>
      <c r="I130" t="s">
        <v>9</v>
      </c>
      <c r="K130" s="2">
        <f t="shared" si="1"/>
        <v>324.64</v>
      </c>
    </row>
    <row r="131" spans="1:11" x14ac:dyDescent="0.25">
      <c r="A131">
        <v>1000</v>
      </c>
      <c r="B131">
        <v>1000</v>
      </c>
      <c r="C131" s="1">
        <v>45961</v>
      </c>
      <c r="D131" s="14" t="s">
        <v>34</v>
      </c>
      <c r="E131">
        <v>3224000044</v>
      </c>
      <c r="F131" s="2">
        <v>932.4</v>
      </c>
      <c r="G131" s="1">
        <v>45966</v>
      </c>
      <c r="I131" t="s">
        <v>9</v>
      </c>
      <c r="K131" s="2">
        <f t="shared" si="1"/>
        <v>932.4</v>
      </c>
    </row>
    <row r="132" spans="1:11" x14ac:dyDescent="0.25">
      <c r="A132">
        <v>1000</v>
      </c>
      <c r="B132">
        <v>1000</v>
      </c>
      <c r="C132" s="1">
        <v>45961</v>
      </c>
      <c r="D132" s="14" t="s">
        <v>176</v>
      </c>
      <c r="E132">
        <v>3331002638</v>
      </c>
      <c r="F132" s="2">
        <v>32.97</v>
      </c>
      <c r="G132" s="1">
        <v>45966</v>
      </c>
      <c r="I132" t="s">
        <v>9</v>
      </c>
      <c r="K132" s="2">
        <f t="shared" ref="K132:K195" si="2">+F132+J132</f>
        <v>32.97</v>
      </c>
    </row>
    <row r="133" spans="1:11" x14ac:dyDescent="0.25">
      <c r="A133">
        <v>1000</v>
      </c>
      <c r="B133">
        <v>1000</v>
      </c>
      <c r="C133" s="1">
        <v>45961</v>
      </c>
      <c r="D133" s="14" t="s">
        <v>47</v>
      </c>
      <c r="E133">
        <v>3331004804</v>
      </c>
      <c r="F133" s="2">
        <v>472.31</v>
      </c>
      <c r="G133" s="1">
        <v>45966</v>
      </c>
      <c r="I133" t="s">
        <v>9</v>
      </c>
      <c r="K133" s="2">
        <f t="shared" si="2"/>
        <v>472.31</v>
      </c>
    </row>
    <row r="134" spans="1:11" x14ac:dyDescent="0.25">
      <c r="A134">
        <v>1000</v>
      </c>
      <c r="B134">
        <v>1000</v>
      </c>
      <c r="C134" s="1">
        <v>45961</v>
      </c>
      <c r="D134" s="14" t="s">
        <v>183</v>
      </c>
      <c r="E134">
        <v>3369001556</v>
      </c>
      <c r="F134" s="2">
        <v>236.58</v>
      </c>
      <c r="G134" s="1">
        <v>45966</v>
      </c>
      <c r="I134" t="s">
        <v>9</v>
      </c>
      <c r="K134" s="2">
        <f t="shared" si="2"/>
        <v>236.58</v>
      </c>
    </row>
    <row r="135" spans="1:11" x14ac:dyDescent="0.25">
      <c r="A135">
        <v>1000</v>
      </c>
      <c r="B135">
        <v>1000</v>
      </c>
      <c r="C135" s="1">
        <v>45961</v>
      </c>
      <c r="D135" s="14" t="s">
        <v>195</v>
      </c>
      <c r="E135">
        <v>3331000210</v>
      </c>
      <c r="F135" s="2">
        <v>530</v>
      </c>
      <c r="G135" s="1">
        <v>45966</v>
      </c>
      <c r="I135" t="s">
        <v>9</v>
      </c>
      <c r="K135" s="2">
        <f t="shared" si="2"/>
        <v>530</v>
      </c>
    </row>
    <row r="136" spans="1:11" x14ac:dyDescent="0.25">
      <c r="A136">
        <v>1000</v>
      </c>
      <c r="B136">
        <v>1000</v>
      </c>
      <c r="C136" s="1">
        <v>45961</v>
      </c>
      <c r="D136" s="14" t="s">
        <v>53</v>
      </c>
      <c r="E136">
        <v>3331003036</v>
      </c>
      <c r="F136" s="2">
        <v>430.91</v>
      </c>
      <c r="G136" s="1">
        <v>45966</v>
      </c>
      <c r="I136" t="s">
        <v>9</v>
      </c>
      <c r="K136" s="2">
        <f t="shared" si="2"/>
        <v>430.91</v>
      </c>
    </row>
    <row r="137" spans="1:11" x14ac:dyDescent="0.25">
      <c r="A137">
        <v>1000</v>
      </c>
      <c r="B137">
        <v>1000</v>
      </c>
      <c r="C137" s="1">
        <v>45961</v>
      </c>
      <c r="D137" s="14" t="s">
        <v>73</v>
      </c>
      <c r="E137">
        <v>3235000074</v>
      </c>
      <c r="F137" s="2">
        <v>2949.54</v>
      </c>
      <c r="G137" s="1">
        <v>45966</v>
      </c>
      <c r="I137" t="s">
        <v>9</v>
      </c>
      <c r="K137" s="2">
        <f t="shared" si="2"/>
        <v>2949.54</v>
      </c>
    </row>
    <row r="138" spans="1:11" x14ac:dyDescent="0.25">
      <c r="A138">
        <v>1000</v>
      </c>
      <c r="B138">
        <v>1000</v>
      </c>
      <c r="C138" s="1">
        <v>45961</v>
      </c>
      <c r="D138" s="14" t="s">
        <v>53</v>
      </c>
      <c r="E138">
        <v>3331000125</v>
      </c>
      <c r="F138" s="2">
        <v>11.1</v>
      </c>
      <c r="G138" s="1">
        <v>45966</v>
      </c>
      <c r="I138" t="s">
        <v>9</v>
      </c>
      <c r="K138" s="2">
        <f t="shared" si="2"/>
        <v>11.1</v>
      </c>
    </row>
    <row r="139" spans="1:11" x14ac:dyDescent="0.25">
      <c r="A139">
        <v>1000</v>
      </c>
      <c r="B139">
        <v>1000</v>
      </c>
      <c r="C139" s="1">
        <v>45961</v>
      </c>
      <c r="D139" s="14" t="s">
        <v>200</v>
      </c>
      <c r="E139">
        <v>3331000056</v>
      </c>
      <c r="F139" s="2">
        <v>7410.34</v>
      </c>
      <c r="G139" s="1">
        <v>45966</v>
      </c>
      <c r="I139" t="s">
        <v>9</v>
      </c>
      <c r="K139" s="2">
        <f t="shared" si="2"/>
        <v>7410.34</v>
      </c>
    </row>
    <row r="140" spans="1:11" x14ac:dyDescent="0.25">
      <c r="A140">
        <v>1000</v>
      </c>
      <c r="B140">
        <v>1000</v>
      </c>
      <c r="C140" s="1">
        <v>45961</v>
      </c>
      <c r="D140" s="14" t="s">
        <v>176</v>
      </c>
      <c r="E140">
        <v>3324000136</v>
      </c>
      <c r="F140" s="2">
        <v>123.45</v>
      </c>
      <c r="G140" s="1">
        <v>45966</v>
      </c>
      <c r="I140" t="s">
        <v>9</v>
      </c>
      <c r="K140" s="2">
        <f t="shared" si="2"/>
        <v>123.45</v>
      </c>
    </row>
    <row r="141" spans="1:11" x14ac:dyDescent="0.25">
      <c r="A141">
        <v>1000</v>
      </c>
      <c r="B141">
        <v>1000</v>
      </c>
      <c r="C141" s="1">
        <v>45961</v>
      </c>
      <c r="D141" s="14" t="s">
        <v>176</v>
      </c>
      <c r="E141">
        <v>3331002653</v>
      </c>
      <c r="F141" s="2">
        <v>226.71</v>
      </c>
      <c r="G141" s="1">
        <v>45966</v>
      </c>
      <c r="I141" t="s">
        <v>9</v>
      </c>
      <c r="K141" s="2">
        <f t="shared" si="2"/>
        <v>226.71</v>
      </c>
    </row>
    <row r="142" spans="1:11" x14ac:dyDescent="0.25">
      <c r="A142">
        <v>1000</v>
      </c>
      <c r="B142">
        <v>1000</v>
      </c>
      <c r="C142" s="1">
        <v>45961</v>
      </c>
      <c r="D142" s="14" t="s">
        <v>34</v>
      </c>
      <c r="E142">
        <v>3225000017</v>
      </c>
      <c r="F142" s="2">
        <v>303.25</v>
      </c>
      <c r="G142" s="1">
        <v>45966</v>
      </c>
      <c r="I142" t="s">
        <v>9</v>
      </c>
      <c r="K142" s="2">
        <f t="shared" si="2"/>
        <v>303.25</v>
      </c>
    </row>
    <row r="143" spans="1:11" x14ac:dyDescent="0.25">
      <c r="A143">
        <v>1000</v>
      </c>
      <c r="B143">
        <v>1000</v>
      </c>
      <c r="C143" s="1">
        <v>45961</v>
      </c>
      <c r="D143" s="14" t="s">
        <v>176</v>
      </c>
      <c r="E143">
        <v>3331002946</v>
      </c>
      <c r="F143" s="2">
        <v>399.31</v>
      </c>
      <c r="G143" s="1">
        <v>45966</v>
      </c>
      <c r="I143" t="s">
        <v>9</v>
      </c>
      <c r="K143" s="2">
        <f t="shared" si="2"/>
        <v>399.31</v>
      </c>
    </row>
    <row r="144" spans="1:11" x14ac:dyDescent="0.25">
      <c r="A144">
        <v>1000</v>
      </c>
      <c r="B144">
        <v>1000</v>
      </c>
      <c r="C144" s="1">
        <v>45961</v>
      </c>
      <c r="D144" s="14" t="s">
        <v>176</v>
      </c>
      <c r="E144">
        <v>3331002636</v>
      </c>
      <c r="F144" s="2">
        <v>28.76</v>
      </c>
      <c r="G144" s="1">
        <v>45966</v>
      </c>
      <c r="I144" t="s">
        <v>9</v>
      </c>
      <c r="K144" s="2">
        <f t="shared" si="2"/>
        <v>28.76</v>
      </c>
    </row>
    <row r="145" spans="1:11" x14ac:dyDescent="0.25">
      <c r="A145">
        <v>1000</v>
      </c>
      <c r="B145">
        <v>1000</v>
      </c>
      <c r="C145" s="1">
        <v>45961</v>
      </c>
      <c r="D145" s="14" t="s">
        <v>31</v>
      </c>
      <c r="E145">
        <v>3235000066</v>
      </c>
      <c r="F145" s="2">
        <v>2919.3</v>
      </c>
      <c r="G145" s="1">
        <v>45966</v>
      </c>
      <c r="I145" t="s">
        <v>9</v>
      </c>
      <c r="K145" s="2">
        <f t="shared" si="2"/>
        <v>2919.3</v>
      </c>
    </row>
    <row r="146" spans="1:11" x14ac:dyDescent="0.25">
      <c r="A146">
        <v>1000</v>
      </c>
      <c r="B146">
        <v>1000</v>
      </c>
      <c r="C146" s="1">
        <v>45961</v>
      </c>
      <c r="D146" s="14" t="s">
        <v>34</v>
      </c>
      <c r="E146">
        <v>3225000038</v>
      </c>
      <c r="F146" s="2">
        <v>9229.2099999999991</v>
      </c>
      <c r="G146" s="1">
        <v>45966</v>
      </c>
      <c r="I146" t="s">
        <v>9</v>
      </c>
      <c r="K146" s="2">
        <f t="shared" si="2"/>
        <v>9229.2099999999991</v>
      </c>
    </row>
    <row r="147" spans="1:11" x14ac:dyDescent="0.25">
      <c r="A147">
        <v>1000</v>
      </c>
      <c r="B147">
        <v>1000</v>
      </c>
      <c r="C147" s="1">
        <v>45961</v>
      </c>
      <c r="D147" s="14" t="s">
        <v>70</v>
      </c>
      <c r="E147">
        <v>3331004728</v>
      </c>
      <c r="F147" s="2">
        <v>99.57</v>
      </c>
      <c r="G147" s="1">
        <v>45966</v>
      </c>
      <c r="I147" t="s">
        <v>9</v>
      </c>
      <c r="K147" s="2">
        <f t="shared" si="2"/>
        <v>99.57</v>
      </c>
    </row>
    <row r="148" spans="1:11" x14ac:dyDescent="0.25">
      <c r="A148">
        <v>1000</v>
      </c>
      <c r="B148">
        <v>1000</v>
      </c>
      <c r="C148" s="1">
        <v>45961</v>
      </c>
      <c r="D148" s="14" t="s">
        <v>56</v>
      </c>
      <c r="E148">
        <v>3331000028</v>
      </c>
      <c r="F148" s="2">
        <v>87.71</v>
      </c>
      <c r="G148" s="1">
        <v>45966</v>
      </c>
      <c r="I148" t="s">
        <v>9</v>
      </c>
      <c r="K148" s="2">
        <f t="shared" si="2"/>
        <v>87.71</v>
      </c>
    </row>
    <row r="149" spans="1:11" x14ac:dyDescent="0.25">
      <c r="A149">
        <v>1000</v>
      </c>
      <c r="B149">
        <v>1000</v>
      </c>
      <c r="C149" s="1">
        <v>45961</v>
      </c>
      <c r="D149" s="14" t="s">
        <v>34</v>
      </c>
      <c r="E149">
        <v>3235000062</v>
      </c>
      <c r="F149" s="2">
        <v>6313.13</v>
      </c>
      <c r="G149" s="1">
        <v>45966</v>
      </c>
      <c r="I149" t="s">
        <v>9</v>
      </c>
      <c r="K149" s="2">
        <f t="shared" si="2"/>
        <v>6313.13</v>
      </c>
    </row>
    <row r="150" spans="1:11" x14ac:dyDescent="0.25">
      <c r="A150">
        <v>1000</v>
      </c>
      <c r="B150">
        <v>1000</v>
      </c>
      <c r="C150" s="1">
        <v>45961</v>
      </c>
      <c r="D150" s="14" t="s">
        <v>176</v>
      </c>
      <c r="E150">
        <v>3324000134</v>
      </c>
      <c r="F150" s="2">
        <v>104.38</v>
      </c>
      <c r="G150" s="1">
        <v>45966</v>
      </c>
      <c r="I150" t="s">
        <v>9</v>
      </c>
      <c r="K150" s="2">
        <f t="shared" si="2"/>
        <v>104.38</v>
      </c>
    </row>
    <row r="151" spans="1:11" x14ac:dyDescent="0.25">
      <c r="A151">
        <v>1000</v>
      </c>
      <c r="B151">
        <v>1000</v>
      </c>
      <c r="C151" s="1">
        <v>45961</v>
      </c>
      <c r="D151" s="14" t="s">
        <v>70</v>
      </c>
      <c r="E151">
        <v>3331004731</v>
      </c>
      <c r="F151" s="2">
        <v>99.57</v>
      </c>
      <c r="G151" s="1">
        <v>45966</v>
      </c>
      <c r="I151" t="s">
        <v>9</v>
      </c>
      <c r="K151" s="2">
        <f t="shared" si="2"/>
        <v>99.57</v>
      </c>
    </row>
    <row r="152" spans="1:11" x14ac:dyDescent="0.25">
      <c r="A152">
        <v>1000</v>
      </c>
      <c r="B152">
        <v>1000</v>
      </c>
      <c r="C152" s="1">
        <v>45961</v>
      </c>
      <c r="D152" s="14" t="s">
        <v>183</v>
      </c>
      <c r="E152">
        <v>3224000073</v>
      </c>
      <c r="F152" s="2">
        <v>17134.28</v>
      </c>
      <c r="G152" s="1">
        <v>45966</v>
      </c>
      <c r="I152" t="s">
        <v>9</v>
      </c>
      <c r="K152" s="2">
        <f t="shared" si="2"/>
        <v>17134.28</v>
      </c>
    </row>
    <row r="153" spans="1:11" x14ac:dyDescent="0.25">
      <c r="A153">
        <v>1000</v>
      </c>
      <c r="B153">
        <v>1000</v>
      </c>
      <c r="C153" s="1">
        <v>45961</v>
      </c>
      <c r="D153" s="14" t="s">
        <v>176</v>
      </c>
      <c r="E153">
        <v>3324000145</v>
      </c>
      <c r="F153" s="2">
        <v>120.88</v>
      </c>
      <c r="G153" s="1">
        <v>45966</v>
      </c>
      <c r="I153" t="s">
        <v>9</v>
      </c>
      <c r="K153" s="2">
        <f t="shared" si="2"/>
        <v>120.88</v>
      </c>
    </row>
    <row r="154" spans="1:11" x14ac:dyDescent="0.25">
      <c r="A154">
        <v>1000</v>
      </c>
      <c r="B154">
        <v>1000</v>
      </c>
      <c r="C154" s="1">
        <v>45961</v>
      </c>
      <c r="D154" s="14" t="s">
        <v>34</v>
      </c>
      <c r="E154">
        <v>3224000043</v>
      </c>
      <c r="F154" s="2">
        <v>932.4</v>
      </c>
      <c r="G154" s="1">
        <v>45966</v>
      </c>
      <c r="I154" t="s">
        <v>9</v>
      </c>
      <c r="K154" s="2">
        <f t="shared" si="2"/>
        <v>932.4</v>
      </c>
    </row>
    <row r="155" spans="1:11" x14ac:dyDescent="0.25">
      <c r="A155">
        <v>1000</v>
      </c>
      <c r="B155">
        <v>1000</v>
      </c>
      <c r="C155" s="1">
        <v>45961</v>
      </c>
      <c r="D155" s="14" t="s">
        <v>176</v>
      </c>
      <c r="E155">
        <v>3324000144</v>
      </c>
      <c r="F155" s="2">
        <v>103.43</v>
      </c>
      <c r="G155" s="1">
        <v>45966</v>
      </c>
      <c r="I155" t="s">
        <v>9</v>
      </c>
      <c r="K155" s="2">
        <f t="shared" si="2"/>
        <v>103.43</v>
      </c>
    </row>
    <row r="156" spans="1:11" x14ac:dyDescent="0.25">
      <c r="A156">
        <v>1000</v>
      </c>
      <c r="B156">
        <v>1000</v>
      </c>
      <c r="C156" s="1">
        <v>45961</v>
      </c>
      <c r="D156" s="14" t="s">
        <v>34</v>
      </c>
      <c r="E156">
        <v>3224000009</v>
      </c>
      <c r="F156" s="2">
        <v>3157.61</v>
      </c>
      <c r="G156" s="1">
        <v>45966</v>
      </c>
      <c r="I156" t="s">
        <v>9</v>
      </c>
      <c r="K156" s="2">
        <f t="shared" si="2"/>
        <v>3157.61</v>
      </c>
    </row>
    <row r="157" spans="1:11" x14ac:dyDescent="0.25">
      <c r="A157">
        <v>1000</v>
      </c>
      <c r="B157">
        <v>1000</v>
      </c>
      <c r="C157" s="1">
        <v>45961</v>
      </c>
      <c r="D157" s="14" t="s">
        <v>176</v>
      </c>
      <c r="E157">
        <v>3324000139</v>
      </c>
      <c r="F157" s="2">
        <v>76.47</v>
      </c>
      <c r="G157" s="1">
        <v>45966</v>
      </c>
      <c r="I157" t="s">
        <v>9</v>
      </c>
      <c r="K157" s="2">
        <f t="shared" si="2"/>
        <v>76.47</v>
      </c>
    </row>
    <row r="158" spans="1:11" x14ac:dyDescent="0.25">
      <c r="A158">
        <v>1000</v>
      </c>
      <c r="B158">
        <v>1000</v>
      </c>
      <c r="C158" s="1">
        <v>45961</v>
      </c>
      <c r="D158" s="14" t="s">
        <v>176</v>
      </c>
      <c r="E158">
        <v>3331002640</v>
      </c>
      <c r="F158" s="2">
        <v>39.33</v>
      </c>
      <c r="G158" s="1">
        <v>45966</v>
      </c>
      <c r="I158" t="s">
        <v>9</v>
      </c>
      <c r="K158" s="2">
        <f t="shared" si="2"/>
        <v>39.33</v>
      </c>
    </row>
    <row r="159" spans="1:11" x14ac:dyDescent="0.25">
      <c r="A159">
        <v>1000</v>
      </c>
      <c r="B159">
        <v>1000</v>
      </c>
      <c r="C159" s="1">
        <v>45961</v>
      </c>
      <c r="D159" s="14" t="s">
        <v>190</v>
      </c>
      <c r="E159">
        <v>3235000061</v>
      </c>
      <c r="F159" s="2">
        <v>2491.3200000000002</v>
      </c>
      <c r="G159" s="1">
        <v>45966</v>
      </c>
      <c r="I159" t="s">
        <v>9</v>
      </c>
      <c r="K159" s="2">
        <f t="shared" si="2"/>
        <v>2491.3200000000002</v>
      </c>
    </row>
    <row r="160" spans="1:11" x14ac:dyDescent="0.25">
      <c r="A160">
        <v>1000</v>
      </c>
      <c r="B160">
        <v>1000</v>
      </c>
      <c r="C160" s="1">
        <v>45961</v>
      </c>
      <c r="D160" s="14" t="s">
        <v>183</v>
      </c>
      <c r="E160">
        <v>3224000067</v>
      </c>
      <c r="F160" s="2">
        <v>6107.03</v>
      </c>
      <c r="G160" s="1">
        <v>45966</v>
      </c>
      <c r="I160" t="s">
        <v>9</v>
      </c>
      <c r="K160" s="2">
        <f t="shared" si="2"/>
        <v>6107.03</v>
      </c>
    </row>
    <row r="161" spans="1:11" x14ac:dyDescent="0.25">
      <c r="A161">
        <v>1000</v>
      </c>
      <c r="B161">
        <v>1000</v>
      </c>
      <c r="C161" s="1">
        <v>45961</v>
      </c>
      <c r="D161" s="14" t="s">
        <v>201</v>
      </c>
      <c r="E161">
        <v>3235000044</v>
      </c>
      <c r="F161" s="2">
        <v>1375.18</v>
      </c>
      <c r="G161" s="1">
        <v>45966</v>
      </c>
      <c r="I161" t="s">
        <v>9</v>
      </c>
      <c r="K161" s="2">
        <f t="shared" si="2"/>
        <v>1375.18</v>
      </c>
    </row>
    <row r="162" spans="1:11" x14ac:dyDescent="0.25">
      <c r="A162">
        <v>1000</v>
      </c>
      <c r="B162">
        <v>1000</v>
      </c>
      <c r="C162" s="1">
        <v>45961</v>
      </c>
      <c r="D162" s="14" t="s">
        <v>177</v>
      </c>
      <c r="E162">
        <v>3224000005</v>
      </c>
      <c r="F162" s="2">
        <v>3028.11</v>
      </c>
      <c r="G162" s="1">
        <v>45966</v>
      </c>
      <c r="I162" t="s">
        <v>9</v>
      </c>
      <c r="K162" s="2">
        <f t="shared" si="2"/>
        <v>3028.11</v>
      </c>
    </row>
    <row r="163" spans="1:11" x14ac:dyDescent="0.25">
      <c r="A163">
        <v>1000</v>
      </c>
      <c r="B163">
        <v>1000</v>
      </c>
      <c r="C163" s="1">
        <v>45961</v>
      </c>
      <c r="D163" s="14" t="s">
        <v>47</v>
      </c>
      <c r="E163">
        <v>3331002899</v>
      </c>
      <c r="F163" s="2">
        <v>28.59</v>
      </c>
      <c r="G163" s="1">
        <v>45966</v>
      </c>
      <c r="I163" t="s">
        <v>9</v>
      </c>
      <c r="K163" s="2">
        <f t="shared" si="2"/>
        <v>28.59</v>
      </c>
    </row>
    <row r="164" spans="1:11" x14ac:dyDescent="0.25">
      <c r="A164">
        <v>1000</v>
      </c>
      <c r="B164">
        <v>1000</v>
      </c>
      <c r="C164" s="1">
        <v>45961</v>
      </c>
      <c r="D164" s="14" t="s">
        <v>183</v>
      </c>
      <c r="E164">
        <v>3224000069</v>
      </c>
      <c r="F164" s="2">
        <v>9307.5499999999993</v>
      </c>
      <c r="G164" s="1">
        <v>45966</v>
      </c>
      <c r="I164" t="s">
        <v>9</v>
      </c>
      <c r="K164" s="2">
        <f t="shared" si="2"/>
        <v>9307.5499999999993</v>
      </c>
    </row>
    <row r="165" spans="1:11" x14ac:dyDescent="0.25">
      <c r="A165">
        <v>1000</v>
      </c>
      <c r="B165">
        <v>1000</v>
      </c>
      <c r="C165" s="1">
        <v>45961</v>
      </c>
      <c r="D165" s="14" t="s">
        <v>61</v>
      </c>
      <c r="E165">
        <v>3235000059</v>
      </c>
      <c r="F165" s="2">
        <v>2438.17</v>
      </c>
      <c r="G165" s="1">
        <v>45966</v>
      </c>
      <c r="I165" t="s">
        <v>9</v>
      </c>
      <c r="K165" s="2">
        <f t="shared" si="2"/>
        <v>2438.17</v>
      </c>
    </row>
    <row r="166" spans="1:11" x14ac:dyDescent="0.25">
      <c r="A166">
        <v>1000</v>
      </c>
      <c r="B166">
        <v>1000</v>
      </c>
      <c r="C166" s="1">
        <v>45961</v>
      </c>
      <c r="D166" s="14" t="s">
        <v>67</v>
      </c>
      <c r="E166">
        <v>3331004738</v>
      </c>
      <c r="F166" s="2">
        <v>822.57</v>
      </c>
      <c r="G166" s="1">
        <v>45966</v>
      </c>
      <c r="I166" t="s">
        <v>9</v>
      </c>
      <c r="K166" s="2">
        <f t="shared" si="2"/>
        <v>822.57</v>
      </c>
    </row>
    <row r="167" spans="1:11" x14ac:dyDescent="0.25">
      <c r="A167">
        <v>1000</v>
      </c>
      <c r="B167">
        <v>1000</v>
      </c>
      <c r="C167" s="1">
        <v>45961</v>
      </c>
      <c r="D167" s="14" t="s">
        <v>34</v>
      </c>
      <c r="E167">
        <v>3224000023</v>
      </c>
      <c r="F167" s="2">
        <v>3487.25</v>
      </c>
      <c r="G167" s="1">
        <v>45966</v>
      </c>
      <c r="I167" t="s">
        <v>9</v>
      </c>
      <c r="K167" s="2">
        <f t="shared" si="2"/>
        <v>3487.25</v>
      </c>
    </row>
    <row r="168" spans="1:11" x14ac:dyDescent="0.25">
      <c r="A168">
        <v>1000</v>
      </c>
      <c r="B168">
        <v>1000</v>
      </c>
      <c r="C168" s="1">
        <v>45961</v>
      </c>
      <c r="D168" s="14" t="s">
        <v>53</v>
      </c>
      <c r="E168">
        <v>3235000057</v>
      </c>
      <c r="F168" s="2">
        <v>2438.17</v>
      </c>
      <c r="G168" s="1">
        <v>45966</v>
      </c>
      <c r="I168" t="s">
        <v>9</v>
      </c>
      <c r="K168" s="2">
        <f t="shared" si="2"/>
        <v>2438.17</v>
      </c>
    </row>
    <row r="169" spans="1:11" x14ac:dyDescent="0.25">
      <c r="A169">
        <v>1000</v>
      </c>
      <c r="B169">
        <v>1000</v>
      </c>
      <c r="C169" s="1">
        <v>45961</v>
      </c>
      <c r="D169" s="14" t="s">
        <v>177</v>
      </c>
      <c r="E169">
        <v>3224000004</v>
      </c>
      <c r="F169" s="2">
        <v>3028.11</v>
      </c>
      <c r="G169" s="1">
        <v>45966</v>
      </c>
      <c r="I169" t="s">
        <v>9</v>
      </c>
      <c r="K169" s="2">
        <f t="shared" si="2"/>
        <v>3028.11</v>
      </c>
    </row>
    <row r="170" spans="1:11" x14ac:dyDescent="0.25">
      <c r="A170">
        <v>1000</v>
      </c>
      <c r="B170">
        <v>1000</v>
      </c>
      <c r="C170" s="1">
        <v>45961</v>
      </c>
      <c r="D170" s="14" t="s">
        <v>183</v>
      </c>
      <c r="E170">
        <v>3235000071</v>
      </c>
      <c r="F170" s="2">
        <v>5661.9</v>
      </c>
      <c r="G170" s="1">
        <v>45966</v>
      </c>
      <c r="I170" t="s">
        <v>9</v>
      </c>
      <c r="K170" s="2">
        <f t="shared" si="2"/>
        <v>5661.9</v>
      </c>
    </row>
    <row r="171" spans="1:11" x14ac:dyDescent="0.25">
      <c r="A171">
        <v>1000</v>
      </c>
      <c r="B171">
        <v>1000</v>
      </c>
      <c r="C171" s="1">
        <v>45961</v>
      </c>
      <c r="D171" s="14" t="s">
        <v>176</v>
      </c>
      <c r="E171">
        <v>3331002651</v>
      </c>
      <c r="F171" s="2">
        <v>87.48</v>
      </c>
      <c r="G171" s="1">
        <v>45966</v>
      </c>
      <c r="I171" t="s">
        <v>9</v>
      </c>
      <c r="K171" s="2">
        <f t="shared" si="2"/>
        <v>87.48</v>
      </c>
    </row>
    <row r="172" spans="1:11" x14ac:dyDescent="0.25">
      <c r="A172">
        <v>1000</v>
      </c>
      <c r="B172">
        <v>1000</v>
      </c>
      <c r="C172" s="1">
        <v>45961</v>
      </c>
      <c r="D172" s="14" t="s">
        <v>67</v>
      </c>
      <c r="E172">
        <v>3323000019</v>
      </c>
      <c r="F172" s="2">
        <v>266.75</v>
      </c>
      <c r="G172" s="1">
        <v>45966</v>
      </c>
      <c r="I172" t="s">
        <v>9</v>
      </c>
      <c r="K172" s="2">
        <f t="shared" si="2"/>
        <v>266.75</v>
      </c>
    </row>
    <row r="173" spans="1:11" x14ac:dyDescent="0.25">
      <c r="A173">
        <v>1000</v>
      </c>
      <c r="B173">
        <v>1000</v>
      </c>
      <c r="C173" s="1">
        <v>45961</v>
      </c>
      <c r="D173" s="14" t="s">
        <v>179</v>
      </c>
      <c r="E173">
        <v>3341000140</v>
      </c>
      <c r="F173" s="2">
        <v>157.74</v>
      </c>
      <c r="G173" s="1">
        <v>45966</v>
      </c>
      <c r="I173" t="s">
        <v>9</v>
      </c>
      <c r="K173" s="2">
        <f t="shared" si="2"/>
        <v>157.74</v>
      </c>
    </row>
    <row r="174" spans="1:11" x14ac:dyDescent="0.25">
      <c r="A174">
        <v>1000</v>
      </c>
      <c r="B174">
        <v>1000</v>
      </c>
      <c r="C174" s="1">
        <v>45961</v>
      </c>
      <c r="D174" s="14" t="s">
        <v>47</v>
      </c>
      <c r="E174">
        <v>3341000150</v>
      </c>
      <c r="F174" s="2">
        <v>266.57</v>
      </c>
      <c r="G174" s="1">
        <v>45966</v>
      </c>
      <c r="I174" t="s">
        <v>9</v>
      </c>
      <c r="K174" s="2">
        <f t="shared" si="2"/>
        <v>266.57</v>
      </c>
    </row>
    <row r="175" spans="1:11" x14ac:dyDescent="0.25">
      <c r="A175">
        <v>1000</v>
      </c>
      <c r="B175">
        <v>1000</v>
      </c>
      <c r="C175" s="1">
        <v>45961</v>
      </c>
      <c r="D175" s="14" t="s">
        <v>183</v>
      </c>
      <c r="E175">
        <v>3224000028</v>
      </c>
      <c r="F175" s="2">
        <v>3434.75</v>
      </c>
      <c r="G175" s="1">
        <v>45966</v>
      </c>
      <c r="I175" t="s">
        <v>9</v>
      </c>
      <c r="K175" s="2">
        <f t="shared" si="2"/>
        <v>3434.75</v>
      </c>
    </row>
    <row r="176" spans="1:11" x14ac:dyDescent="0.25">
      <c r="A176">
        <v>1000</v>
      </c>
      <c r="B176">
        <v>1000</v>
      </c>
      <c r="C176" s="1">
        <v>45961</v>
      </c>
      <c r="D176" s="14" t="s">
        <v>189</v>
      </c>
      <c r="E176">
        <v>3331000008</v>
      </c>
      <c r="F176" s="2">
        <v>58.87</v>
      </c>
      <c r="G176" s="1">
        <v>45966</v>
      </c>
      <c r="I176" t="s">
        <v>9</v>
      </c>
      <c r="K176" s="2">
        <f t="shared" si="2"/>
        <v>58.87</v>
      </c>
    </row>
    <row r="177" spans="1:11" x14ac:dyDescent="0.25">
      <c r="A177">
        <v>1000</v>
      </c>
      <c r="B177">
        <v>1000</v>
      </c>
      <c r="C177" s="1">
        <v>45961</v>
      </c>
      <c r="D177" s="14" t="s">
        <v>34</v>
      </c>
      <c r="E177">
        <v>3225000018</v>
      </c>
      <c r="F177" s="2">
        <v>303.25</v>
      </c>
      <c r="G177" s="1">
        <v>45966</v>
      </c>
      <c r="I177" t="s">
        <v>9</v>
      </c>
      <c r="K177" s="2">
        <f t="shared" si="2"/>
        <v>303.25</v>
      </c>
    </row>
    <row r="178" spans="1:11" x14ac:dyDescent="0.25">
      <c r="A178">
        <v>1000</v>
      </c>
      <c r="B178">
        <v>1000</v>
      </c>
      <c r="C178" s="1">
        <v>45961</v>
      </c>
      <c r="D178" s="14" t="s">
        <v>64</v>
      </c>
      <c r="E178">
        <v>3224000006</v>
      </c>
      <c r="F178" s="2">
        <v>3554.72</v>
      </c>
      <c r="G178" s="1">
        <v>45966</v>
      </c>
      <c r="I178" t="s">
        <v>9</v>
      </c>
      <c r="K178" s="2">
        <f t="shared" si="2"/>
        <v>3554.72</v>
      </c>
    </row>
    <row r="179" spans="1:11" x14ac:dyDescent="0.25">
      <c r="A179">
        <v>1000</v>
      </c>
      <c r="B179">
        <v>1000</v>
      </c>
      <c r="C179" s="1">
        <v>45961</v>
      </c>
      <c r="D179" s="14" t="s">
        <v>202</v>
      </c>
      <c r="E179">
        <v>0</v>
      </c>
      <c r="F179" s="2">
        <v>17.5</v>
      </c>
      <c r="G179" s="1">
        <v>45966</v>
      </c>
      <c r="I179" t="s">
        <v>9</v>
      </c>
      <c r="K179" s="2">
        <f t="shared" si="2"/>
        <v>17.5</v>
      </c>
    </row>
    <row r="180" spans="1:11" x14ac:dyDescent="0.25">
      <c r="A180">
        <v>1000</v>
      </c>
      <c r="B180">
        <v>1000</v>
      </c>
      <c r="C180" s="1">
        <v>45961</v>
      </c>
      <c r="D180" s="14" t="s">
        <v>64</v>
      </c>
      <c r="E180">
        <v>3331000429</v>
      </c>
      <c r="F180" s="2">
        <v>580.15</v>
      </c>
      <c r="G180" s="1">
        <v>45966</v>
      </c>
      <c r="I180" t="s">
        <v>9</v>
      </c>
      <c r="K180" s="2">
        <f t="shared" si="2"/>
        <v>580.15</v>
      </c>
    </row>
    <row r="181" spans="1:11" x14ac:dyDescent="0.25">
      <c r="A181">
        <v>1000</v>
      </c>
      <c r="B181">
        <v>1000</v>
      </c>
      <c r="C181" s="1">
        <v>45961</v>
      </c>
      <c r="D181" s="14" t="s">
        <v>183</v>
      </c>
      <c r="E181">
        <v>3369001554</v>
      </c>
      <c r="F181" s="2">
        <v>236.58</v>
      </c>
      <c r="G181" s="1">
        <v>45966</v>
      </c>
      <c r="I181" t="s">
        <v>9</v>
      </c>
      <c r="K181" s="2">
        <f t="shared" si="2"/>
        <v>236.58</v>
      </c>
    </row>
    <row r="182" spans="1:11" x14ac:dyDescent="0.25">
      <c r="A182">
        <v>1000</v>
      </c>
      <c r="B182">
        <v>1000</v>
      </c>
      <c r="C182" s="1">
        <v>45961</v>
      </c>
      <c r="D182" s="14" t="s">
        <v>47</v>
      </c>
      <c r="E182">
        <v>3341000148</v>
      </c>
      <c r="F182" s="2">
        <v>509.56</v>
      </c>
      <c r="G182" s="1">
        <v>45966</v>
      </c>
      <c r="I182" t="s">
        <v>9</v>
      </c>
      <c r="K182" s="2">
        <f t="shared" si="2"/>
        <v>509.56</v>
      </c>
    </row>
    <row r="183" spans="1:11" x14ac:dyDescent="0.25">
      <c r="A183">
        <v>1000</v>
      </c>
      <c r="B183">
        <v>1000</v>
      </c>
      <c r="C183" s="1">
        <v>45961</v>
      </c>
      <c r="D183" s="14" t="s">
        <v>56</v>
      </c>
      <c r="E183">
        <v>3341000133</v>
      </c>
      <c r="F183" s="2">
        <v>270.44</v>
      </c>
      <c r="G183" s="1">
        <v>45966</v>
      </c>
      <c r="I183" t="s">
        <v>9</v>
      </c>
      <c r="K183" s="2">
        <f t="shared" si="2"/>
        <v>270.44</v>
      </c>
    </row>
    <row r="184" spans="1:11" x14ac:dyDescent="0.25">
      <c r="A184">
        <v>1000</v>
      </c>
      <c r="B184">
        <v>1000</v>
      </c>
      <c r="C184" s="1">
        <v>45961</v>
      </c>
      <c r="D184" s="14" t="s">
        <v>176</v>
      </c>
      <c r="E184">
        <v>3324000158</v>
      </c>
      <c r="F184" s="2">
        <v>123.3</v>
      </c>
      <c r="G184" s="1">
        <v>45966</v>
      </c>
      <c r="I184" t="s">
        <v>9</v>
      </c>
      <c r="K184" s="2">
        <f t="shared" si="2"/>
        <v>123.3</v>
      </c>
    </row>
    <row r="185" spans="1:11" x14ac:dyDescent="0.25">
      <c r="A185">
        <v>1000</v>
      </c>
      <c r="B185">
        <v>1000</v>
      </c>
      <c r="C185" s="1">
        <v>45961</v>
      </c>
      <c r="D185" s="14" t="s">
        <v>185</v>
      </c>
      <c r="E185">
        <v>3225000031</v>
      </c>
      <c r="F185" s="2">
        <v>1818.86</v>
      </c>
      <c r="G185" s="1">
        <v>45966</v>
      </c>
      <c r="I185" t="s">
        <v>9</v>
      </c>
      <c r="K185" s="2">
        <f t="shared" si="2"/>
        <v>1818.86</v>
      </c>
    </row>
    <row r="186" spans="1:11" x14ac:dyDescent="0.25">
      <c r="A186">
        <v>1000</v>
      </c>
      <c r="B186">
        <v>1000</v>
      </c>
      <c r="C186" s="1">
        <v>45961</v>
      </c>
      <c r="D186" s="14" t="s">
        <v>47</v>
      </c>
      <c r="E186">
        <v>3331002901</v>
      </c>
      <c r="F186" s="2">
        <v>26.66</v>
      </c>
      <c r="G186" s="1">
        <v>45966</v>
      </c>
      <c r="I186" t="s">
        <v>9</v>
      </c>
      <c r="K186" s="2">
        <f t="shared" si="2"/>
        <v>26.66</v>
      </c>
    </row>
    <row r="187" spans="1:11" x14ac:dyDescent="0.25">
      <c r="A187">
        <v>1000</v>
      </c>
      <c r="B187">
        <v>1000</v>
      </c>
      <c r="C187" s="1">
        <v>45961</v>
      </c>
      <c r="D187" s="14" t="s">
        <v>176</v>
      </c>
      <c r="E187">
        <v>3341000136</v>
      </c>
      <c r="F187" s="2">
        <v>157.74</v>
      </c>
      <c r="G187" s="1">
        <v>45966</v>
      </c>
      <c r="I187" t="s">
        <v>9</v>
      </c>
      <c r="K187" s="2">
        <f t="shared" si="2"/>
        <v>157.74</v>
      </c>
    </row>
    <row r="188" spans="1:11" x14ac:dyDescent="0.25">
      <c r="A188">
        <v>1000</v>
      </c>
      <c r="B188">
        <v>1000</v>
      </c>
      <c r="C188" s="1">
        <v>45961</v>
      </c>
      <c r="D188" s="14" t="s">
        <v>67</v>
      </c>
      <c r="E188">
        <v>3331004739</v>
      </c>
      <c r="F188" s="2">
        <v>1261.44</v>
      </c>
      <c r="G188" s="1">
        <v>45966</v>
      </c>
      <c r="I188" t="s">
        <v>9</v>
      </c>
      <c r="K188" s="2">
        <f t="shared" si="2"/>
        <v>1261.44</v>
      </c>
    </row>
    <row r="189" spans="1:11" x14ac:dyDescent="0.25">
      <c r="A189">
        <v>1000</v>
      </c>
      <c r="B189">
        <v>1000</v>
      </c>
      <c r="C189" s="1">
        <v>45961</v>
      </c>
      <c r="D189" s="14" t="s">
        <v>188</v>
      </c>
      <c r="E189">
        <v>3331000239</v>
      </c>
      <c r="F189" s="2">
        <v>324.64</v>
      </c>
      <c r="G189" s="1">
        <v>45966</v>
      </c>
      <c r="I189" t="s">
        <v>9</v>
      </c>
      <c r="K189" s="2">
        <f t="shared" si="2"/>
        <v>324.64</v>
      </c>
    </row>
    <row r="190" spans="1:11" x14ac:dyDescent="0.25">
      <c r="A190">
        <v>1000</v>
      </c>
      <c r="B190">
        <v>1000</v>
      </c>
      <c r="C190" s="1">
        <v>45961</v>
      </c>
      <c r="D190" s="14" t="s">
        <v>61</v>
      </c>
      <c r="E190">
        <v>3331004104</v>
      </c>
      <c r="F190" s="2">
        <v>383.87</v>
      </c>
      <c r="G190" s="1">
        <v>45966</v>
      </c>
      <c r="I190" t="s">
        <v>9</v>
      </c>
      <c r="K190" s="2">
        <f t="shared" si="2"/>
        <v>383.87</v>
      </c>
    </row>
    <row r="191" spans="1:11" x14ac:dyDescent="0.25">
      <c r="A191">
        <v>1000</v>
      </c>
      <c r="B191">
        <v>1000</v>
      </c>
      <c r="C191" s="1">
        <v>45961</v>
      </c>
      <c r="D191" s="14" t="s">
        <v>56</v>
      </c>
      <c r="E191">
        <v>3331002903</v>
      </c>
      <c r="F191" s="2">
        <v>72.47</v>
      </c>
      <c r="G191" s="1">
        <v>45966</v>
      </c>
      <c r="I191" t="s">
        <v>9</v>
      </c>
      <c r="K191" s="2">
        <f t="shared" si="2"/>
        <v>72.47</v>
      </c>
    </row>
    <row r="192" spans="1:11" x14ac:dyDescent="0.25">
      <c r="A192">
        <v>1000</v>
      </c>
      <c r="B192">
        <v>1000</v>
      </c>
      <c r="C192" s="1">
        <v>45961</v>
      </c>
      <c r="D192" s="14" t="s">
        <v>176</v>
      </c>
      <c r="E192">
        <v>3324000150</v>
      </c>
      <c r="F192" s="2">
        <v>110.97</v>
      </c>
      <c r="G192" s="1">
        <v>45966</v>
      </c>
      <c r="I192" t="s">
        <v>9</v>
      </c>
      <c r="K192" s="2">
        <f t="shared" si="2"/>
        <v>110.97</v>
      </c>
    </row>
    <row r="193" spans="1:11" x14ac:dyDescent="0.25">
      <c r="A193">
        <v>1000</v>
      </c>
      <c r="B193">
        <v>1000</v>
      </c>
      <c r="C193" s="1">
        <v>45961</v>
      </c>
      <c r="D193" s="14" t="s">
        <v>188</v>
      </c>
      <c r="E193">
        <v>3331000237</v>
      </c>
      <c r="F193" s="2">
        <v>369</v>
      </c>
      <c r="G193" s="1">
        <v>45966</v>
      </c>
      <c r="I193" t="s">
        <v>9</v>
      </c>
      <c r="K193" s="2">
        <f t="shared" si="2"/>
        <v>369</v>
      </c>
    </row>
    <row r="194" spans="1:11" x14ac:dyDescent="0.25">
      <c r="A194">
        <v>1000</v>
      </c>
      <c r="B194">
        <v>1000</v>
      </c>
      <c r="C194" s="1">
        <v>45961</v>
      </c>
      <c r="D194" s="14" t="s">
        <v>34</v>
      </c>
      <c r="E194">
        <v>3225000011</v>
      </c>
      <c r="F194" s="2">
        <v>9299.32</v>
      </c>
      <c r="G194" s="1">
        <v>45966</v>
      </c>
      <c r="I194" t="s">
        <v>9</v>
      </c>
      <c r="K194" s="2">
        <f t="shared" si="2"/>
        <v>9299.32</v>
      </c>
    </row>
    <row r="195" spans="1:11" x14ac:dyDescent="0.25">
      <c r="A195">
        <v>1000</v>
      </c>
      <c r="B195">
        <v>1000</v>
      </c>
      <c r="C195" s="1">
        <v>45961</v>
      </c>
      <c r="D195" s="14" t="s">
        <v>176</v>
      </c>
      <c r="E195">
        <v>3341000155</v>
      </c>
      <c r="F195" s="2">
        <v>263.62</v>
      </c>
      <c r="G195" s="1">
        <v>45966</v>
      </c>
      <c r="I195" t="s">
        <v>9</v>
      </c>
      <c r="K195" s="2">
        <f t="shared" si="2"/>
        <v>263.62</v>
      </c>
    </row>
    <row r="196" spans="1:11" x14ac:dyDescent="0.25">
      <c r="A196">
        <v>1000</v>
      </c>
      <c r="B196">
        <v>1000</v>
      </c>
      <c r="C196" s="1">
        <v>45961</v>
      </c>
      <c r="D196" s="14" t="s">
        <v>67</v>
      </c>
      <c r="E196">
        <v>3324000115</v>
      </c>
      <c r="F196" s="2">
        <v>110.73</v>
      </c>
      <c r="G196" s="1">
        <v>45966</v>
      </c>
      <c r="I196" t="s">
        <v>9</v>
      </c>
      <c r="K196" s="2">
        <f t="shared" ref="K196:K259" si="3">+F196+J196</f>
        <v>110.73</v>
      </c>
    </row>
    <row r="197" spans="1:11" x14ac:dyDescent="0.25">
      <c r="A197">
        <v>1000</v>
      </c>
      <c r="B197">
        <v>1000</v>
      </c>
      <c r="C197" s="1">
        <v>45961</v>
      </c>
      <c r="D197" s="14" t="s">
        <v>185</v>
      </c>
      <c r="E197">
        <v>3341000033</v>
      </c>
      <c r="F197" s="2">
        <v>840.59</v>
      </c>
      <c r="G197" s="1">
        <v>45966</v>
      </c>
      <c r="I197" t="s">
        <v>9</v>
      </c>
      <c r="K197" s="2">
        <f t="shared" si="3"/>
        <v>840.59</v>
      </c>
    </row>
    <row r="198" spans="1:11" x14ac:dyDescent="0.25">
      <c r="A198">
        <v>1000</v>
      </c>
      <c r="B198">
        <v>1000</v>
      </c>
      <c r="C198" s="1">
        <v>45961</v>
      </c>
      <c r="D198" s="14" t="s">
        <v>56</v>
      </c>
      <c r="E198">
        <v>3331002905</v>
      </c>
      <c r="F198" s="2">
        <v>20.99</v>
      </c>
      <c r="G198" s="1">
        <v>45966</v>
      </c>
      <c r="I198" t="s">
        <v>9</v>
      </c>
      <c r="K198" s="2">
        <f t="shared" si="3"/>
        <v>20.99</v>
      </c>
    </row>
    <row r="199" spans="1:11" x14ac:dyDescent="0.25">
      <c r="A199">
        <v>1000</v>
      </c>
      <c r="B199">
        <v>1000</v>
      </c>
      <c r="C199" s="1">
        <v>45961</v>
      </c>
      <c r="D199" s="14" t="s">
        <v>34</v>
      </c>
      <c r="E199">
        <v>3235000072</v>
      </c>
      <c r="F199" s="2">
        <v>4956.4399999999996</v>
      </c>
      <c r="G199" s="1">
        <v>45966</v>
      </c>
      <c r="I199" t="s">
        <v>9</v>
      </c>
      <c r="K199" s="2">
        <f t="shared" si="3"/>
        <v>4956.4399999999996</v>
      </c>
    </row>
    <row r="200" spans="1:11" x14ac:dyDescent="0.25">
      <c r="A200">
        <v>1000</v>
      </c>
      <c r="B200">
        <v>1000</v>
      </c>
      <c r="C200" s="1">
        <v>45961</v>
      </c>
      <c r="D200" s="14" t="s">
        <v>181</v>
      </c>
      <c r="E200">
        <v>3225000049</v>
      </c>
      <c r="F200" s="2">
        <v>2002.2</v>
      </c>
      <c r="G200" s="1">
        <v>45966</v>
      </c>
      <c r="I200" t="s">
        <v>9</v>
      </c>
      <c r="K200" s="2">
        <f t="shared" si="3"/>
        <v>2002.2</v>
      </c>
    </row>
    <row r="201" spans="1:11" x14ac:dyDescent="0.25">
      <c r="A201">
        <v>1000</v>
      </c>
      <c r="B201">
        <v>1000</v>
      </c>
      <c r="C201" s="1">
        <v>45961</v>
      </c>
      <c r="D201" s="14" t="s">
        <v>183</v>
      </c>
      <c r="E201">
        <v>3369001449</v>
      </c>
      <c r="F201" s="2">
        <v>61.79</v>
      </c>
      <c r="G201" s="1">
        <v>45966</v>
      </c>
      <c r="I201" t="s">
        <v>9</v>
      </c>
      <c r="K201" s="2">
        <f t="shared" si="3"/>
        <v>61.79</v>
      </c>
    </row>
    <row r="202" spans="1:11" x14ac:dyDescent="0.25">
      <c r="A202">
        <v>1000</v>
      </c>
      <c r="B202">
        <v>1000</v>
      </c>
      <c r="C202" s="1">
        <v>45961</v>
      </c>
      <c r="D202" s="14" t="s">
        <v>176</v>
      </c>
      <c r="E202">
        <v>3324000142</v>
      </c>
      <c r="F202" s="2">
        <v>116.54</v>
      </c>
      <c r="G202" s="1">
        <v>45966</v>
      </c>
      <c r="I202" t="s">
        <v>9</v>
      </c>
      <c r="K202" s="2">
        <f t="shared" si="3"/>
        <v>116.54</v>
      </c>
    </row>
    <row r="203" spans="1:11" x14ac:dyDescent="0.25">
      <c r="A203">
        <v>1000</v>
      </c>
      <c r="B203">
        <v>1000</v>
      </c>
      <c r="C203" s="1">
        <v>45961</v>
      </c>
      <c r="D203" s="14" t="s">
        <v>178</v>
      </c>
      <c r="E203">
        <v>3331002828</v>
      </c>
      <c r="F203" s="2">
        <v>850.09</v>
      </c>
      <c r="G203" s="1">
        <v>45966</v>
      </c>
      <c r="I203" t="s">
        <v>9</v>
      </c>
      <c r="K203" s="2">
        <f t="shared" si="3"/>
        <v>850.09</v>
      </c>
    </row>
    <row r="204" spans="1:11" x14ac:dyDescent="0.25">
      <c r="A204">
        <v>1000</v>
      </c>
      <c r="B204">
        <v>1000</v>
      </c>
      <c r="C204" s="1">
        <v>45961</v>
      </c>
      <c r="D204" s="14" t="s">
        <v>34</v>
      </c>
      <c r="E204">
        <v>3225000024</v>
      </c>
      <c r="F204" s="2">
        <v>346.44</v>
      </c>
      <c r="G204" s="1">
        <v>45966</v>
      </c>
      <c r="I204" t="s">
        <v>9</v>
      </c>
      <c r="K204" s="2">
        <f t="shared" si="3"/>
        <v>346.44</v>
      </c>
    </row>
    <row r="205" spans="1:11" x14ac:dyDescent="0.25">
      <c r="A205">
        <v>1000</v>
      </c>
      <c r="B205">
        <v>1000</v>
      </c>
      <c r="C205" s="1">
        <v>45961</v>
      </c>
      <c r="D205" s="14" t="s">
        <v>176</v>
      </c>
      <c r="E205">
        <v>3331002941</v>
      </c>
      <c r="F205" s="2">
        <v>351.21</v>
      </c>
      <c r="G205" s="1">
        <v>45966</v>
      </c>
      <c r="I205" t="s">
        <v>9</v>
      </c>
      <c r="K205" s="2">
        <f t="shared" si="3"/>
        <v>351.21</v>
      </c>
    </row>
    <row r="206" spans="1:11" x14ac:dyDescent="0.25">
      <c r="A206">
        <v>1000</v>
      </c>
      <c r="B206">
        <v>1000</v>
      </c>
      <c r="C206" s="1">
        <v>45961</v>
      </c>
      <c r="D206" s="14" t="s">
        <v>34</v>
      </c>
      <c r="E206">
        <v>3224000066</v>
      </c>
      <c r="F206" s="2">
        <v>1001.53</v>
      </c>
      <c r="G206" s="1">
        <v>45966</v>
      </c>
      <c r="I206" t="s">
        <v>9</v>
      </c>
      <c r="K206" s="2">
        <f t="shared" si="3"/>
        <v>1001.53</v>
      </c>
    </row>
    <row r="207" spans="1:11" x14ac:dyDescent="0.25">
      <c r="A207">
        <v>1000</v>
      </c>
      <c r="B207">
        <v>1000</v>
      </c>
      <c r="C207" s="1">
        <v>45961</v>
      </c>
      <c r="D207" s="14" t="s">
        <v>176</v>
      </c>
      <c r="E207">
        <v>3324000156</v>
      </c>
      <c r="F207" s="2">
        <v>123.3</v>
      </c>
      <c r="G207" s="1">
        <v>45966</v>
      </c>
      <c r="I207" t="s">
        <v>9</v>
      </c>
      <c r="K207" s="2">
        <f t="shared" si="3"/>
        <v>123.3</v>
      </c>
    </row>
    <row r="208" spans="1:11" x14ac:dyDescent="0.25">
      <c r="A208">
        <v>1000</v>
      </c>
      <c r="B208">
        <v>1000</v>
      </c>
      <c r="C208" s="1">
        <v>45961</v>
      </c>
      <c r="D208" s="14" t="s">
        <v>47</v>
      </c>
      <c r="E208">
        <v>3331004799</v>
      </c>
      <c r="F208" s="2">
        <v>240.53</v>
      </c>
      <c r="G208" s="1">
        <v>45966</v>
      </c>
      <c r="I208" t="s">
        <v>9</v>
      </c>
      <c r="K208" s="2">
        <f t="shared" si="3"/>
        <v>240.53</v>
      </c>
    </row>
    <row r="209" spans="1:11" x14ac:dyDescent="0.25">
      <c r="A209">
        <v>1000</v>
      </c>
      <c r="B209">
        <v>1000</v>
      </c>
      <c r="C209" s="1">
        <v>45961</v>
      </c>
      <c r="D209" s="14" t="s">
        <v>53</v>
      </c>
      <c r="E209">
        <v>3235000081</v>
      </c>
      <c r="F209" s="2">
        <v>2868.16</v>
      </c>
      <c r="G209" s="1">
        <v>45966</v>
      </c>
      <c r="I209" t="s">
        <v>9</v>
      </c>
      <c r="K209" s="2">
        <f t="shared" si="3"/>
        <v>2868.16</v>
      </c>
    </row>
    <row r="210" spans="1:11" x14ac:dyDescent="0.25">
      <c r="A210">
        <v>1000</v>
      </c>
      <c r="B210">
        <v>1000</v>
      </c>
      <c r="C210" s="1">
        <v>45961</v>
      </c>
      <c r="D210" s="14" t="s">
        <v>183</v>
      </c>
      <c r="E210">
        <v>3224000008</v>
      </c>
      <c r="F210" s="2">
        <v>2140.75</v>
      </c>
      <c r="G210" s="1">
        <v>45966</v>
      </c>
      <c r="I210" t="s">
        <v>9</v>
      </c>
      <c r="K210" s="2">
        <f t="shared" si="3"/>
        <v>2140.75</v>
      </c>
    </row>
    <row r="211" spans="1:11" x14ac:dyDescent="0.25">
      <c r="A211">
        <v>1000</v>
      </c>
      <c r="B211">
        <v>1000</v>
      </c>
      <c r="C211" s="1">
        <v>45961</v>
      </c>
      <c r="D211" s="14" t="s">
        <v>183</v>
      </c>
      <c r="E211">
        <v>3235000073</v>
      </c>
      <c r="F211" s="2">
        <v>4956.4399999999996</v>
      </c>
      <c r="G211" s="1">
        <v>45966</v>
      </c>
      <c r="I211" t="s">
        <v>9</v>
      </c>
      <c r="K211" s="2">
        <f t="shared" si="3"/>
        <v>4956.4399999999996</v>
      </c>
    </row>
    <row r="212" spans="1:11" x14ac:dyDescent="0.25">
      <c r="A212">
        <v>1000</v>
      </c>
      <c r="B212">
        <v>1000</v>
      </c>
      <c r="C212" s="1">
        <v>45961</v>
      </c>
      <c r="D212" s="14" t="s">
        <v>176</v>
      </c>
      <c r="E212">
        <v>3341000137</v>
      </c>
      <c r="F212" s="2">
        <v>157.74</v>
      </c>
      <c r="G212" s="1">
        <v>45966</v>
      </c>
      <c r="I212" t="s">
        <v>9</v>
      </c>
      <c r="K212" s="2">
        <f t="shared" si="3"/>
        <v>157.74</v>
      </c>
    </row>
    <row r="213" spans="1:11" x14ac:dyDescent="0.25">
      <c r="A213">
        <v>1000</v>
      </c>
      <c r="B213">
        <v>1000</v>
      </c>
      <c r="C213" s="1">
        <v>45961</v>
      </c>
      <c r="D213" s="14" t="s">
        <v>183</v>
      </c>
      <c r="E213">
        <v>3225000059</v>
      </c>
      <c r="F213" s="2">
        <v>1522.51</v>
      </c>
      <c r="G213" s="1">
        <v>45966</v>
      </c>
      <c r="I213" t="s">
        <v>9</v>
      </c>
      <c r="K213" s="2">
        <f t="shared" si="3"/>
        <v>1522.51</v>
      </c>
    </row>
    <row r="214" spans="1:11" x14ac:dyDescent="0.25">
      <c r="A214">
        <v>1000</v>
      </c>
      <c r="B214">
        <v>1000</v>
      </c>
      <c r="C214" s="1">
        <v>45961</v>
      </c>
      <c r="D214" s="14" t="s">
        <v>31</v>
      </c>
      <c r="E214">
        <v>3224000017</v>
      </c>
      <c r="F214" s="2">
        <v>25102.25</v>
      </c>
      <c r="G214" s="1">
        <v>45966</v>
      </c>
      <c r="I214" t="s">
        <v>9</v>
      </c>
      <c r="K214" s="2">
        <f t="shared" si="3"/>
        <v>25102.25</v>
      </c>
    </row>
    <row r="215" spans="1:11" x14ac:dyDescent="0.25">
      <c r="A215">
        <v>1000</v>
      </c>
      <c r="B215">
        <v>1000</v>
      </c>
      <c r="C215" s="1">
        <v>45961</v>
      </c>
      <c r="D215" s="14" t="s">
        <v>47</v>
      </c>
      <c r="E215">
        <v>3331004798</v>
      </c>
      <c r="F215" s="2">
        <v>240.46</v>
      </c>
      <c r="G215" s="1">
        <v>45966</v>
      </c>
      <c r="I215" t="s">
        <v>9</v>
      </c>
      <c r="K215" s="2">
        <f t="shared" si="3"/>
        <v>240.46</v>
      </c>
    </row>
    <row r="216" spans="1:11" x14ac:dyDescent="0.25">
      <c r="A216">
        <v>1000</v>
      </c>
      <c r="B216">
        <v>1000</v>
      </c>
      <c r="C216" s="1">
        <v>45961</v>
      </c>
      <c r="D216" s="14" t="s">
        <v>200</v>
      </c>
      <c r="E216">
        <v>3224000041</v>
      </c>
      <c r="F216" s="2">
        <v>30349.16</v>
      </c>
      <c r="G216" s="1">
        <v>45966</v>
      </c>
      <c r="I216" t="s">
        <v>9</v>
      </c>
      <c r="K216" s="2">
        <f t="shared" si="3"/>
        <v>30349.16</v>
      </c>
    </row>
    <row r="217" spans="1:11" x14ac:dyDescent="0.25">
      <c r="A217">
        <v>1000</v>
      </c>
      <c r="B217">
        <v>1000</v>
      </c>
      <c r="C217" s="1">
        <v>45961</v>
      </c>
      <c r="D217" s="14" t="s">
        <v>176</v>
      </c>
      <c r="E217">
        <v>3331002648</v>
      </c>
      <c r="F217" s="2">
        <v>37.35</v>
      </c>
      <c r="G217" s="1">
        <v>45966</v>
      </c>
      <c r="I217" t="s">
        <v>9</v>
      </c>
      <c r="K217" s="2">
        <f t="shared" si="3"/>
        <v>37.35</v>
      </c>
    </row>
    <row r="218" spans="1:11" x14ac:dyDescent="0.25">
      <c r="A218">
        <v>1000</v>
      </c>
      <c r="B218">
        <v>1000</v>
      </c>
      <c r="C218" s="1">
        <v>45961</v>
      </c>
      <c r="D218" s="14" t="s">
        <v>183</v>
      </c>
      <c r="E218">
        <v>3235000070</v>
      </c>
      <c r="F218" s="2">
        <v>5661.9</v>
      </c>
      <c r="G218" s="1">
        <v>45966</v>
      </c>
      <c r="I218" t="s">
        <v>9</v>
      </c>
      <c r="K218" s="2">
        <f t="shared" si="3"/>
        <v>5661.9</v>
      </c>
    </row>
    <row r="219" spans="1:11" x14ac:dyDescent="0.25">
      <c r="A219">
        <v>1000</v>
      </c>
      <c r="B219">
        <v>1000</v>
      </c>
      <c r="C219" s="1">
        <v>45961</v>
      </c>
      <c r="D219" s="14" t="s">
        <v>34</v>
      </c>
      <c r="E219">
        <v>3225000042</v>
      </c>
      <c r="F219" s="2">
        <v>9229.2099999999991</v>
      </c>
      <c r="G219" s="1">
        <v>45966</v>
      </c>
      <c r="I219" t="s">
        <v>9</v>
      </c>
      <c r="K219" s="2">
        <f t="shared" si="3"/>
        <v>9229.2099999999991</v>
      </c>
    </row>
    <row r="220" spans="1:11" x14ac:dyDescent="0.25">
      <c r="A220">
        <v>1000</v>
      </c>
      <c r="B220">
        <v>1000</v>
      </c>
      <c r="C220" s="1">
        <v>45961</v>
      </c>
      <c r="D220" s="14" t="s">
        <v>70</v>
      </c>
      <c r="E220">
        <v>3224000059</v>
      </c>
      <c r="F220" s="2">
        <v>3808.46</v>
      </c>
      <c r="G220" s="1">
        <v>45966</v>
      </c>
      <c r="I220" t="s">
        <v>9</v>
      </c>
      <c r="K220" s="2">
        <f t="shared" si="3"/>
        <v>3808.46</v>
      </c>
    </row>
    <row r="221" spans="1:11" x14ac:dyDescent="0.25">
      <c r="A221">
        <v>1000</v>
      </c>
      <c r="B221">
        <v>1000</v>
      </c>
      <c r="C221" s="1">
        <v>45961</v>
      </c>
      <c r="D221" s="14" t="s">
        <v>176</v>
      </c>
      <c r="E221">
        <v>3324000153</v>
      </c>
      <c r="F221" s="2">
        <v>123.3</v>
      </c>
      <c r="G221" s="1">
        <v>45966</v>
      </c>
      <c r="I221" t="s">
        <v>9</v>
      </c>
      <c r="K221" s="2">
        <f t="shared" si="3"/>
        <v>123.3</v>
      </c>
    </row>
    <row r="222" spans="1:11" x14ac:dyDescent="0.25">
      <c r="A222">
        <v>1000</v>
      </c>
      <c r="B222">
        <v>1000</v>
      </c>
      <c r="C222" s="1">
        <v>45961</v>
      </c>
      <c r="D222" s="14" t="s">
        <v>203</v>
      </c>
      <c r="E222">
        <v>0</v>
      </c>
      <c r="F222" s="2">
        <v>1102.52</v>
      </c>
      <c r="G222" s="1">
        <v>45966</v>
      </c>
      <c r="I222" t="s">
        <v>9</v>
      </c>
      <c r="K222" s="2">
        <f t="shared" si="3"/>
        <v>1102.52</v>
      </c>
    </row>
    <row r="223" spans="1:11" x14ac:dyDescent="0.25">
      <c r="A223">
        <v>1000</v>
      </c>
      <c r="B223">
        <v>1000</v>
      </c>
      <c r="C223" s="1">
        <v>45961</v>
      </c>
      <c r="D223" s="14" t="s">
        <v>47</v>
      </c>
      <c r="E223">
        <v>3331004807</v>
      </c>
      <c r="F223" s="2">
        <v>117.71</v>
      </c>
      <c r="G223" s="1">
        <v>45966</v>
      </c>
      <c r="I223" t="s">
        <v>9</v>
      </c>
      <c r="K223" s="2">
        <f t="shared" si="3"/>
        <v>117.71</v>
      </c>
    </row>
    <row r="224" spans="1:11" x14ac:dyDescent="0.25">
      <c r="A224">
        <v>1000</v>
      </c>
      <c r="B224">
        <v>1000</v>
      </c>
      <c r="C224" s="1">
        <v>45961</v>
      </c>
      <c r="D224" s="14" t="s">
        <v>183</v>
      </c>
      <c r="E224">
        <v>3331000006</v>
      </c>
      <c r="F224" s="2">
        <v>1586.89</v>
      </c>
      <c r="G224" s="1">
        <v>45966</v>
      </c>
      <c r="I224" t="s">
        <v>9</v>
      </c>
      <c r="K224" s="2">
        <f t="shared" si="3"/>
        <v>1586.89</v>
      </c>
    </row>
    <row r="225" spans="1:11" x14ac:dyDescent="0.25">
      <c r="A225">
        <v>1000</v>
      </c>
      <c r="B225">
        <v>1000</v>
      </c>
      <c r="C225" s="1">
        <v>45961</v>
      </c>
      <c r="D225" s="14" t="s">
        <v>34</v>
      </c>
      <c r="E225">
        <v>3225000002</v>
      </c>
      <c r="F225" s="2">
        <v>8069.53</v>
      </c>
      <c r="G225" s="1">
        <v>45966</v>
      </c>
      <c r="I225" t="s">
        <v>9</v>
      </c>
      <c r="K225" s="2">
        <f t="shared" si="3"/>
        <v>8069.53</v>
      </c>
    </row>
    <row r="226" spans="1:11" x14ac:dyDescent="0.25">
      <c r="A226">
        <v>1000</v>
      </c>
      <c r="B226">
        <v>1000</v>
      </c>
      <c r="C226" s="1">
        <v>45961</v>
      </c>
      <c r="D226" s="14" t="s">
        <v>34</v>
      </c>
      <c r="E226">
        <v>3225000055</v>
      </c>
      <c r="F226" s="2">
        <v>318.19</v>
      </c>
      <c r="G226" s="1">
        <v>45966</v>
      </c>
      <c r="I226" t="s">
        <v>9</v>
      </c>
      <c r="K226" s="2">
        <f t="shared" si="3"/>
        <v>318.19</v>
      </c>
    </row>
    <row r="227" spans="1:11" x14ac:dyDescent="0.25">
      <c r="A227">
        <v>1000</v>
      </c>
      <c r="B227">
        <v>1000</v>
      </c>
      <c r="C227" s="1">
        <v>45961</v>
      </c>
      <c r="D227" s="14" t="s">
        <v>183</v>
      </c>
      <c r="E227">
        <v>3331000004</v>
      </c>
      <c r="F227" s="2">
        <v>1191.1099999999999</v>
      </c>
      <c r="G227" s="1">
        <v>45966</v>
      </c>
      <c r="I227" t="s">
        <v>9</v>
      </c>
      <c r="K227" s="2">
        <f t="shared" si="3"/>
        <v>1191.1099999999999</v>
      </c>
    </row>
    <row r="228" spans="1:11" x14ac:dyDescent="0.25">
      <c r="A228">
        <v>1000</v>
      </c>
      <c r="B228">
        <v>1000</v>
      </c>
      <c r="C228" s="1">
        <v>45961</v>
      </c>
      <c r="D228" s="14" t="s">
        <v>67</v>
      </c>
      <c r="E228">
        <v>3331004745</v>
      </c>
      <c r="F228" s="2">
        <v>293.67</v>
      </c>
      <c r="G228" s="1">
        <v>45966</v>
      </c>
      <c r="I228" t="s">
        <v>9</v>
      </c>
      <c r="K228" s="2">
        <f t="shared" si="3"/>
        <v>293.67</v>
      </c>
    </row>
    <row r="229" spans="1:11" x14ac:dyDescent="0.25">
      <c r="A229">
        <v>1000</v>
      </c>
      <c r="B229">
        <v>1000</v>
      </c>
      <c r="C229" s="1">
        <v>45961</v>
      </c>
      <c r="D229" s="14" t="s">
        <v>34</v>
      </c>
      <c r="E229">
        <v>3235000063</v>
      </c>
      <c r="F229" s="2">
        <v>6313.13</v>
      </c>
      <c r="G229" s="1">
        <v>45966</v>
      </c>
      <c r="I229" t="s">
        <v>9</v>
      </c>
      <c r="K229" s="2">
        <f t="shared" si="3"/>
        <v>6313.13</v>
      </c>
    </row>
    <row r="230" spans="1:11" x14ac:dyDescent="0.25">
      <c r="A230">
        <v>1000</v>
      </c>
      <c r="B230">
        <v>1000</v>
      </c>
      <c r="C230" s="1">
        <v>45961</v>
      </c>
      <c r="D230" s="14" t="s">
        <v>34</v>
      </c>
      <c r="E230">
        <v>3225000037</v>
      </c>
      <c r="F230" s="2">
        <v>9229.2099999999991</v>
      </c>
      <c r="G230" s="1">
        <v>45966</v>
      </c>
      <c r="I230" t="s">
        <v>9</v>
      </c>
      <c r="K230" s="2">
        <f t="shared" si="3"/>
        <v>9229.2099999999991</v>
      </c>
    </row>
    <row r="231" spans="1:11" x14ac:dyDescent="0.25">
      <c r="A231">
        <v>1000</v>
      </c>
      <c r="B231">
        <v>1000</v>
      </c>
      <c r="C231" s="1">
        <v>45961</v>
      </c>
      <c r="D231" s="14" t="s">
        <v>34</v>
      </c>
      <c r="E231">
        <v>3224000021</v>
      </c>
      <c r="F231" s="2">
        <v>3487.25</v>
      </c>
      <c r="G231" s="1">
        <v>45966</v>
      </c>
      <c r="I231" t="s">
        <v>9</v>
      </c>
      <c r="K231" s="2">
        <f t="shared" si="3"/>
        <v>3487.25</v>
      </c>
    </row>
    <row r="232" spans="1:11" x14ac:dyDescent="0.25">
      <c r="A232">
        <v>1000</v>
      </c>
      <c r="B232">
        <v>1000</v>
      </c>
      <c r="C232" s="1">
        <v>45961</v>
      </c>
      <c r="D232" s="14" t="s">
        <v>34</v>
      </c>
      <c r="E232">
        <v>3224000055</v>
      </c>
      <c r="F232" s="2">
        <v>3712.78</v>
      </c>
      <c r="G232" s="1">
        <v>45966</v>
      </c>
      <c r="I232" t="s">
        <v>9</v>
      </c>
      <c r="K232" s="2">
        <f t="shared" si="3"/>
        <v>3712.78</v>
      </c>
    </row>
    <row r="233" spans="1:11" x14ac:dyDescent="0.25">
      <c r="A233">
        <v>1000</v>
      </c>
      <c r="B233">
        <v>1000</v>
      </c>
      <c r="C233" s="1">
        <v>45961</v>
      </c>
      <c r="D233" s="14" t="s">
        <v>183</v>
      </c>
      <c r="E233">
        <v>3331000019</v>
      </c>
      <c r="F233" s="2">
        <v>2649.49</v>
      </c>
      <c r="G233" s="1">
        <v>45966</v>
      </c>
      <c r="I233" t="s">
        <v>9</v>
      </c>
      <c r="K233" s="2">
        <f t="shared" si="3"/>
        <v>2649.49</v>
      </c>
    </row>
    <row r="234" spans="1:11" x14ac:dyDescent="0.25">
      <c r="A234">
        <v>1000</v>
      </c>
      <c r="B234">
        <v>1000</v>
      </c>
      <c r="C234" s="1">
        <v>45961</v>
      </c>
      <c r="D234" s="14" t="s">
        <v>200</v>
      </c>
      <c r="E234">
        <v>3224000063</v>
      </c>
      <c r="F234" s="2">
        <v>30931.63</v>
      </c>
      <c r="G234" s="1">
        <v>45966</v>
      </c>
      <c r="I234" t="s">
        <v>9</v>
      </c>
      <c r="K234" s="2">
        <f t="shared" si="3"/>
        <v>30931.63</v>
      </c>
    </row>
    <row r="235" spans="1:11" x14ac:dyDescent="0.25">
      <c r="A235">
        <v>1000</v>
      </c>
      <c r="B235">
        <v>1000</v>
      </c>
      <c r="C235" s="1">
        <v>45961</v>
      </c>
      <c r="D235" s="14" t="s">
        <v>34</v>
      </c>
      <c r="E235">
        <v>3224000018</v>
      </c>
      <c r="F235" s="2">
        <v>2859.75</v>
      </c>
      <c r="G235" s="1">
        <v>45966</v>
      </c>
      <c r="I235" t="s">
        <v>9</v>
      </c>
      <c r="K235" s="2">
        <f t="shared" si="3"/>
        <v>2859.75</v>
      </c>
    </row>
    <row r="236" spans="1:11" x14ac:dyDescent="0.25">
      <c r="A236">
        <v>1000</v>
      </c>
      <c r="B236">
        <v>1000</v>
      </c>
      <c r="C236" s="1">
        <v>45961</v>
      </c>
      <c r="D236" s="14" t="s">
        <v>34</v>
      </c>
      <c r="E236">
        <v>3224000042</v>
      </c>
      <c r="F236" s="2">
        <v>932.4</v>
      </c>
      <c r="G236" s="1">
        <v>45966</v>
      </c>
      <c r="I236" t="s">
        <v>9</v>
      </c>
      <c r="K236" s="2">
        <f t="shared" si="3"/>
        <v>932.4</v>
      </c>
    </row>
    <row r="237" spans="1:11" x14ac:dyDescent="0.25">
      <c r="A237">
        <v>1000</v>
      </c>
      <c r="B237">
        <v>1000</v>
      </c>
      <c r="C237" s="1">
        <v>45961</v>
      </c>
      <c r="D237" s="14" t="s">
        <v>47</v>
      </c>
      <c r="E237">
        <v>3331004806</v>
      </c>
      <c r="F237" s="2">
        <v>117.71</v>
      </c>
      <c r="G237" s="1">
        <v>45966</v>
      </c>
      <c r="I237" t="s">
        <v>9</v>
      </c>
      <c r="K237" s="2">
        <f t="shared" si="3"/>
        <v>117.71</v>
      </c>
    </row>
    <row r="238" spans="1:11" x14ac:dyDescent="0.25">
      <c r="A238">
        <v>1000</v>
      </c>
      <c r="B238">
        <v>1000</v>
      </c>
      <c r="C238" s="1">
        <v>45961</v>
      </c>
      <c r="D238" s="14" t="s">
        <v>47</v>
      </c>
      <c r="E238">
        <v>3341000151</v>
      </c>
      <c r="F238" s="2">
        <v>266.57</v>
      </c>
      <c r="G238" s="1">
        <v>45966</v>
      </c>
      <c r="I238" t="s">
        <v>9</v>
      </c>
      <c r="K238" s="2">
        <f t="shared" si="3"/>
        <v>266.57</v>
      </c>
    </row>
    <row r="239" spans="1:11" x14ac:dyDescent="0.25">
      <c r="A239">
        <v>1000</v>
      </c>
      <c r="B239">
        <v>1000</v>
      </c>
      <c r="C239" s="1">
        <v>45961</v>
      </c>
      <c r="D239" s="14" t="s">
        <v>47</v>
      </c>
      <c r="E239">
        <v>3331004808</v>
      </c>
      <c r="F239" s="2">
        <v>117.74</v>
      </c>
      <c r="G239" s="1">
        <v>45966</v>
      </c>
      <c r="I239" t="s">
        <v>9</v>
      </c>
      <c r="K239" s="2">
        <f t="shared" si="3"/>
        <v>117.74</v>
      </c>
    </row>
    <row r="240" spans="1:11" x14ac:dyDescent="0.25">
      <c r="A240">
        <v>1000</v>
      </c>
      <c r="B240">
        <v>1000</v>
      </c>
      <c r="C240" s="1">
        <v>45961</v>
      </c>
      <c r="D240" s="14" t="s">
        <v>188</v>
      </c>
      <c r="E240">
        <v>3331000238</v>
      </c>
      <c r="F240" s="2">
        <v>324.64</v>
      </c>
      <c r="G240" s="1">
        <v>45966</v>
      </c>
      <c r="I240" t="s">
        <v>9</v>
      </c>
      <c r="K240" s="2">
        <f t="shared" si="3"/>
        <v>324.64</v>
      </c>
    </row>
    <row r="241" spans="1:11" x14ac:dyDescent="0.25">
      <c r="A241">
        <v>1000</v>
      </c>
      <c r="B241">
        <v>1000</v>
      </c>
      <c r="C241" s="1">
        <v>45961</v>
      </c>
      <c r="D241" s="14" t="s">
        <v>176</v>
      </c>
      <c r="E241">
        <v>3331002945</v>
      </c>
      <c r="F241" s="2">
        <v>485.34</v>
      </c>
      <c r="G241" s="1">
        <v>45966</v>
      </c>
      <c r="I241" t="s">
        <v>9</v>
      </c>
      <c r="K241" s="2">
        <f t="shared" si="3"/>
        <v>485.34</v>
      </c>
    </row>
    <row r="242" spans="1:11" x14ac:dyDescent="0.25">
      <c r="A242">
        <v>1000</v>
      </c>
      <c r="B242">
        <v>1000</v>
      </c>
      <c r="C242" s="1">
        <v>45961</v>
      </c>
      <c r="D242" s="14" t="s">
        <v>53</v>
      </c>
      <c r="E242">
        <v>3225000032</v>
      </c>
      <c r="F242" s="2">
        <v>2292.36</v>
      </c>
      <c r="G242" s="1">
        <v>45966</v>
      </c>
      <c r="I242" t="s">
        <v>9</v>
      </c>
      <c r="K242" s="2">
        <f t="shared" si="3"/>
        <v>2292.36</v>
      </c>
    </row>
    <row r="243" spans="1:11" x14ac:dyDescent="0.25">
      <c r="A243">
        <v>1000</v>
      </c>
      <c r="B243">
        <v>1000</v>
      </c>
      <c r="C243" s="1">
        <v>45961</v>
      </c>
      <c r="D243" s="14" t="s">
        <v>183</v>
      </c>
      <c r="E243">
        <v>0</v>
      </c>
      <c r="F243" s="2">
        <v>1092.8900000000001</v>
      </c>
      <c r="G243" s="1">
        <v>45966</v>
      </c>
      <c r="I243" t="s">
        <v>9</v>
      </c>
      <c r="K243" s="2">
        <f t="shared" si="3"/>
        <v>1092.8900000000001</v>
      </c>
    </row>
    <row r="244" spans="1:11" x14ac:dyDescent="0.25">
      <c r="A244">
        <v>1000</v>
      </c>
      <c r="B244">
        <v>1000</v>
      </c>
      <c r="C244" s="1">
        <v>45961</v>
      </c>
      <c r="D244" s="14" t="s">
        <v>67</v>
      </c>
      <c r="E244">
        <v>3324000171</v>
      </c>
      <c r="F244" s="2">
        <v>61.68</v>
      </c>
      <c r="G244" s="1">
        <v>45966</v>
      </c>
      <c r="I244" t="s">
        <v>9</v>
      </c>
      <c r="K244" s="2">
        <f t="shared" si="3"/>
        <v>61.68</v>
      </c>
    </row>
    <row r="245" spans="1:11" x14ac:dyDescent="0.25">
      <c r="A245">
        <v>1000</v>
      </c>
      <c r="B245">
        <v>1000</v>
      </c>
      <c r="C245" s="1">
        <v>45961</v>
      </c>
      <c r="D245" s="14" t="s">
        <v>176</v>
      </c>
      <c r="E245">
        <v>3331002656</v>
      </c>
      <c r="F245" s="2">
        <v>32.97</v>
      </c>
      <c r="G245" s="1">
        <v>45966</v>
      </c>
      <c r="I245" t="s">
        <v>9</v>
      </c>
      <c r="K245" s="2">
        <f t="shared" si="3"/>
        <v>32.97</v>
      </c>
    </row>
    <row r="246" spans="1:11" x14ac:dyDescent="0.25">
      <c r="A246">
        <v>1000</v>
      </c>
      <c r="B246">
        <v>1000</v>
      </c>
      <c r="C246" s="1">
        <v>45961</v>
      </c>
      <c r="D246" s="14" t="s">
        <v>177</v>
      </c>
      <c r="E246">
        <v>3331002813</v>
      </c>
      <c r="F246" s="2">
        <v>165.64</v>
      </c>
      <c r="G246" s="1">
        <v>45966</v>
      </c>
      <c r="I246" t="s">
        <v>9</v>
      </c>
      <c r="K246" s="2">
        <f t="shared" si="3"/>
        <v>165.64</v>
      </c>
    </row>
    <row r="247" spans="1:11" x14ac:dyDescent="0.25">
      <c r="A247">
        <v>1000</v>
      </c>
      <c r="B247">
        <v>1000</v>
      </c>
      <c r="C247" s="1">
        <v>45961</v>
      </c>
      <c r="D247" s="14" t="s">
        <v>67</v>
      </c>
      <c r="E247">
        <v>3341000143</v>
      </c>
      <c r="F247" s="2">
        <v>157.74</v>
      </c>
      <c r="G247" s="1">
        <v>45966</v>
      </c>
      <c r="I247" t="s">
        <v>9</v>
      </c>
      <c r="K247" s="2">
        <f t="shared" si="3"/>
        <v>157.74</v>
      </c>
    </row>
    <row r="248" spans="1:11" x14ac:dyDescent="0.25">
      <c r="A248">
        <v>1000</v>
      </c>
      <c r="B248">
        <v>1000</v>
      </c>
      <c r="C248" s="1">
        <v>45961</v>
      </c>
      <c r="D248" s="14" t="s">
        <v>47</v>
      </c>
      <c r="E248">
        <v>3341000149</v>
      </c>
      <c r="F248" s="2">
        <v>509.56</v>
      </c>
      <c r="G248" s="1">
        <v>45966</v>
      </c>
      <c r="I248" t="s">
        <v>9</v>
      </c>
      <c r="K248" s="2">
        <f t="shared" si="3"/>
        <v>509.56</v>
      </c>
    </row>
    <row r="249" spans="1:11" x14ac:dyDescent="0.25">
      <c r="A249">
        <v>1000</v>
      </c>
      <c r="B249">
        <v>1000</v>
      </c>
      <c r="C249" s="1">
        <v>45961</v>
      </c>
      <c r="D249" s="14" t="s">
        <v>183</v>
      </c>
      <c r="E249">
        <v>3225000041</v>
      </c>
      <c r="F249" s="2">
        <v>1118.01</v>
      </c>
      <c r="G249" s="1">
        <v>45966</v>
      </c>
      <c r="I249" t="s">
        <v>9</v>
      </c>
      <c r="K249" s="2">
        <f t="shared" si="3"/>
        <v>1118.01</v>
      </c>
    </row>
    <row r="250" spans="1:11" x14ac:dyDescent="0.25">
      <c r="A250">
        <v>1000</v>
      </c>
      <c r="B250">
        <v>1000</v>
      </c>
      <c r="C250" s="1">
        <v>45961</v>
      </c>
      <c r="D250" s="14" t="s">
        <v>70</v>
      </c>
      <c r="E250">
        <v>3331004730</v>
      </c>
      <c r="F250" s="2">
        <v>99.57</v>
      </c>
      <c r="G250" s="1">
        <v>45966</v>
      </c>
      <c r="I250" t="s">
        <v>9</v>
      </c>
      <c r="K250" s="2">
        <f t="shared" si="3"/>
        <v>99.57</v>
      </c>
    </row>
    <row r="251" spans="1:11" x14ac:dyDescent="0.25">
      <c r="A251">
        <v>1000</v>
      </c>
      <c r="B251">
        <v>1000</v>
      </c>
      <c r="C251" s="1">
        <v>45961</v>
      </c>
      <c r="D251" s="14" t="s">
        <v>178</v>
      </c>
      <c r="E251">
        <v>3331000022</v>
      </c>
      <c r="F251" s="2">
        <v>3436.63</v>
      </c>
      <c r="G251" s="1">
        <v>45966</v>
      </c>
      <c r="I251" t="s">
        <v>9</v>
      </c>
      <c r="K251" s="2">
        <f t="shared" si="3"/>
        <v>3436.63</v>
      </c>
    </row>
    <row r="252" spans="1:11" x14ac:dyDescent="0.25">
      <c r="A252">
        <v>1000</v>
      </c>
      <c r="B252">
        <v>1000</v>
      </c>
      <c r="C252" s="1">
        <v>45961</v>
      </c>
      <c r="D252" s="14" t="s">
        <v>47</v>
      </c>
      <c r="E252">
        <v>3341000152</v>
      </c>
      <c r="F252" s="2">
        <v>266.64999999999998</v>
      </c>
      <c r="G252" s="1">
        <v>45966</v>
      </c>
      <c r="I252" t="s">
        <v>9</v>
      </c>
      <c r="K252" s="2">
        <f t="shared" si="3"/>
        <v>266.64999999999998</v>
      </c>
    </row>
    <row r="253" spans="1:11" x14ac:dyDescent="0.25">
      <c r="A253">
        <v>1000</v>
      </c>
      <c r="B253">
        <v>1000</v>
      </c>
      <c r="C253" s="1">
        <v>45961</v>
      </c>
      <c r="D253" s="14" t="s">
        <v>204</v>
      </c>
      <c r="E253">
        <v>0</v>
      </c>
      <c r="F253" s="2">
        <v>196.13</v>
      </c>
      <c r="G253" s="1">
        <v>45966</v>
      </c>
      <c r="I253" t="s">
        <v>9</v>
      </c>
      <c r="K253" s="2">
        <f t="shared" si="3"/>
        <v>196.13</v>
      </c>
    </row>
    <row r="254" spans="1:11" x14ac:dyDescent="0.25">
      <c r="A254">
        <v>1000</v>
      </c>
      <c r="B254">
        <v>1000</v>
      </c>
      <c r="C254" s="1">
        <v>45961</v>
      </c>
      <c r="D254" s="14" t="s">
        <v>73</v>
      </c>
      <c r="E254">
        <v>3235000083</v>
      </c>
      <c r="F254" s="2">
        <v>2487.86</v>
      </c>
      <c r="G254" s="1">
        <v>45966</v>
      </c>
      <c r="I254" t="s">
        <v>9</v>
      </c>
      <c r="K254" s="2">
        <f t="shared" si="3"/>
        <v>2487.86</v>
      </c>
    </row>
    <row r="255" spans="1:11" x14ac:dyDescent="0.25">
      <c r="A255">
        <v>1000</v>
      </c>
      <c r="B255">
        <v>1000</v>
      </c>
      <c r="C255" s="1">
        <v>45961</v>
      </c>
      <c r="D255" s="14" t="s">
        <v>176</v>
      </c>
      <c r="E255">
        <v>3331002636</v>
      </c>
      <c r="F255" s="2">
        <v>63.09</v>
      </c>
      <c r="G255" s="1">
        <v>45966</v>
      </c>
      <c r="I255" t="s">
        <v>9</v>
      </c>
      <c r="K255" s="2">
        <f t="shared" si="3"/>
        <v>63.09</v>
      </c>
    </row>
    <row r="256" spans="1:11" x14ac:dyDescent="0.25">
      <c r="A256">
        <v>1000</v>
      </c>
      <c r="B256">
        <v>1000</v>
      </c>
      <c r="C256" s="1">
        <v>45961</v>
      </c>
      <c r="D256" s="14" t="s">
        <v>67</v>
      </c>
      <c r="E256">
        <v>3331000420</v>
      </c>
      <c r="F256" s="2">
        <v>717.93</v>
      </c>
      <c r="G256" s="1">
        <v>45966</v>
      </c>
      <c r="I256" t="s">
        <v>9</v>
      </c>
      <c r="K256" s="2">
        <f t="shared" si="3"/>
        <v>717.93</v>
      </c>
    </row>
    <row r="257" spans="1:11" x14ac:dyDescent="0.25">
      <c r="A257">
        <v>1000</v>
      </c>
      <c r="B257">
        <v>1000</v>
      </c>
      <c r="C257" s="1">
        <v>45961</v>
      </c>
      <c r="D257" s="14" t="s">
        <v>205</v>
      </c>
      <c r="E257">
        <v>0</v>
      </c>
      <c r="F257" s="2">
        <v>256.76</v>
      </c>
      <c r="G257" s="1">
        <v>45966</v>
      </c>
      <c r="I257" t="s">
        <v>9</v>
      </c>
      <c r="K257" s="2">
        <f t="shared" si="3"/>
        <v>256.76</v>
      </c>
    </row>
    <row r="258" spans="1:11" x14ac:dyDescent="0.25">
      <c r="A258">
        <v>1000</v>
      </c>
      <c r="B258">
        <v>1000</v>
      </c>
      <c r="C258" s="1">
        <v>45961</v>
      </c>
      <c r="D258" s="14" t="s">
        <v>47</v>
      </c>
      <c r="E258">
        <v>3331004800</v>
      </c>
      <c r="F258" s="2">
        <v>391.26</v>
      </c>
      <c r="G258" s="1">
        <v>45966</v>
      </c>
      <c r="I258" t="s">
        <v>9</v>
      </c>
      <c r="K258" s="2">
        <f t="shared" si="3"/>
        <v>391.26</v>
      </c>
    </row>
    <row r="259" spans="1:11" x14ac:dyDescent="0.25">
      <c r="A259">
        <v>1000</v>
      </c>
      <c r="B259">
        <v>1000</v>
      </c>
      <c r="C259" s="1">
        <v>45961</v>
      </c>
      <c r="D259" s="14" t="s">
        <v>34</v>
      </c>
      <c r="E259">
        <v>3225000023</v>
      </c>
      <c r="F259" s="2">
        <v>346.44</v>
      </c>
      <c r="G259" s="1">
        <v>45966</v>
      </c>
      <c r="I259" t="s">
        <v>9</v>
      </c>
      <c r="K259" s="2">
        <f t="shared" si="3"/>
        <v>346.44</v>
      </c>
    </row>
    <row r="260" spans="1:11" x14ac:dyDescent="0.25">
      <c r="A260">
        <v>1000</v>
      </c>
      <c r="B260">
        <v>1000</v>
      </c>
      <c r="C260" s="1">
        <v>45961</v>
      </c>
      <c r="D260" s="14" t="s">
        <v>31</v>
      </c>
      <c r="E260">
        <v>3369001454</v>
      </c>
      <c r="F260" s="2">
        <v>80.040000000000006</v>
      </c>
      <c r="G260" s="1">
        <v>45966</v>
      </c>
      <c r="I260" t="s">
        <v>9</v>
      </c>
      <c r="K260" s="2">
        <f t="shared" ref="K260:K323" si="4">+F260+J260</f>
        <v>80.040000000000006</v>
      </c>
    </row>
    <row r="261" spans="1:11" x14ac:dyDescent="0.25">
      <c r="A261">
        <v>1000</v>
      </c>
      <c r="B261">
        <v>1000</v>
      </c>
      <c r="C261" s="1">
        <v>45961</v>
      </c>
      <c r="D261" s="14" t="s">
        <v>34</v>
      </c>
      <c r="E261">
        <v>3225000003</v>
      </c>
      <c r="F261" s="2">
        <v>8069.54</v>
      </c>
      <c r="G261" s="1">
        <v>45966</v>
      </c>
      <c r="I261" t="s">
        <v>9</v>
      </c>
      <c r="K261" s="2">
        <f t="shared" si="4"/>
        <v>8069.54</v>
      </c>
    </row>
    <row r="262" spans="1:11" x14ac:dyDescent="0.25">
      <c r="A262">
        <v>1000</v>
      </c>
      <c r="B262">
        <v>1000</v>
      </c>
      <c r="C262" s="1">
        <v>45961</v>
      </c>
      <c r="D262" s="14" t="s">
        <v>34</v>
      </c>
      <c r="E262">
        <v>3224000046</v>
      </c>
      <c r="F262" s="2">
        <v>932.4</v>
      </c>
      <c r="G262" s="1">
        <v>45966</v>
      </c>
      <c r="I262" t="s">
        <v>9</v>
      </c>
      <c r="K262" s="2">
        <f t="shared" si="4"/>
        <v>932.4</v>
      </c>
    </row>
    <row r="263" spans="1:11" x14ac:dyDescent="0.25">
      <c r="A263">
        <v>1000</v>
      </c>
      <c r="B263">
        <v>1000</v>
      </c>
      <c r="C263" s="1">
        <v>45961</v>
      </c>
      <c r="D263" s="14" t="s">
        <v>64</v>
      </c>
      <c r="E263">
        <v>3331002861</v>
      </c>
      <c r="F263" s="2">
        <v>773.03</v>
      </c>
      <c r="G263" s="1">
        <v>45966</v>
      </c>
      <c r="I263" t="s">
        <v>9</v>
      </c>
      <c r="K263" s="2">
        <f t="shared" si="4"/>
        <v>773.03</v>
      </c>
    </row>
    <row r="264" spans="1:11" x14ac:dyDescent="0.25">
      <c r="A264">
        <v>1000</v>
      </c>
      <c r="B264">
        <v>1000</v>
      </c>
      <c r="C264" s="1">
        <v>45961</v>
      </c>
      <c r="D264" s="14" t="s">
        <v>34</v>
      </c>
      <c r="E264">
        <v>3225000000</v>
      </c>
      <c r="F264" s="2">
        <v>8029.61</v>
      </c>
      <c r="G264" s="1">
        <v>45966</v>
      </c>
      <c r="I264" t="s">
        <v>9</v>
      </c>
      <c r="K264" s="2">
        <f t="shared" si="4"/>
        <v>8029.61</v>
      </c>
    </row>
    <row r="265" spans="1:11" x14ac:dyDescent="0.25">
      <c r="A265">
        <v>1000</v>
      </c>
      <c r="B265">
        <v>1000</v>
      </c>
      <c r="C265" s="1">
        <v>45961</v>
      </c>
      <c r="D265" s="14" t="s">
        <v>183</v>
      </c>
      <c r="E265">
        <v>3331000384</v>
      </c>
      <c r="F265" s="2">
        <v>328.39</v>
      </c>
      <c r="G265" s="1">
        <v>45966</v>
      </c>
      <c r="I265" t="s">
        <v>9</v>
      </c>
      <c r="K265" s="2">
        <f t="shared" si="4"/>
        <v>328.39</v>
      </c>
    </row>
    <row r="266" spans="1:11" x14ac:dyDescent="0.25">
      <c r="A266">
        <v>1000</v>
      </c>
      <c r="B266">
        <v>1000</v>
      </c>
      <c r="C266" s="1">
        <v>45961</v>
      </c>
      <c r="D266" s="14" t="s">
        <v>184</v>
      </c>
      <c r="E266">
        <v>3341000141</v>
      </c>
      <c r="F266" s="2">
        <v>157.74</v>
      </c>
      <c r="G266" s="1">
        <v>45966</v>
      </c>
      <c r="I266" t="s">
        <v>9</v>
      </c>
      <c r="K266" s="2">
        <f t="shared" si="4"/>
        <v>157.74</v>
      </c>
    </row>
    <row r="267" spans="1:11" x14ac:dyDescent="0.25">
      <c r="A267">
        <v>1000</v>
      </c>
      <c r="B267">
        <v>1000</v>
      </c>
      <c r="C267" s="1">
        <v>45961</v>
      </c>
      <c r="D267" s="14" t="s">
        <v>53</v>
      </c>
      <c r="E267">
        <v>3225000033</v>
      </c>
      <c r="F267" s="2">
        <v>297.25</v>
      </c>
      <c r="G267" s="1">
        <v>45966</v>
      </c>
      <c r="I267" t="s">
        <v>9</v>
      </c>
      <c r="K267" s="2">
        <f t="shared" si="4"/>
        <v>297.25</v>
      </c>
    </row>
    <row r="268" spans="1:11" x14ac:dyDescent="0.25">
      <c r="A268">
        <v>1000</v>
      </c>
      <c r="B268">
        <v>1000</v>
      </c>
      <c r="C268" s="1">
        <v>45961</v>
      </c>
      <c r="D268" s="14" t="s">
        <v>176</v>
      </c>
      <c r="E268">
        <v>3324000140</v>
      </c>
      <c r="F268" s="2">
        <v>165.28</v>
      </c>
      <c r="G268" s="1">
        <v>45966</v>
      </c>
      <c r="I268" t="s">
        <v>9</v>
      </c>
      <c r="K268" s="2">
        <f t="shared" si="4"/>
        <v>165.28</v>
      </c>
    </row>
    <row r="269" spans="1:11" x14ac:dyDescent="0.25">
      <c r="A269">
        <v>1000</v>
      </c>
      <c r="B269">
        <v>1000</v>
      </c>
      <c r="C269" s="1">
        <v>45961</v>
      </c>
      <c r="D269" s="14" t="s">
        <v>206</v>
      </c>
      <c r="E269">
        <v>0</v>
      </c>
      <c r="F269" s="2">
        <v>632.6</v>
      </c>
      <c r="G269" s="1">
        <v>45966</v>
      </c>
      <c r="I269" t="s">
        <v>9</v>
      </c>
      <c r="K269" s="2">
        <f t="shared" si="4"/>
        <v>632.6</v>
      </c>
    </row>
    <row r="270" spans="1:11" x14ac:dyDescent="0.25">
      <c r="A270">
        <v>1000</v>
      </c>
      <c r="B270">
        <v>1000</v>
      </c>
      <c r="C270" s="1">
        <v>45961</v>
      </c>
      <c r="D270" s="14" t="s">
        <v>177</v>
      </c>
      <c r="E270">
        <v>3224000062</v>
      </c>
      <c r="F270" s="2">
        <v>6324.16</v>
      </c>
      <c r="G270" s="1">
        <v>45966</v>
      </c>
      <c r="I270" t="s">
        <v>9</v>
      </c>
      <c r="K270" s="2">
        <f t="shared" si="4"/>
        <v>6324.16</v>
      </c>
    </row>
    <row r="271" spans="1:11" x14ac:dyDescent="0.25">
      <c r="A271">
        <v>1000</v>
      </c>
      <c r="B271">
        <v>1000</v>
      </c>
      <c r="C271" s="1">
        <v>45961</v>
      </c>
      <c r="D271" s="14" t="s">
        <v>176</v>
      </c>
      <c r="E271">
        <v>3324000147</v>
      </c>
      <c r="F271" s="2">
        <v>118.41</v>
      </c>
      <c r="G271" s="1">
        <v>45966</v>
      </c>
      <c r="I271" t="s">
        <v>9</v>
      </c>
      <c r="K271" s="2">
        <f t="shared" si="4"/>
        <v>118.41</v>
      </c>
    </row>
    <row r="272" spans="1:11" x14ac:dyDescent="0.25">
      <c r="A272">
        <v>1000</v>
      </c>
      <c r="B272">
        <v>1000</v>
      </c>
      <c r="C272" s="1">
        <v>45961</v>
      </c>
      <c r="D272" s="14" t="s">
        <v>176</v>
      </c>
      <c r="E272">
        <v>3331002647</v>
      </c>
      <c r="F272" s="2">
        <v>214.44</v>
      </c>
      <c r="G272" s="1">
        <v>45966</v>
      </c>
      <c r="I272" t="s">
        <v>9</v>
      </c>
      <c r="K272" s="2">
        <f t="shared" si="4"/>
        <v>214.44</v>
      </c>
    </row>
    <row r="273" spans="1:11" x14ac:dyDescent="0.25">
      <c r="A273">
        <v>1000</v>
      </c>
      <c r="B273">
        <v>1000</v>
      </c>
      <c r="C273" s="1">
        <v>45961</v>
      </c>
      <c r="D273" s="14" t="s">
        <v>177</v>
      </c>
      <c r="E273">
        <v>3224000037</v>
      </c>
      <c r="F273" s="2">
        <v>2831.07</v>
      </c>
      <c r="G273" s="1">
        <v>45966</v>
      </c>
      <c r="I273" t="s">
        <v>9</v>
      </c>
      <c r="K273" s="2">
        <f t="shared" si="4"/>
        <v>2831.07</v>
      </c>
    </row>
    <row r="274" spans="1:11" x14ac:dyDescent="0.25">
      <c r="A274">
        <v>1000</v>
      </c>
      <c r="B274">
        <v>1000</v>
      </c>
      <c r="C274" s="1">
        <v>45961</v>
      </c>
      <c r="D274" s="14" t="s">
        <v>180</v>
      </c>
      <c r="E274">
        <v>3323000190</v>
      </c>
      <c r="F274" s="2">
        <v>103.77</v>
      </c>
      <c r="G274" s="1">
        <v>45966</v>
      </c>
      <c r="I274" t="s">
        <v>9</v>
      </c>
      <c r="K274" s="2">
        <f t="shared" si="4"/>
        <v>103.77</v>
      </c>
    </row>
    <row r="275" spans="1:11" x14ac:dyDescent="0.25">
      <c r="A275">
        <v>1000</v>
      </c>
      <c r="B275">
        <v>1000</v>
      </c>
      <c r="C275" s="1">
        <v>45961</v>
      </c>
      <c r="D275" s="14" t="s">
        <v>201</v>
      </c>
      <c r="E275">
        <v>0</v>
      </c>
      <c r="F275" s="2">
        <v>136.26</v>
      </c>
      <c r="G275" s="1">
        <v>45966</v>
      </c>
      <c r="I275" t="s">
        <v>9</v>
      </c>
      <c r="K275" s="2">
        <f t="shared" si="4"/>
        <v>136.26</v>
      </c>
    </row>
    <row r="276" spans="1:11" x14ac:dyDescent="0.25">
      <c r="A276">
        <v>1000</v>
      </c>
      <c r="B276">
        <v>1000</v>
      </c>
      <c r="C276" s="1">
        <v>45961</v>
      </c>
      <c r="D276" s="14" t="s">
        <v>34</v>
      </c>
      <c r="E276">
        <v>3224000065</v>
      </c>
      <c r="F276" s="2">
        <v>1001.53</v>
      </c>
      <c r="G276" s="1">
        <v>45966</v>
      </c>
      <c r="I276" t="s">
        <v>9</v>
      </c>
      <c r="K276" s="2">
        <f t="shared" si="4"/>
        <v>1001.53</v>
      </c>
    </row>
    <row r="277" spans="1:11" x14ac:dyDescent="0.25">
      <c r="A277">
        <v>1000</v>
      </c>
      <c r="B277">
        <v>1000</v>
      </c>
      <c r="C277" s="1">
        <v>45961</v>
      </c>
      <c r="D277" s="14" t="s">
        <v>183</v>
      </c>
      <c r="E277">
        <v>3369001476</v>
      </c>
      <c r="F277" s="2">
        <v>61.8</v>
      </c>
      <c r="G277" s="1">
        <v>45966</v>
      </c>
      <c r="I277" t="s">
        <v>9</v>
      </c>
      <c r="K277" s="2">
        <f t="shared" si="4"/>
        <v>61.8</v>
      </c>
    </row>
    <row r="278" spans="1:11" x14ac:dyDescent="0.25">
      <c r="A278">
        <v>1000</v>
      </c>
      <c r="B278">
        <v>1000</v>
      </c>
      <c r="C278" s="1">
        <v>45961</v>
      </c>
      <c r="D278" s="14" t="s">
        <v>183</v>
      </c>
      <c r="E278">
        <v>3341000138</v>
      </c>
      <c r="F278" s="2">
        <v>157.74</v>
      </c>
      <c r="G278" s="1">
        <v>45966</v>
      </c>
      <c r="I278" t="s">
        <v>9</v>
      </c>
      <c r="K278" s="2">
        <f t="shared" si="4"/>
        <v>157.74</v>
      </c>
    </row>
    <row r="279" spans="1:11" x14ac:dyDescent="0.25">
      <c r="A279">
        <v>1000</v>
      </c>
      <c r="B279">
        <v>1000</v>
      </c>
      <c r="C279" s="1">
        <v>45961</v>
      </c>
      <c r="D279" s="14" t="s">
        <v>176</v>
      </c>
      <c r="E279">
        <v>3331002660</v>
      </c>
      <c r="F279" s="2">
        <v>46.72</v>
      </c>
      <c r="G279" s="1">
        <v>45966</v>
      </c>
      <c r="I279" t="s">
        <v>9</v>
      </c>
      <c r="K279" s="2">
        <f t="shared" si="4"/>
        <v>46.72</v>
      </c>
    </row>
    <row r="280" spans="1:11" x14ac:dyDescent="0.25">
      <c r="A280">
        <v>1000</v>
      </c>
      <c r="B280">
        <v>1000</v>
      </c>
      <c r="C280" s="1">
        <v>45961</v>
      </c>
      <c r="D280" s="14" t="s">
        <v>176</v>
      </c>
      <c r="E280">
        <v>3331002660</v>
      </c>
      <c r="F280" s="2">
        <v>104.56</v>
      </c>
      <c r="G280" s="1">
        <v>45966</v>
      </c>
      <c r="I280" t="s">
        <v>9</v>
      </c>
      <c r="K280" s="2">
        <f t="shared" si="4"/>
        <v>104.56</v>
      </c>
    </row>
    <row r="281" spans="1:11" x14ac:dyDescent="0.25">
      <c r="A281">
        <v>1000</v>
      </c>
      <c r="B281">
        <v>1000</v>
      </c>
      <c r="C281" s="1">
        <v>45961</v>
      </c>
      <c r="D281" s="14" t="s">
        <v>186</v>
      </c>
      <c r="E281">
        <v>3341000142</v>
      </c>
      <c r="F281" s="2">
        <v>157.74</v>
      </c>
      <c r="G281" s="1">
        <v>45966</v>
      </c>
      <c r="I281" t="s">
        <v>9</v>
      </c>
      <c r="K281" s="2">
        <f t="shared" si="4"/>
        <v>157.74</v>
      </c>
    </row>
    <row r="282" spans="1:11" x14ac:dyDescent="0.25">
      <c r="A282">
        <v>1000</v>
      </c>
      <c r="B282">
        <v>1000</v>
      </c>
      <c r="C282" s="1">
        <v>45961</v>
      </c>
      <c r="D282" s="14" t="s">
        <v>47</v>
      </c>
      <c r="E282">
        <v>3331000287</v>
      </c>
      <c r="F282" s="2">
        <v>226.19</v>
      </c>
      <c r="G282" s="1">
        <v>45966</v>
      </c>
      <c r="I282" t="s">
        <v>9</v>
      </c>
      <c r="K282" s="2">
        <f t="shared" si="4"/>
        <v>226.19</v>
      </c>
    </row>
    <row r="283" spans="1:11" x14ac:dyDescent="0.25">
      <c r="A283">
        <v>1000</v>
      </c>
      <c r="B283">
        <v>1000</v>
      </c>
      <c r="C283" s="1">
        <v>45961</v>
      </c>
      <c r="D283" s="14" t="s">
        <v>47</v>
      </c>
      <c r="E283">
        <v>3331004801</v>
      </c>
      <c r="F283" s="2">
        <v>391.27</v>
      </c>
      <c r="G283" s="1">
        <v>45966</v>
      </c>
      <c r="I283" t="s">
        <v>9</v>
      </c>
      <c r="K283" s="2">
        <f t="shared" si="4"/>
        <v>391.27</v>
      </c>
    </row>
    <row r="284" spans="1:11" x14ac:dyDescent="0.25">
      <c r="A284">
        <v>1000</v>
      </c>
      <c r="B284">
        <v>1000</v>
      </c>
      <c r="C284" s="1">
        <v>45961</v>
      </c>
      <c r="D284" s="14" t="s">
        <v>188</v>
      </c>
      <c r="E284">
        <v>3331000236</v>
      </c>
      <c r="F284" s="2">
        <v>369</v>
      </c>
      <c r="G284" s="1">
        <v>45966</v>
      </c>
      <c r="I284" t="s">
        <v>9</v>
      </c>
      <c r="K284" s="2">
        <f t="shared" si="4"/>
        <v>369</v>
      </c>
    </row>
    <row r="285" spans="1:11" x14ac:dyDescent="0.25">
      <c r="A285">
        <v>1000</v>
      </c>
      <c r="B285">
        <v>1000</v>
      </c>
      <c r="C285" s="1">
        <v>45961</v>
      </c>
      <c r="D285" s="14" t="s">
        <v>183</v>
      </c>
      <c r="E285">
        <v>3224000025</v>
      </c>
      <c r="F285" s="2">
        <v>4649.66</v>
      </c>
      <c r="G285" s="1">
        <v>45966</v>
      </c>
      <c r="I285" t="s">
        <v>9</v>
      </c>
      <c r="K285" s="2">
        <f t="shared" si="4"/>
        <v>4649.66</v>
      </c>
    </row>
    <row r="286" spans="1:11" x14ac:dyDescent="0.25">
      <c r="A286">
        <v>1000</v>
      </c>
      <c r="B286">
        <v>1000</v>
      </c>
      <c r="C286" s="1">
        <v>45961</v>
      </c>
      <c r="D286" s="14" t="s">
        <v>207</v>
      </c>
      <c r="E286">
        <v>0</v>
      </c>
      <c r="F286" s="2">
        <v>104.94</v>
      </c>
      <c r="G286" s="1">
        <v>45966</v>
      </c>
      <c r="I286" t="s">
        <v>9</v>
      </c>
      <c r="K286" s="2">
        <f t="shared" si="4"/>
        <v>104.94</v>
      </c>
    </row>
    <row r="287" spans="1:11" x14ac:dyDescent="0.25">
      <c r="A287">
        <v>1000</v>
      </c>
      <c r="B287">
        <v>1000</v>
      </c>
      <c r="C287" s="1">
        <v>45961</v>
      </c>
      <c r="D287" s="14" t="s">
        <v>183</v>
      </c>
      <c r="E287">
        <v>3331000383</v>
      </c>
      <c r="F287" s="2">
        <v>328.39</v>
      </c>
      <c r="G287" s="1">
        <v>45966</v>
      </c>
      <c r="I287" t="s">
        <v>9</v>
      </c>
      <c r="K287" s="2">
        <f t="shared" si="4"/>
        <v>328.39</v>
      </c>
    </row>
    <row r="288" spans="1:11" x14ac:dyDescent="0.25">
      <c r="A288">
        <v>1000</v>
      </c>
      <c r="B288">
        <v>1000</v>
      </c>
      <c r="C288" s="1">
        <v>45961</v>
      </c>
      <c r="D288" s="14" t="s">
        <v>34</v>
      </c>
      <c r="E288">
        <v>3225000051</v>
      </c>
      <c r="F288" s="2">
        <v>9473.23</v>
      </c>
      <c r="G288" s="1">
        <v>45966</v>
      </c>
      <c r="I288" t="s">
        <v>9</v>
      </c>
      <c r="K288" s="2">
        <f t="shared" si="4"/>
        <v>9473.23</v>
      </c>
    </row>
    <row r="289" spans="1:11" x14ac:dyDescent="0.25">
      <c r="A289">
        <v>1000</v>
      </c>
      <c r="B289">
        <v>1000</v>
      </c>
      <c r="C289" s="1">
        <v>45961</v>
      </c>
      <c r="D289" s="14" t="s">
        <v>61</v>
      </c>
      <c r="E289">
        <v>3331004105</v>
      </c>
      <c r="F289" s="2">
        <v>400.43</v>
      </c>
      <c r="G289" s="1">
        <v>45966</v>
      </c>
      <c r="I289" t="s">
        <v>9</v>
      </c>
      <c r="K289" s="2">
        <f t="shared" si="4"/>
        <v>400.43</v>
      </c>
    </row>
    <row r="290" spans="1:11" x14ac:dyDescent="0.25">
      <c r="A290">
        <v>1000</v>
      </c>
      <c r="B290">
        <v>1000</v>
      </c>
      <c r="C290" s="1">
        <v>45961</v>
      </c>
      <c r="D290" s="14" t="s">
        <v>183</v>
      </c>
      <c r="E290">
        <v>3341000139</v>
      </c>
      <c r="F290" s="2">
        <v>157.74</v>
      </c>
      <c r="G290" s="1">
        <v>45966</v>
      </c>
      <c r="I290" t="s">
        <v>9</v>
      </c>
      <c r="K290" s="2">
        <f t="shared" si="4"/>
        <v>157.74</v>
      </c>
    </row>
    <row r="291" spans="1:11" x14ac:dyDescent="0.25">
      <c r="A291">
        <v>1000</v>
      </c>
      <c r="B291">
        <v>1000</v>
      </c>
      <c r="C291" s="1">
        <v>45961</v>
      </c>
      <c r="D291" s="14" t="s">
        <v>53</v>
      </c>
      <c r="E291">
        <v>3235000058</v>
      </c>
      <c r="F291" s="2">
        <v>2438.17</v>
      </c>
      <c r="G291" s="1">
        <v>45966</v>
      </c>
      <c r="I291" t="s">
        <v>9</v>
      </c>
      <c r="K291" s="2">
        <f t="shared" si="4"/>
        <v>2438.17</v>
      </c>
    </row>
    <row r="292" spans="1:11" x14ac:dyDescent="0.25">
      <c r="A292">
        <v>1000</v>
      </c>
      <c r="B292">
        <v>1000</v>
      </c>
      <c r="C292" s="1">
        <v>45961</v>
      </c>
      <c r="D292" s="14" t="s">
        <v>176</v>
      </c>
      <c r="E292">
        <v>3324000157</v>
      </c>
      <c r="F292" s="2">
        <v>123.3</v>
      </c>
      <c r="G292" s="1">
        <v>45966</v>
      </c>
      <c r="I292" t="s">
        <v>9</v>
      </c>
      <c r="K292" s="2">
        <f t="shared" si="4"/>
        <v>123.3</v>
      </c>
    </row>
    <row r="293" spans="1:11" x14ac:dyDescent="0.25">
      <c r="A293">
        <v>1000</v>
      </c>
      <c r="B293">
        <v>1000</v>
      </c>
      <c r="C293" s="1">
        <v>45961</v>
      </c>
      <c r="D293" s="14" t="s">
        <v>195</v>
      </c>
      <c r="E293">
        <v>3235000086</v>
      </c>
      <c r="F293" s="2">
        <v>2868.16</v>
      </c>
      <c r="G293" s="1">
        <v>45966</v>
      </c>
      <c r="I293" t="s">
        <v>9</v>
      </c>
      <c r="K293" s="2">
        <f t="shared" si="4"/>
        <v>2868.16</v>
      </c>
    </row>
    <row r="294" spans="1:11" x14ac:dyDescent="0.25">
      <c r="A294">
        <v>1000</v>
      </c>
      <c r="B294">
        <v>1000</v>
      </c>
      <c r="C294" s="1">
        <v>45961</v>
      </c>
      <c r="D294" s="14" t="s">
        <v>47</v>
      </c>
      <c r="E294">
        <v>3331004794</v>
      </c>
      <c r="F294" s="2">
        <v>240.07</v>
      </c>
      <c r="G294" s="1">
        <v>45966</v>
      </c>
      <c r="I294" t="s">
        <v>9</v>
      </c>
      <c r="K294" s="2">
        <f t="shared" si="4"/>
        <v>240.07</v>
      </c>
    </row>
    <row r="295" spans="1:11" x14ac:dyDescent="0.25">
      <c r="A295">
        <v>1000</v>
      </c>
      <c r="B295">
        <v>1000</v>
      </c>
      <c r="C295" s="1">
        <v>45961</v>
      </c>
      <c r="D295" s="14" t="s">
        <v>67</v>
      </c>
      <c r="E295">
        <v>3331004609</v>
      </c>
      <c r="F295" s="2">
        <v>96.18</v>
      </c>
      <c r="G295" s="1">
        <v>45966</v>
      </c>
      <c r="I295" t="s">
        <v>9</v>
      </c>
      <c r="K295" s="2">
        <f t="shared" si="4"/>
        <v>96.18</v>
      </c>
    </row>
    <row r="296" spans="1:11" x14ac:dyDescent="0.25">
      <c r="A296">
        <v>1000</v>
      </c>
      <c r="B296">
        <v>1000</v>
      </c>
      <c r="C296" s="1">
        <v>45961</v>
      </c>
      <c r="D296" s="14" t="s">
        <v>47</v>
      </c>
      <c r="E296">
        <v>3331002900</v>
      </c>
      <c r="F296" s="2">
        <v>26.66</v>
      </c>
      <c r="G296" s="1">
        <v>45966</v>
      </c>
      <c r="I296" t="s">
        <v>9</v>
      </c>
      <c r="K296" s="2">
        <f t="shared" si="4"/>
        <v>26.66</v>
      </c>
    </row>
    <row r="297" spans="1:11" x14ac:dyDescent="0.25">
      <c r="A297">
        <v>1000</v>
      </c>
      <c r="B297">
        <v>1000</v>
      </c>
      <c r="C297" s="1">
        <v>45961</v>
      </c>
      <c r="D297" s="14" t="s">
        <v>34</v>
      </c>
      <c r="E297">
        <v>3225000056</v>
      </c>
      <c r="F297" s="2">
        <v>318.19</v>
      </c>
      <c r="G297" s="1">
        <v>45966</v>
      </c>
      <c r="I297" t="s">
        <v>9</v>
      </c>
      <c r="K297" s="2">
        <f t="shared" si="4"/>
        <v>318.19</v>
      </c>
    </row>
    <row r="298" spans="1:11" x14ac:dyDescent="0.25">
      <c r="A298">
        <v>1000</v>
      </c>
      <c r="B298">
        <v>1000</v>
      </c>
      <c r="C298" s="1">
        <v>45961</v>
      </c>
      <c r="D298" s="14" t="s">
        <v>34</v>
      </c>
      <c r="E298">
        <v>3225000048</v>
      </c>
      <c r="F298" s="2">
        <v>1275.79</v>
      </c>
      <c r="G298" s="1">
        <v>45966</v>
      </c>
      <c r="I298" t="s">
        <v>9</v>
      </c>
      <c r="K298" s="2">
        <f t="shared" si="4"/>
        <v>1275.79</v>
      </c>
    </row>
    <row r="299" spans="1:11" x14ac:dyDescent="0.25">
      <c r="A299">
        <v>1000</v>
      </c>
      <c r="B299">
        <v>1000</v>
      </c>
      <c r="C299" s="1">
        <v>45961</v>
      </c>
      <c r="D299" s="14" t="s">
        <v>183</v>
      </c>
      <c r="E299">
        <v>3224000000</v>
      </c>
      <c r="F299" s="2">
        <v>3159.37</v>
      </c>
      <c r="G299" s="1">
        <v>45966</v>
      </c>
      <c r="I299" t="s">
        <v>9</v>
      </c>
      <c r="K299" s="2">
        <f t="shared" si="4"/>
        <v>3159.37</v>
      </c>
    </row>
    <row r="300" spans="1:11" x14ac:dyDescent="0.25">
      <c r="A300">
        <v>1000</v>
      </c>
      <c r="B300">
        <v>1000</v>
      </c>
      <c r="C300" s="1">
        <v>45961</v>
      </c>
      <c r="D300" s="14" t="s">
        <v>176</v>
      </c>
      <c r="E300">
        <v>3324000132</v>
      </c>
      <c r="F300" s="2">
        <v>111.71</v>
      </c>
      <c r="G300" s="1">
        <v>45966</v>
      </c>
      <c r="I300" t="s">
        <v>9</v>
      </c>
      <c r="K300" s="2">
        <f t="shared" si="4"/>
        <v>111.71</v>
      </c>
    </row>
    <row r="301" spans="1:11" x14ac:dyDescent="0.25">
      <c r="A301">
        <v>1000</v>
      </c>
      <c r="B301">
        <v>1000</v>
      </c>
      <c r="C301" s="1">
        <v>45961</v>
      </c>
      <c r="D301" s="14" t="s">
        <v>53</v>
      </c>
      <c r="E301">
        <v>3331002948</v>
      </c>
      <c r="F301" s="2">
        <v>75.400000000000006</v>
      </c>
      <c r="G301" s="1">
        <v>45966</v>
      </c>
      <c r="I301" t="s">
        <v>9</v>
      </c>
      <c r="K301" s="2">
        <f t="shared" si="4"/>
        <v>75.400000000000006</v>
      </c>
    </row>
    <row r="302" spans="1:11" x14ac:dyDescent="0.25">
      <c r="A302">
        <v>1000</v>
      </c>
      <c r="B302">
        <v>1000</v>
      </c>
      <c r="C302" s="1">
        <v>45961</v>
      </c>
      <c r="D302" s="14" t="s">
        <v>34</v>
      </c>
      <c r="E302">
        <v>3224000019</v>
      </c>
      <c r="F302" s="2">
        <v>3487.25</v>
      </c>
      <c r="G302" s="1">
        <v>45966</v>
      </c>
      <c r="I302" t="s">
        <v>9</v>
      </c>
      <c r="K302" s="2">
        <f t="shared" si="4"/>
        <v>3487.25</v>
      </c>
    </row>
    <row r="303" spans="1:11" x14ac:dyDescent="0.25">
      <c r="A303">
        <v>1000</v>
      </c>
      <c r="B303">
        <v>1000</v>
      </c>
      <c r="C303" s="1">
        <v>45961</v>
      </c>
      <c r="D303" s="14" t="s">
        <v>31</v>
      </c>
      <c r="E303">
        <v>3331002795</v>
      </c>
      <c r="F303" s="2">
        <v>632.09</v>
      </c>
      <c r="G303" s="1">
        <v>45966</v>
      </c>
      <c r="I303" t="s">
        <v>9</v>
      </c>
      <c r="K303" s="2">
        <f t="shared" si="4"/>
        <v>632.09</v>
      </c>
    </row>
    <row r="304" spans="1:11" x14ac:dyDescent="0.25">
      <c r="A304">
        <v>1000</v>
      </c>
      <c r="B304">
        <v>1000</v>
      </c>
      <c r="C304" s="1">
        <v>45961</v>
      </c>
      <c r="D304" s="14" t="s">
        <v>176</v>
      </c>
      <c r="E304">
        <v>3323000186</v>
      </c>
      <c r="F304" s="2">
        <v>135.74</v>
      </c>
      <c r="G304" s="1">
        <v>45966</v>
      </c>
      <c r="I304" t="s">
        <v>9</v>
      </c>
      <c r="K304" s="2">
        <f t="shared" si="4"/>
        <v>135.74</v>
      </c>
    </row>
    <row r="305" spans="1:11" x14ac:dyDescent="0.25">
      <c r="A305">
        <v>1000</v>
      </c>
      <c r="B305">
        <v>1000</v>
      </c>
      <c r="C305" s="1">
        <v>45961</v>
      </c>
      <c r="D305" s="14" t="s">
        <v>31</v>
      </c>
      <c r="E305">
        <v>3331000255</v>
      </c>
      <c r="F305" s="2">
        <v>596.16999999999996</v>
      </c>
      <c r="G305" s="1">
        <v>45966</v>
      </c>
      <c r="I305" t="s">
        <v>9</v>
      </c>
      <c r="K305" s="2">
        <f t="shared" si="4"/>
        <v>596.16999999999996</v>
      </c>
    </row>
    <row r="306" spans="1:11" x14ac:dyDescent="0.25">
      <c r="A306">
        <v>1000</v>
      </c>
      <c r="B306">
        <v>1000</v>
      </c>
      <c r="C306" s="1">
        <v>45961</v>
      </c>
      <c r="D306" s="14" t="s">
        <v>185</v>
      </c>
      <c r="E306">
        <v>3324000257</v>
      </c>
      <c r="F306" s="2">
        <v>586.48</v>
      </c>
      <c r="G306" s="1">
        <v>45966</v>
      </c>
      <c r="I306" t="s">
        <v>9</v>
      </c>
      <c r="K306" s="2">
        <f t="shared" si="4"/>
        <v>586.48</v>
      </c>
    </row>
    <row r="307" spans="1:11" x14ac:dyDescent="0.25">
      <c r="A307">
        <v>1000</v>
      </c>
      <c r="B307">
        <v>1000</v>
      </c>
      <c r="C307" s="1">
        <v>45961</v>
      </c>
      <c r="D307" s="14" t="s">
        <v>178</v>
      </c>
      <c r="E307">
        <v>3331000045</v>
      </c>
      <c r="F307" s="2">
        <v>4719.16</v>
      </c>
      <c r="G307" s="1">
        <v>45966</v>
      </c>
      <c r="I307" t="s">
        <v>9</v>
      </c>
      <c r="K307" s="2">
        <f t="shared" si="4"/>
        <v>4719.16</v>
      </c>
    </row>
    <row r="308" spans="1:11" x14ac:dyDescent="0.25">
      <c r="A308">
        <v>1000</v>
      </c>
      <c r="B308">
        <v>1000</v>
      </c>
      <c r="C308" s="1">
        <v>45961</v>
      </c>
      <c r="D308" s="14" t="s">
        <v>56</v>
      </c>
      <c r="E308">
        <v>3331002745</v>
      </c>
      <c r="F308" s="2">
        <v>5861.97</v>
      </c>
      <c r="G308" s="1">
        <v>45966</v>
      </c>
      <c r="I308" t="s">
        <v>9</v>
      </c>
      <c r="K308" s="2">
        <f t="shared" si="4"/>
        <v>5861.97</v>
      </c>
    </row>
    <row r="309" spans="1:11" x14ac:dyDescent="0.25">
      <c r="A309">
        <v>1000</v>
      </c>
      <c r="B309">
        <v>1000</v>
      </c>
      <c r="C309" s="1">
        <v>45961</v>
      </c>
      <c r="D309" s="14" t="s">
        <v>34</v>
      </c>
      <c r="E309">
        <v>3225000013</v>
      </c>
      <c r="F309" s="2">
        <v>9516.85</v>
      </c>
      <c r="G309" s="1">
        <v>45966</v>
      </c>
      <c r="I309" t="s">
        <v>9</v>
      </c>
      <c r="K309" s="2">
        <f t="shared" si="4"/>
        <v>9516.85</v>
      </c>
    </row>
    <row r="310" spans="1:11" x14ac:dyDescent="0.25">
      <c r="A310">
        <v>1000</v>
      </c>
      <c r="B310">
        <v>1000</v>
      </c>
      <c r="C310" s="1">
        <v>45961</v>
      </c>
      <c r="D310" s="14" t="s">
        <v>176</v>
      </c>
      <c r="E310">
        <v>3341000154</v>
      </c>
      <c r="F310" s="2">
        <v>263.52999999999997</v>
      </c>
      <c r="G310" s="1">
        <v>45966</v>
      </c>
      <c r="I310" t="s">
        <v>9</v>
      </c>
      <c r="K310" s="2">
        <f t="shared" si="4"/>
        <v>263.52999999999997</v>
      </c>
    </row>
    <row r="311" spans="1:11" x14ac:dyDescent="0.25">
      <c r="A311">
        <v>1000</v>
      </c>
      <c r="B311">
        <v>1000</v>
      </c>
      <c r="C311" s="1">
        <v>45961</v>
      </c>
      <c r="D311" s="14" t="s">
        <v>177</v>
      </c>
      <c r="E311">
        <v>3224000078</v>
      </c>
      <c r="F311" s="2">
        <v>16580.54</v>
      </c>
      <c r="G311" s="1">
        <v>45966</v>
      </c>
      <c r="I311" t="s">
        <v>9</v>
      </c>
      <c r="K311" s="2">
        <f t="shared" si="4"/>
        <v>16580.54</v>
      </c>
    </row>
    <row r="312" spans="1:11" x14ac:dyDescent="0.25">
      <c r="A312">
        <v>1000</v>
      </c>
      <c r="B312">
        <v>1000</v>
      </c>
      <c r="C312" s="1">
        <v>45961</v>
      </c>
      <c r="D312" s="14" t="s">
        <v>34</v>
      </c>
      <c r="E312">
        <v>3225000005</v>
      </c>
      <c r="F312" s="2">
        <v>9174.27</v>
      </c>
      <c r="G312" s="1">
        <v>45966</v>
      </c>
      <c r="I312" t="s">
        <v>9</v>
      </c>
      <c r="K312" s="2">
        <f t="shared" si="4"/>
        <v>9174.27</v>
      </c>
    </row>
    <row r="313" spans="1:11" x14ac:dyDescent="0.25">
      <c r="A313">
        <v>1000</v>
      </c>
      <c r="B313">
        <v>1000</v>
      </c>
      <c r="C313" s="1">
        <v>45961</v>
      </c>
      <c r="D313" s="14" t="s">
        <v>208</v>
      </c>
      <c r="E313">
        <v>3235000060</v>
      </c>
      <c r="F313" s="2">
        <v>2491.3200000000002</v>
      </c>
      <c r="G313" s="1">
        <v>45966</v>
      </c>
      <c r="I313" t="s">
        <v>9</v>
      </c>
      <c r="K313" s="2">
        <f t="shared" si="4"/>
        <v>2491.3200000000002</v>
      </c>
    </row>
    <row r="314" spans="1:11" x14ac:dyDescent="0.25">
      <c r="A314">
        <v>1000</v>
      </c>
      <c r="B314">
        <v>1000</v>
      </c>
      <c r="C314" s="1">
        <v>45961</v>
      </c>
      <c r="D314" s="14" t="s">
        <v>176</v>
      </c>
      <c r="E314">
        <v>3324000146</v>
      </c>
      <c r="F314" s="2">
        <v>123.34</v>
      </c>
      <c r="G314" s="1">
        <v>45966</v>
      </c>
      <c r="I314" t="s">
        <v>9</v>
      </c>
      <c r="K314" s="2">
        <f t="shared" si="4"/>
        <v>123.34</v>
      </c>
    </row>
    <row r="315" spans="1:11" x14ac:dyDescent="0.25">
      <c r="A315">
        <v>1000</v>
      </c>
      <c r="B315">
        <v>1000</v>
      </c>
      <c r="C315" s="1">
        <v>45961</v>
      </c>
      <c r="D315" s="14" t="s">
        <v>56</v>
      </c>
      <c r="E315">
        <v>3331002906</v>
      </c>
      <c r="F315" s="2">
        <v>20.99</v>
      </c>
      <c r="G315" s="1">
        <v>45966</v>
      </c>
      <c r="I315" t="s">
        <v>9</v>
      </c>
      <c r="K315" s="2">
        <f t="shared" si="4"/>
        <v>20.99</v>
      </c>
    </row>
    <row r="316" spans="1:11" x14ac:dyDescent="0.25">
      <c r="A316">
        <v>1000</v>
      </c>
      <c r="B316">
        <v>1000</v>
      </c>
      <c r="C316" s="1">
        <v>45961</v>
      </c>
      <c r="D316" s="14" t="s">
        <v>70</v>
      </c>
      <c r="E316">
        <v>3331000052</v>
      </c>
      <c r="F316" s="2">
        <v>370.41</v>
      </c>
      <c r="G316" s="1">
        <v>45966</v>
      </c>
      <c r="I316" t="s">
        <v>9</v>
      </c>
      <c r="K316" s="2">
        <f t="shared" si="4"/>
        <v>370.41</v>
      </c>
    </row>
    <row r="317" spans="1:11" x14ac:dyDescent="0.25">
      <c r="A317">
        <v>1000</v>
      </c>
      <c r="B317">
        <v>1000</v>
      </c>
      <c r="C317" s="1">
        <v>45961</v>
      </c>
      <c r="D317" s="14" t="s">
        <v>61</v>
      </c>
      <c r="E317">
        <v>3235000065</v>
      </c>
      <c r="F317" s="2">
        <v>3236.96</v>
      </c>
      <c r="G317" s="1">
        <v>45966</v>
      </c>
      <c r="I317" t="s">
        <v>9</v>
      </c>
      <c r="K317" s="2">
        <f t="shared" si="4"/>
        <v>3236.96</v>
      </c>
    </row>
    <row r="318" spans="1:11" x14ac:dyDescent="0.25">
      <c r="A318">
        <v>1000</v>
      </c>
      <c r="B318">
        <v>1000</v>
      </c>
      <c r="C318" s="1">
        <v>45961</v>
      </c>
      <c r="D318" s="14" t="s">
        <v>34</v>
      </c>
      <c r="E318">
        <v>3225000001</v>
      </c>
      <c r="F318" s="2">
        <v>8029.62</v>
      </c>
      <c r="G318" s="1">
        <v>45966</v>
      </c>
      <c r="I318" t="s">
        <v>9</v>
      </c>
      <c r="K318" s="2">
        <f t="shared" si="4"/>
        <v>8029.62</v>
      </c>
    </row>
    <row r="319" spans="1:11" x14ac:dyDescent="0.25">
      <c r="A319">
        <v>1000</v>
      </c>
      <c r="B319">
        <v>1000</v>
      </c>
      <c r="C319" s="1">
        <v>45961</v>
      </c>
      <c r="D319" s="14" t="s">
        <v>177</v>
      </c>
      <c r="E319">
        <v>3331000048</v>
      </c>
      <c r="F319" s="2">
        <v>173.49</v>
      </c>
      <c r="G319" s="1">
        <v>45966</v>
      </c>
      <c r="I319" t="s">
        <v>9</v>
      </c>
      <c r="K319" s="2">
        <f t="shared" si="4"/>
        <v>173.49</v>
      </c>
    </row>
    <row r="320" spans="1:11" x14ac:dyDescent="0.25">
      <c r="A320">
        <v>1000</v>
      </c>
      <c r="B320">
        <v>1000</v>
      </c>
      <c r="C320" s="1">
        <v>45961</v>
      </c>
      <c r="D320" s="14" t="s">
        <v>176</v>
      </c>
      <c r="E320">
        <v>3324000131</v>
      </c>
      <c r="F320" s="2">
        <v>114.14</v>
      </c>
      <c r="G320" s="1">
        <v>45966</v>
      </c>
      <c r="I320" t="s">
        <v>9</v>
      </c>
      <c r="K320" s="2">
        <f t="shared" si="4"/>
        <v>114.14</v>
      </c>
    </row>
    <row r="321" spans="1:11" x14ac:dyDescent="0.25">
      <c r="A321">
        <v>1000</v>
      </c>
      <c r="B321">
        <v>1000</v>
      </c>
      <c r="C321" s="1">
        <v>45961</v>
      </c>
      <c r="D321" s="14" t="s">
        <v>181</v>
      </c>
      <c r="E321">
        <v>3225000050</v>
      </c>
      <c r="F321" s="2">
        <v>2002.2</v>
      </c>
      <c r="G321" s="1">
        <v>45966</v>
      </c>
      <c r="I321" t="s">
        <v>9</v>
      </c>
      <c r="K321" s="2">
        <f t="shared" si="4"/>
        <v>2002.2</v>
      </c>
    </row>
    <row r="322" spans="1:11" x14ac:dyDescent="0.25">
      <c r="A322">
        <v>1000</v>
      </c>
      <c r="B322">
        <v>1000</v>
      </c>
      <c r="C322" s="1">
        <v>45961</v>
      </c>
      <c r="D322" s="14" t="s">
        <v>34</v>
      </c>
      <c r="E322">
        <v>3225000044</v>
      </c>
      <c r="F322" s="2">
        <v>359.64</v>
      </c>
      <c r="G322" s="1">
        <v>45966</v>
      </c>
      <c r="I322" t="s">
        <v>9</v>
      </c>
      <c r="K322" s="2">
        <f t="shared" si="4"/>
        <v>359.64</v>
      </c>
    </row>
    <row r="323" spans="1:11" x14ac:dyDescent="0.25">
      <c r="A323">
        <v>1000</v>
      </c>
      <c r="B323">
        <v>1000</v>
      </c>
      <c r="C323" s="1">
        <v>45961</v>
      </c>
      <c r="D323" s="14" t="s">
        <v>34</v>
      </c>
      <c r="E323">
        <v>3225000053</v>
      </c>
      <c r="F323" s="2">
        <v>9473.23</v>
      </c>
      <c r="G323" s="1">
        <v>45966</v>
      </c>
      <c r="I323" t="s">
        <v>9</v>
      </c>
      <c r="K323" s="2">
        <f t="shared" si="4"/>
        <v>9473.23</v>
      </c>
    </row>
    <row r="324" spans="1:11" x14ac:dyDescent="0.25">
      <c r="A324">
        <v>1000</v>
      </c>
      <c r="B324">
        <v>1000</v>
      </c>
      <c r="C324" s="1">
        <v>45961</v>
      </c>
      <c r="D324" s="14" t="s">
        <v>31</v>
      </c>
      <c r="E324">
        <v>3224000029</v>
      </c>
      <c r="F324" s="2">
        <v>19378.439999999999</v>
      </c>
      <c r="G324" s="1">
        <v>45966</v>
      </c>
      <c r="I324" t="s">
        <v>9</v>
      </c>
      <c r="K324" s="2">
        <f t="shared" ref="K324:K387" si="5">+F324+J324</f>
        <v>19378.439999999999</v>
      </c>
    </row>
    <row r="325" spans="1:11" x14ac:dyDescent="0.25">
      <c r="A325">
        <v>1000</v>
      </c>
      <c r="B325">
        <v>1000</v>
      </c>
      <c r="C325" s="1">
        <v>45961</v>
      </c>
      <c r="D325" s="14" t="s">
        <v>67</v>
      </c>
      <c r="E325">
        <v>3331004743</v>
      </c>
      <c r="F325" s="2">
        <v>207.68</v>
      </c>
      <c r="G325" s="1">
        <v>45966</v>
      </c>
      <c r="I325" t="s">
        <v>9</v>
      </c>
      <c r="K325" s="2">
        <f t="shared" si="5"/>
        <v>207.68</v>
      </c>
    </row>
    <row r="326" spans="1:11" x14ac:dyDescent="0.25">
      <c r="A326">
        <v>1000</v>
      </c>
      <c r="B326">
        <v>1000</v>
      </c>
      <c r="C326" s="1">
        <v>45961</v>
      </c>
      <c r="D326" s="14" t="s">
        <v>70</v>
      </c>
      <c r="E326">
        <v>3331004608</v>
      </c>
      <c r="F326" s="2">
        <v>826.58</v>
      </c>
      <c r="G326" s="1">
        <v>45966</v>
      </c>
      <c r="I326" t="s">
        <v>9</v>
      </c>
      <c r="K326" s="2">
        <f t="shared" si="5"/>
        <v>826.58</v>
      </c>
    </row>
    <row r="327" spans="1:11" x14ac:dyDescent="0.25">
      <c r="A327">
        <v>1000</v>
      </c>
      <c r="B327">
        <v>1000</v>
      </c>
      <c r="C327" s="1">
        <v>45961</v>
      </c>
      <c r="D327" s="14" t="s">
        <v>34</v>
      </c>
      <c r="E327">
        <v>3224000022</v>
      </c>
      <c r="F327" s="2">
        <v>3487.25</v>
      </c>
      <c r="G327" s="1">
        <v>45966</v>
      </c>
      <c r="I327" t="s">
        <v>9</v>
      </c>
      <c r="K327" s="2">
        <f t="shared" si="5"/>
        <v>3487.25</v>
      </c>
    </row>
    <row r="328" spans="1:11" x14ac:dyDescent="0.25">
      <c r="A328">
        <v>1000</v>
      </c>
      <c r="B328">
        <v>1000</v>
      </c>
      <c r="C328" s="1">
        <v>45961</v>
      </c>
      <c r="D328" s="14" t="s">
        <v>181</v>
      </c>
      <c r="E328">
        <v>3235000076</v>
      </c>
      <c r="F328" s="2">
        <v>10021.67</v>
      </c>
      <c r="G328" s="1">
        <v>45966</v>
      </c>
      <c r="I328" t="s">
        <v>9</v>
      </c>
      <c r="K328" s="2">
        <f t="shared" si="5"/>
        <v>10021.67</v>
      </c>
    </row>
    <row r="329" spans="1:11" x14ac:dyDescent="0.25">
      <c r="A329">
        <v>1000</v>
      </c>
      <c r="B329">
        <v>1000</v>
      </c>
      <c r="C329" s="1">
        <v>45961</v>
      </c>
      <c r="D329" s="14" t="s">
        <v>47</v>
      </c>
      <c r="E329">
        <v>3224000058</v>
      </c>
      <c r="F329" s="2">
        <v>3064.42</v>
      </c>
      <c r="G329" s="1">
        <v>45966</v>
      </c>
      <c r="I329" t="s">
        <v>9</v>
      </c>
      <c r="K329" s="2">
        <f t="shared" si="5"/>
        <v>3064.42</v>
      </c>
    </row>
    <row r="330" spans="1:11" x14ac:dyDescent="0.25">
      <c r="A330">
        <v>1000</v>
      </c>
      <c r="B330">
        <v>1000</v>
      </c>
      <c r="C330" s="1">
        <v>45961</v>
      </c>
      <c r="D330" s="14" t="s">
        <v>56</v>
      </c>
      <c r="E330">
        <v>3331002902</v>
      </c>
      <c r="F330" s="2">
        <v>26.66</v>
      </c>
      <c r="G330" s="1">
        <v>45966</v>
      </c>
      <c r="I330" t="s">
        <v>9</v>
      </c>
      <c r="K330" s="2">
        <f t="shared" si="5"/>
        <v>26.66</v>
      </c>
    </row>
    <row r="331" spans="1:11" x14ac:dyDescent="0.25">
      <c r="A331">
        <v>1000</v>
      </c>
      <c r="B331">
        <v>1000</v>
      </c>
      <c r="C331" s="1">
        <v>45961</v>
      </c>
      <c r="D331" s="14" t="s">
        <v>176</v>
      </c>
      <c r="E331">
        <v>3324000135</v>
      </c>
      <c r="F331" s="2">
        <v>106.82</v>
      </c>
      <c r="G331" s="1">
        <v>45966</v>
      </c>
      <c r="I331" t="s">
        <v>9</v>
      </c>
      <c r="K331" s="2">
        <f t="shared" si="5"/>
        <v>106.82</v>
      </c>
    </row>
    <row r="332" spans="1:11" x14ac:dyDescent="0.25">
      <c r="A332">
        <v>1000</v>
      </c>
      <c r="B332">
        <v>1000</v>
      </c>
      <c r="C332" s="1">
        <v>45961</v>
      </c>
      <c r="D332" s="14" t="s">
        <v>183</v>
      </c>
      <c r="E332">
        <v>3224000014</v>
      </c>
      <c r="F332" s="2">
        <v>569.80999999999995</v>
      </c>
      <c r="G332" s="1">
        <v>45966</v>
      </c>
      <c r="I332" t="s">
        <v>9</v>
      </c>
      <c r="K332" s="2">
        <f t="shared" si="5"/>
        <v>569.80999999999995</v>
      </c>
    </row>
    <row r="333" spans="1:11" x14ac:dyDescent="0.25">
      <c r="A333">
        <v>1000</v>
      </c>
      <c r="B333">
        <v>1000</v>
      </c>
      <c r="C333" s="1">
        <v>45961</v>
      </c>
      <c r="D333" s="14" t="s">
        <v>183</v>
      </c>
      <c r="E333">
        <v>3224000024</v>
      </c>
      <c r="F333" s="2">
        <v>4649.66</v>
      </c>
      <c r="G333" s="1">
        <v>45966</v>
      </c>
      <c r="I333" t="s">
        <v>9</v>
      </c>
      <c r="K333" s="2">
        <f t="shared" si="5"/>
        <v>4649.66</v>
      </c>
    </row>
    <row r="334" spans="1:11" x14ac:dyDescent="0.25">
      <c r="A334">
        <v>1000</v>
      </c>
      <c r="B334">
        <v>1000</v>
      </c>
      <c r="C334" s="1">
        <v>45961</v>
      </c>
      <c r="D334" s="14" t="s">
        <v>176</v>
      </c>
      <c r="E334">
        <v>3331002651</v>
      </c>
      <c r="F334" s="2">
        <v>39.33</v>
      </c>
      <c r="G334" s="1">
        <v>45966</v>
      </c>
      <c r="I334" t="s">
        <v>9</v>
      </c>
      <c r="K334" s="2">
        <f t="shared" si="5"/>
        <v>39.33</v>
      </c>
    </row>
    <row r="335" spans="1:11" x14ac:dyDescent="0.25">
      <c r="A335">
        <v>1000</v>
      </c>
      <c r="B335">
        <v>1000</v>
      </c>
      <c r="C335" s="1">
        <v>45961</v>
      </c>
      <c r="D335" s="14" t="s">
        <v>176</v>
      </c>
      <c r="E335">
        <v>3331002642</v>
      </c>
      <c r="F335" s="2">
        <v>277.12</v>
      </c>
      <c r="G335" s="1">
        <v>45966</v>
      </c>
      <c r="I335" t="s">
        <v>9</v>
      </c>
      <c r="K335" s="2">
        <f t="shared" si="5"/>
        <v>277.12</v>
      </c>
    </row>
    <row r="336" spans="1:11" x14ac:dyDescent="0.25">
      <c r="A336">
        <v>1000</v>
      </c>
      <c r="B336">
        <v>1000</v>
      </c>
      <c r="C336" s="1">
        <v>45961</v>
      </c>
      <c r="D336" s="14" t="s">
        <v>183</v>
      </c>
      <c r="E336">
        <v>3224000030</v>
      </c>
      <c r="F336" s="2">
        <v>4212.5</v>
      </c>
      <c r="G336" s="1">
        <v>45966</v>
      </c>
      <c r="I336" t="s">
        <v>9</v>
      </c>
      <c r="K336" s="2">
        <f t="shared" si="5"/>
        <v>4212.5</v>
      </c>
    </row>
    <row r="337" spans="1:11" x14ac:dyDescent="0.25">
      <c r="A337">
        <v>1000</v>
      </c>
      <c r="B337">
        <v>1000</v>
      </c>
      <c r="C337" s="1">
        <v>45961</v>
      </c>
      <c r="D337" s="14" t="s">
        <v>186</v>
      </c>
      <c r="E337">
        <v>3331000305</v>
      </c>
      <c r="F337" s="2">
        <v>63.55</v>
      </c>
      <c r="G337" s="1">
        <v>45966</v>
      </c>
      <c r="I337" t="s">
        <v>9</v>
      </c>
      <c r="K337" s="2">
        <f t="shared" si="5"/>
        <v>63.55</v>
      </c>
    </row>
    <row r="338" spans="1:11" x14ac:dyDescent="0.25">
      <c r="A338">
        <v>1000</v>
      </c>
      <c r="B338">
        <v>1000</v>
      </c>
      <c r="C338" s="1">
        <v>45961</v>
      </c>
      <c r="D338" s="14" t="s">
        <v>34</v>
      </c>
      <c r="E338">
        <v>3225000015</v>
      </c>
      <c r="F338" s="2">
        <v>301.75</v>
      </c>
      <c r="G338" s="1">
        <v>45966</v>
      </c>
      <c r="I338" t="s">
        <v>9</v>
      </c>
      <c r="K338" s="2">
        <f t="shared" si="5"/>
        <v>301.75</v>
      </c>
    </row>
    <row r="339" spans="1:11" x14ac:dyDescent="0.25">
      <c r="A339">
        <v>1000</v>
      </c>
      <c r="B339">
        <v>1000</v>
      </c>
      <c r="C339" s="1">
        <v>45961</v>
      </c>
      <c r="D339" s="14" t="s">
        <v>61</v>
      </c>
      <c r="E339">
        <v>3331003984</v>
      </c>
      <c r="F339" s="2">
        <v>537.77</v>
      </c>
      <c r="G339" s="1">
        <v>45966</v>
      </c>
      <c r="I339" t="s">
        <v>9</v>
      </c>
      <c r="K339" s="2">
        <f t="shared" si="5"/>
        <v>537.77</v>
      </c>
    </row>
    <row r="340" spans="1:11" x14ac:dyDescent="0.25">
      <c r="A340">
        <v>1000</v>
      </c>
      <c r="B340">
        <v>1000</v>
      </c>
      <c r="C340" s="1">
        <v>45961</v>
      </c>
      <c r="D340" s="14" t="s">
        <v>178</v>
      </c>
      <c r="E340">
        <v>3331002812</v>
      </c>
      <c r="F340" s="2">
        <v>2941.44</v>
      </c>
      <c r="G340" s="1">
        <v>45966</v>
      </c>
      <c r="I340" t="s">
        <v>9</v>
      </c>
      <c r="K340" s="2">
        <f t="shared" si="5"/>
        <v>2941.44</v>
      </c>
    </row>
    <row r="341" spans="1:11" x14ac:dyDescent="0.25">
      <c r="A341">
        <v>1000</v>
      </c>
      <c r="B341">
        <v>1000</v>
      </c>
      <c r="C341" s="1">
        <v>45961</v>
      </c>
      <c r="D341" s="14" t="s">
        <v>183</v>
      </c>
      <c r="E341">
        <v>3224000077</v>
      </c>
      <c r="F341" s="2">
        <v>5852.72</v>
      </c>
      <c r="G341" s="1">
        <v>45966</v>
      </c>
      <c r="I341" t="s">
        <v>9</v>
      </c>
      <c r="K341" s="2">
        <f t="shared" si="5"/>
        <v>5852.72</v>
      </c>
    </row>
    <row r="342" spans="1:11" x14ac:dyDescent="0.25">
      <c r="A342">
        <v>1000</v>
      </c>
      <c r="B342">
        <v>1000</v>
      </c>
      <c r="C342" s="1">
        <v>45961</v>
      </c>
      <c r="D342" s="14" t="s">
        <v>183</v>
      </c>
      <c r="E342">
        <v>3224000071</v>
      </c>
      <c r="F342" s="2">
        <v>8954.6200000000008</v>
      </c>
      <c r="G342" s="1">
        <v>45966</v>
      </c>
      <c r="I342" t="s">
        <v>9</v>
      </c>
      <c r="K342" s="2">
        <f t="shared" si="5"/>
        <v>8954.6200000000008</v>
      </c>
    </row>
    <row r="343" spans="1:11" x14ac:dyDescent="0.25">
      <c r="A343">
        <v>1000</v>
      </c>
      <c r="B343">
        <v>1000</v>
      </c>
      <c r="C343" s="1">
        <v>45961</v>
      </c>
      <c r="D343" s="14" t="s">
        <v>183</v>
      </c>
      <c r="E343">
        <v>3331000020</v>
      </c>
      <c r="F343" s="2">
        <v>2649.49</v>
      </c>
      <c r="G343" s="1">
        <v>45966</v>
      </c>
      <c r="I343" t="s">
        <v>9</v>
      </c>
      <c r="K343" s="2">
        <f t="shared" si="5"/>
        <v>2649.49</v>
      </c>
    </row>
    <row r="344" spans="1:11" x14ac:dyDescent="0.25">
      <c r="A344">
        <v>1000</v>
      </c>
      <c r="B344">
        <v>1000</v>
      </c>
      <c r="C344" s="1">
        <v>45961</v>
      </c>
      <c r="D344" s="14" t="s">
        <v>34</v>
      </c>
      <c r="E344">
        <v>3225000047</v>
      </c>
      <c r="F344" s="2">
        <v>2178.44</v>
      </c>
      <c r="G344" s="1">
        <v>45966</v>
      </c>
      <c r="I344" t="s">
        <v>9</v>
      </c>
      <c r="K344" s="2">
        <f t="shared" si="5"/>
        <v>2178.44</v>
      </c>
    </row>
    <row r="345" spans="1:11" x14ac:dyDescent="0.25">
      <c r="A345">
        <v>1000</v>
      </c>
      <c r="B345">
        <v>1000</v>
      </c>
      <c r="C345" s="1">
        <v>45961</v>
      </c>
      <c r="D345" s="14" t="s">
        <v>209</v>
      </c>
      <c r="E345">
        <v>0</v>
      </c>
      <c r="F345" s="2">
        <v>0.33</v>
      </c>
      <c r="G345" s="1">
        <v>45966</v>
      </c>
      <c r="I345" t="s">
        <v>9</v>
      </c>
      <c r="K345" s="2">
        <f t="shared" si="5"/>
        <v>0.33</v>
      </c>
    </row>
    <row r="346" spans="1:11" x14ac:dyDescent="0.25">
      <c r="A346">
        <v>1000</v>
      </c>
      <c r="B346">
        <v>1000</v>
      </c>
      <c r="C346" s="1">
        <v>45961</v>
      </c>
      <c r="D346" s="14" t="s">
        <v>176</v>
      </c>
      <c r="E346">
        <v>3331002648</v>
      </c>
      <c r="F346" s="2">
        <v>81.08</v>
      </c>
      <c r="G346" s="1">
        <v>45966</v>
      </c>
      <c r="I346" t="s">
        <v>9</v>
      </c>
      <c r="K346" s="2">
        <f t="shared" si="5"/>
        <v>81.08</v>
      </c>
    </row>
    <row r="347" spans="1:11" x14ac:dyDescent="0.25">
      <c r="A347">
        <v>1000</v>
      </c>
      <c r="B347">
        <v>1000</v>
      </c>
      <c r="C347" s="1">
        <v>45961</v>
      </c>
      <c r="D347" s="14" t="s">
        <v>53</v>
      </c>
      <c r="E347">
        <v>3331002953</v>
      </c>
      <c r="F347" s="2">
        <v>15.08</v>
      </c>
      <c r="G347" s="1">
        <v>45966</v>
      </c>
      <c r="I347" t="s">
        <v>9</v>
      </c>
      <c r="K347" s="2">
        <f t="shared" si="5"/>
        <v>15.08</v>
      </c>
    </row>
    <row r="348" spans="1:11" x14ac:dyDescent="0.25">
      <c r="A348">
        <v>1000</v>
      </c>
      <c r="B348">
        <v>1000</v>
      </c>
      <c r="C348" s="1">
        <v>45961</v>
      </c>
      <c r="D348" s="14" t="s">
        <v>210</v>
      </c>
      <c r="E348">
        <v>0</v>
      </c>
      <c r="F348" s="2">
        <v>22.5</v>
      </c>
      <c r="G348" s="1">
        <v>45966</v>
      </c>
      <c r="I348" t="s">
        <v>9</v>
      </c>
      <c r="K348" s="2">
        <f t="shared" si="5"/>
        <v>22.5</v>
      </c>
    </row>
    <row r="349" spans="1:11" x14ac:dyDescent="0.25">
      <c r="A349">
        <v>1000</v>
      </c>
      <c r="B349">
        <v>1000</v>
      </c>
      <c r="C349" s="1">
        <v>45961</v>
      </c>
      <c r="D349" s="14" t="s">
        <v>210</v>
      </c>
      <c r="E349">
        <v>3331000012</v>
      </c>
      <c r="F349" s="2">
        <v>1621.26</v>
      </c>
      <c r="G349" s="1">
        <v>45966</v>
      </c>
      <c r="I349" t="s">
        <v>9</v>
      </c>
      <c r="K349" s="2">
        <f t="shared" si="5"/>
        <v>1621.26</v>
      </c>
    </row>
    <row r="350" spans="1:11" x14ac:dyDescent="0.25">
      <c r="A350">
        <v>1000</v>
      </c>
      <c r="B350">
        <v>1000</v>
      </c>
      <c r="C350" s="1">
        <v>45961</v>
      </c>
      <c r="D350" s="14" t="s">
        <v>34</v>
      </c>
      <c r="E350">
        <v>3225000004</v>
      </c>
      <c r="F350" s="2">
        <v>9174.27</v>
      </c>
      <c r="G350" s="1">
        <v>45966</v>
      </c>
      <c r="I350" t="s">
        <v>9</v>
      </c>
      <c r="K350" s="2">
        <f t="shared" si="5"/>
        <v>9174.27</v>
      </c>
    </row>
    <row r="351" spans="1:11" x14ac:dyDescent="0.25">
      <c r="A351">
        <v>1000</v>
      </c>
      <c r="B351">
        <v>1000</v>
      </c>
      <c r="C351" s="1">
        <v>45961</v>
      </c>
      <c r="D351" s="14" t="s">
        <v>61</v>
      </c>
      <c r="E351">
        <v>3331004107</v>
      </c>
      <c r="F351" s="2">
        <v>320.52999999999997</v>
      </c>
      <c r="G351" s="1">
        <v>45966</v>
      </c>
      <c r="I351" t="s">
        <v>9</v>
      </c>
      <c r="K351" s="2">
        <f t="shared" si="5"/>
        <v>320.52999999999997</v>
      </c>
    </row>
    <row r="352" spans="1:11" x14ac:dyDescent="0.25">
      <c r="A352">
        <v>1000</v>
      </c>
      <c r="B352">
        <v>1000</v>
      </c>
      <c r="C352" s="1">
        <v>45961</v>
      </c>
      <c r="D352" s="14" t="s">
        <v>183</v>
      </c>
      <c r="E352">
        <v>3369001450</v>
      </c>
      <c r="F352" s="2">
        <v>61.79</v>
      </c>
      <c r="G352" s="1">
        <v>45966</v>
      </c>
      <c r="I352" t="s">
        <v>9</v>
      </c>
      <c r="K352" s="2">
        <f t="shared" si="5"/>
        <v>61.79</v>
      </c>
    </row>
    <row r="353" spans="1:11" x14ac:dyDescent="0.25">
      <c r="A353">
        <v>1000</v>
      </c>
      <c r="B353">
        <v>1000</v>
      </c>
      <c r="C353" s="1">
        <v>45961</v>
      </c>
      <c r="D353" s="14" t="s">
        <v>176</v>
      </c>
      <c r="E353">
        <v>3324000149</v>
      </c>
      <c r="F353" s="2">
        <v>123.3</v>
      </c>
      <c r="G353" s="1">
        <v>45966</v>
      </c>
      <c r="I353" t="s">
        <v>9</v>
      </c>
      <c r="K353" s="2">
        <f t="shared" si="5"/>
        <v>123.3</v>
      </c>
    </row>
    <row r="354" spans="1:11" x14ac:dyDescent="0.25">
      <c r="A354">
        <v>1000</v>
      </c>
      <c r="B354">
        <v>1000</v>
      </c>
      <c r="C354" s="1">
        <v>45961</v>
      </c>
      <c r="D354" s="14" t="s">
        <v>67</v>
      </c>
      <c r="E354">
        <v>3341000147</v>
      </c>
      <c r="F354" s="2">
        <v>157.94</v>
      </c>
      <c r="G354" s="1">
        <v>45966</v>
      </c>
      <c r="I354" t="s">
        <v>9</v>
      </c>
      <c r="K354" s="2">
        <f t="shared" si="5"/>
        <v>157.94</v>
      </c>
    </row>
    <row r="355" spans="1:11" x14ac:dyDescent="0.25">
      <c r="A355">
        <v>1000</v>
      </c>
      <c r="B355">
        <v>1000</v>
      </c>
      <c r="C355" s="1">
        <v>45961</v>
      </c>
      <c r="D355" s="14" t="s">
        <v>183</v>
      </c>
      <c r="E355">
        <v>3224000013</v>
      </c>
      <c r="F355" s="2">
        <v>569.80999999999995</v>
      </c>
      <c r="G355" s="1">
        <v>45966</v>
      </c>
      <c r="I355" t="s">
        <v>9</v>
      </c>
      <c r="K355" s="2">
        <f t="shared" si="5"/>
        <v>569.80999999999995</v>
      </c>
    </row>
    <row r="356" spans="1:11" x14ac:dyDescent="0.25">
      <c r="A356">
        <v>1000</v>
      </c>
      <c r="B356">
        <v>1000</v>
      </c>
      <c r="C356" s="1">
        <v>45961</v>
      </c>
      <c r="D356" s="14" t="s">
        <v>47</v>
      </c>
      <c r="E356">
        <v>3331004796</v>
      </c>
      <c r="F356" s="2">
        <v>240.14</v>
      </c>
      <c r="G356" s="1">
        <v>45966</v>
      </c>
      <c r="I356" t="s">
        <v>9</v>
      </c>
      <c r="K356" s="2">
        <f t="shared" si="5"/>
        <v>240.14</v>
      </c>
    </row>
    <row r="357" spans="1:11" x14ac:dyDescent="0.25">
      <c r="A357">
        <v>1000</v>
      </c>
      <c r="B357">
        <v>1000</v>
      </c>
      <c r="C357" s="1">
        <v>45961</v>
      </c>
      <c r="D357" s="14" t="s">
        <v>200</v>
      </c>
      <c r="E357">
        <v>3224000074</v>
      </c>
      <c r="F357" s="2">
        <v>29833.1</v>
      </c>
      <c r="G357" s="1">
        <v>45966</v>
      </c>
      <c r="I357" t="s">
        <v>9</v>
      </c>
      <c r="K357" s="2">
        <f t="shared" si="5"/>
        <v>29833.1</v>
      </c>
    </row>
    <row r="358" spans="1:11" x14ac:dyDescent="0.25">
      <c r="A358">
        <v>1000</v>
      </c>
      <c r="B358">
        <v>1000</v>
      </c>
      <c r="C358" s="1">
        <v>45961</v>
      </c>
      <c r="D358" s="14" t="s">
        <v>183</v>
      </c>
      <c r="E358">
        <v>3224000010</v>
      </c>
      <c r="F358" s="2">
        <v>2140.75</v>
      </c>
      <c r="G358" s="1">
        <v>45966</v>
      </c>
      <c r="I358" t="s">
        <v>9</v>
      </c>
      <c r="K358" s="2">
        <f t="shared" si="5"/>
        <v>2140.75</v>
      </c>
    </row>
    <row r="359" spans="1:11" x14ac:dyDescent="0.25">
      <c r="A359">
        <v>1000</v>
      </c>
      <c r="B359">
        <v>1000</v>
      </c>
      <c r="C359" s="1">
        <v>45961</v>
      </c>
      <c r="D359" s="14" t="s">
        <v>176</v>
      </c>
      <c r="E359">
        <v>3331002940</v>
      </c>
      <c r="F359" s="2">
        <v>412.41</v>
      </c>
      <c r="G359" s="1">
        <v>45966</v>
      </c>
      <c r="I359" t="s">
        <v>9</v>
      </c>
      <c r="K359" s="2">
        <f t="shared" si="5"/>
        <v>412.41</v>
      </c>
    </row>
    <row r="360" spans="1:11" x14ac:dyDescent="0.25">
      <c r="A360">
        <v>1000</v>
      </c>
      <c r="B360">
        <v>1000</v>
      </c>
      <c r="C360" s="1">
        <v>45961</v>
      </c>
      <c r="D360" s="14" t="s">
        <v>183</v>
      </c>
      <c r="E360">
        <v>3331000021</v>
      </c>
      <c r="F360" s="2">
        <v>2649.49</v>
      </c>
      <c r="G360" s="1">
        <v>45966</v>
      </c>
      <c r="I360" t="s">
        <v>9</v>
      </c>
      <c r="K360" s="2">
        <f t="shared" si="5"/>
        <v>2649.49</v>
      </c>
    </row>
    <row r="361" spans="1:11" x14ac:dyDescent="0.25">
      <c r="A361">
        <v>1000</v>
      </c>
      <c r="B361">
        <v>1000</v>
      </c>
      <c r="C361" s="1">
        <v>45961</v>
      </c>
      <c r="D361" s="14" t="s">
        <v>56</v>
      </c>
      <c r="E361">
        <v>3331004792</v>
      </c>
      <c r="F361" s="2">
        <v>365.48</v>
      </c>
      <c r="G361" s="1">
        <v>45966</v>
      </c>
      <c r="I361" t="s">
        <v>9</v>
      </c>
      <c r="K361" s="2">
        <f t="shared" si="5"/>
        <v>365.48</v>
      </c>
    </row>
    <row r="362" spans="1:11" x14ac:dyDescent="0.25">
      <c r="A362">
        <v>1000</v>
      </c>
      <c r="B362">
        <v>1000</v>
      </c>
      <c r="C362" s="1">
        <v>45961</v>
      </c>
      <c r="D362" s="14" t="s">
        <v>67</v>
      </c>
      <c r="E362">
        <v>3341000145</v>
      </c>
      <c r="F362" s="2">
        <v>157.94</v>
      </c>
      <c r="G362" s="1">
        <v>45966</v>
      </c>
      <c r="I362" t="s">
        <v>9</v>
      </c>
      <c r="K362" s="2">
        <f t="shared" si="5"/>
        <v>157.94</v>
      </c>
    </row>
    <row r="363" spans="1:11" x14ac:dyDescent="0.25">
      <c r="A363">
        <v>1000</v>
      </c>
      <c r="B363">
        <v>1000</v>
      </c>
      <c r="C363" s="1">
        <v>45961</v>
      </c>
      <c r="D363" s="14" t="s">
        <v>34</v>
      </c>
      <c r="E363">
        <v>3224000064</v>
      </c>
      <c r="F363" s="2">
        <v>1001.53</v>
      </c>
      <c r="G363" s="1">
        <v>45966</v>
      </c>
      <c r="I363" t="s">
        <v>9</v>
      </c>
      <c r="K363" s="2">
        <f t="shared" si="5"/>
        <v>1001.53</v>
      </c>
    </row>
    <row r="364" spans="1:11" x14ac:dyDescent="0.25">
      <c r="A364">
        <v>1000</v>
      </c>
      <c r="B364">
        <v>1000</v>
      </c>
      <c r="C364" s="1">
        <v>45961</v>
      </c>
      <c r="D364" s="14" t="s">
        <v>73</v>
      </c>
      <c r="E364">
        <v>3235000084</v>
      </c>
      <c r="F364" s="2">
        <v>2868.16</v>
      </c>
      <c r="G364" s="1">
        <v>45966</v>
      </c>
      <c r="I364" t="s">
        <v>9</v>
      </c>
      <c r="K364" s="2">
        <f t="shared" si="5"/>
        <v>2868.16</v>
      </c>
    </row>
    <row r="365" spans="1:11" x14ac:dyDescent="0.25">
      <c r="A365">
        <v>1000</v>
      </c>
      <c r="B365">
        <v>1000</v>
      </c>
      <c r="C365" s="1">
        <v>45961</v>
      </c>
      <c r="D365" s="14" t="s">
        <v>31</v>
      </c>
      <c r="E365">
        <v>3331000386</v>
      </c>
      <c r="F365" s="2">
        <v>1158.3699999999999</v>
      </c>
      <c r="G365" s="1">
        <v>45966</v>
      </c>
      <c r="I365" t="s">
        <v>9</v>
      </c>
      <c r="K365" s="2">
        <f t="shared" si="5"/>
        <v>1158.3699999999999</v>
      </c>
    </row>
    <row r="366" spans="1:11" x14ac:dyDescent="0.25">
      <c r="A366">
        <v>1000</v>
      </c>
      <c r="B366">
        <v>1000</v>
      </c>
      <c r="C366" s="1">
        <v>45961</v>
      </c>
      <c r="D366" s="14" t="s">
        <v>31</v>
      </c>
      <c r="E366">
        <v>3331000307</v>
      </c>
      <c r="F366" s="2">
        <v>1509.78</v>
      </c>
      <c r="G366" s="1">
        <v>45966</v>
      </c>
      <c r="I366" t="s">
        <v>9</v>
      </c>
      <c r="K366" s="2">
        <f t="shared" si="5"/>
        <v>1509.78</v>
      </c>
    </row>
    <row r="367" spans="1:11" x14ac:dyDescent="0.25">
      <c r="A367">
        <v>1000</v>
      </c>
      <c r="B367">
        <v>1000</v>
      </c>
      <c r="C367" s="1">
        <v>45961</v>
      </c>
      <c r="D367" s="14" t="s">
        <v>34</v>
      </c>
      <c r="E367">
        <v>3235000067</v>
      </c>
      <c r="F367" s="2">
        <v>6603.2</v>
      </c>
      <c r="G367" s="1">
        <v>45966</v>
      </c>
      <c r="I367" t="s">
        <v>9</v>
      </c>
      <c r="K367" s="2">
        <f t="shared" si="5"/>
        <v>6603.2</v>
      </c>
    </row>
    <row r="368" spans="1:11" x14ac:dyDescent="0.25">
      <c r="A368">
        <v>1000</v>
      </c>
      <c r="B368">
        <v>1000</v>
      </c>
      <c r="C368" s="1">
        <v>45961</v>
      </c>
      <c r="D368" s="14" t="s">
        <v>176</v>
      </c>
      <c r="E368">
        <v>3324000133</v>
      </c>
      <c r="F368" s="2">
        <v>100.27</v>
      </c>
      <c r="G368" s="1">
        <v>45966</v>
      </c>
      <c r="I368" t="s">
        <v>9</v>
      </c>
      <c r="K368" s="2">
        <f t="shared" si="5"/>
        <v>100.27</v>
      </c>
    </row>
    <row r="369" spans="1:11" x14ac:dyDescent="0.25">
      <c r="A369">
        <v>1000</v>
      </c>
      <c r="B369">
        <v>1000</v>
      </c>
      <c r="C369" s="1">
        <v>45961</v>
      </c>
      <c r="D369" s="14" t="s">
        <v>177</v>
      </c>
      <c r="E369">
        <v>3224000036</v>
      </c>
      <c r="F369" s="2">
        <v>4757.24</v>
      </c>
      <c r="G369" s="1">
        <v>45966</v>
      </c>
      <c r="I369" t="s">
        <v>9</v>
      </c>
      <c r="K369" s="2">
        <f t="shared" si="5"/>
        <v>4757.24</v>
      </c>
    </row>
    <row r="370" spans="1:11" x14ac:dyDescent="0.25">
      <c r="A370">
        <v>1000</v>
      </c>
      <c r="B370">
        <v>1000</v>
      </c>
      <c r="C370" s="1">
        <v>45961</v>
      </c>
      <c r="D370" s="14" t="s">
        <v>177</v>
      </c>
      <c r="E370">
        <v>3224000039</v>
      </c>
      <c r="F370" s="2">
        <v>10597.49</v>
      </c>
      <c r="G370" s="1">
        <v>45966</v>
      </c>
      <c r="I370" t="s">
        <v>9</v>
      </c>
      <c r="K370" s="2">
        <f t="shared" si="5"/>
        <v>10597.49</v>
      </c>
    </row>
    <row r="371" spans="1:11" x14ac:dyDescent="0.25">
      <c r="A371">
        <v>1000</v>
      </c>
      <c r="B371">
        <v>1000</v>
      </c>
      <c r="C371" s="1">
        <v>45961</v>
      </c>
      <c r="D371" s="14" t="s">
        <v>183</v>
      </c>
      <c r="E371">
        <v>3224000068</v>
      </c>
      <c r="F371" s="2">
        <v>6107.03</v>
      </c>
      <c r="G371" s="1">
        <v>45966</v>
      </c>
      <c r="I371" t="s">
        <v>9</v>
      </c>
      <c r="K371" s="2">
        <f t="shared" si="5"/>
        <v>6107.03</v>
      </c>
    </row>
    <row r="372" spans="1:11" x14ac:dyDescent="0.25">
      <c r="A372">
        <v>1000</v>
      </c>
      <c r="B372">
        <v>1000</v>
      </c>
      <c r="C372" s="1">
        <v>45961</v>
      </c>
      <c r="D372" s="14" t="s">
        <v>47</v>
      </c>
      <c r="E372">
        <v>3224000076</v>
      </c>
      <c r="F372" s="2">
        <v>2966.91</v>
      </c>
      <c r="G372" s="1">
        <v>45966</v>
      </c>
      <c r="I372" t="s">
        <v>9</v>
      </c>
      <c r="K372" s="2">
        <f t="shared" si="5"/>
        <v>2966.91</v>
      </c>
    </row>
    <row r="373" spans="1:11" x14ac:dyDescent="0.25">
      <c r="A373">
        <v>1000</v>
      </c>
      <c r="B373">
        <v>1000</v>
      </c>
      <c r="C373" s="1">
        <v>45961</v>
      </c>
      <c r="D373" s="14" t="s">
        <v>34</v>
      </c>
      <c r="E373">
        <v>3235000064</v>
      </c>
      <c r="F373" s="2">
        <v>6313.13</v>
      </c>
      <c r="G373" s="1">
        <v>45966</v>
      </c>
      <c r="I373" t="s">
        <v>9</v>
      </c>
      <c r="K373" s="2">
        <f t="shared" si="5"/>
        <v>6313.13</v>
      </c>
    </row>
    <row r="374" spans="1:11" x14ac:dyDescent="0.25">
      <c r="A374">
        <v>1000</v>
      </c>
      <c r="B374">
        <v>1000</v>
      </c>
      <c r="C374" s="1">
        <v>45961</v>
      </c>
      <c r="D374" s="14" t="s">
        <v>34</v>
      </c>
      <c r="E374">
        <v>3225000052</v>
      </c>
      <c r="F374" s="2">
        <v>9473.23</v>
      </c>
      <c r="G374" s="1">
        <v>45966</v>
      </c>
      <c r="I374" t="s">
        <v>9</v>
      </c>
      <c r="K374" s="2">
        <f t="shared" si="5"/>
        <v>9473.23</v>
      </c>
    </row>
    <row r="375" spans="1:11" x14ac:dyDescent="0.25">
      <c r="A375">
        <v>1000</v>
      </c>
      <c r="B375">
        <v>1000</v>
      </c>
      <c r="C375" s="1">
        <v>45961</v>
      </c>
      <c r="D375" s="14" t="s">
        <v>183</v>
      </c>
      <c r="E375">
        <v>3369001555</v>
      </c>
      <c r="F375" s="2">
        <v>236.58</v>
      </c>
      <c r="G375" s="1">
        <v>45966</v>
      </c>
      <c r="I375" t="s">
        <v>9</v>
      </c>
      <c r="K375" s="2">
        <f t="shared" si="5"/>
        <v>236.58</v>
      </c>
    </row>
    <row r="376" spans="1:11" x14ac:dyDescent="0.25">
      <c r="A376">
        <v>1000</v>
      </c>
      <c r="B376">
        <v>1000</v>
      </c>
      <c r="C376" s="1">
        <v>45961</v>
      </c>
      <c r="D376" s="14" t="s">
        <v>34</v>
      </c>
      <c r="E376">
        <v>3225000010</v>
      </c>
      <c r="F376" s="2">
        <v>9299.32</v>
      </c>
      <c r="G376" s="1">
        <v>45966</v>
      </c>
      <c r="I376" t="s">
        <v>9</v>
      </c>
      <c r="K376" s="2">
        <f t="shared" si="5"/>
        <v>9299.32</v>
      </c>
    </row>
    <row r="377" spans="1:11" x14ac:dyDescent="0.25">
      <c r="A377">
        <v>1000</v>
      </c>
      <c r="B377">
        <v>1000</v>
      </c>
      <c r="C377" s="1">
        <v>45961</v>
      </c>
      <c r="D377" s="14" t="s">
        <v>53</v>
      </c>
      <c r="E377">
        <v>3331003041</v>
      </c>
      <c r="F377" s="2">
        <v>202.76</v>
      </c>
      <c r="G377" s="1">
        <v>45966</v>
      </c>
      <c r="I377" t="s">
        <v>9</v>
      </c>
      <c r="K377" s="2">
        <f t="shared" si="5"/>
        <v>202.76</v>
      </c>
    </row>
    <row r="378" spans="1:11" x14ac:dyDescent="0.25">
      <c r="A378">
        <v>1000</v>
      </c>
      <c r="B378">
        <v>1000</v>
      </c>
      <c r="C378" s="1">
        <v>45961</v>
      </c>
      <c r="D378" s="14" t="s">
        <v>34</v>
      </c>
      <c r="E378">
        <v>3225000026</v>
      </c>
      <c r="F378" s="2">
        <v>341.23</v>
      </c>
      <c r="G378" s="1">
        <v>45966</v>
      </c>
      <c r="I378" t="s">
        <v>9</v>
      </c>
      <c r="K378" s="2">
        <f t="shared" si="5"/>
        <v>341.23</v>
      </c>
    </row>
    <row r="379" spans="1:11" x14ac:dyDescent="0.25">
      <c r="A379">
        <v>1000</v>
      </c>
      <c r="B379">
        <v>1000</v>
      </c>
      <c r="C379" s="1">
        <v>45961</v>
      </c>
      <c r="D379" s="14" t="s">
        <v>70</v>
      </c>
      <c r="E379">
        <v>3331004746</v>
      </c>
      <c r="F379" s="2">
        <v>5231.84</v>
      </c>
      <c r="G379" s="1">
        <v>45966</v>
      </c>
      <c r="I379" t="s">
        <v>9</v>
      </c>
      <c r="K379" s="2">
        <f t="shared" si="5"/>
        <v>5231.84</v>
      </c>
    </row>
    <row r="380" spans="1:11" s="23" customFormat="1" x14ac:dyDescent="0.25">
      <c r="A380" s="23">
        <v>1000</v>
      </c>
      <c r="B380" s="23">
        <v>1000</v>
      </c>
      <c r="C380" s="24">
        <v>45961</v>
      </c>
      <c r="D380" s="25" t="s">
        <v>40</v>
      </c>
      <c r="E380" s="23">
        <v>0</v>
      </c>
      <c r="F380" s="26">
        <v>783.85</v>
      </c>
      <c r="G380" s="24">
        <v>45966</v>
      </c>
      <c r="I380" s="23" t="s">
        <v>9</v>
      </c>
      <c r="J380" s="26">
        <f>ROUND(VLOOKUP(D380,SAP!$S$4:$T$18,2,0),2)</f>
        <v>-627.08000000000004</v>
      </c>
      <c r="K380" s="26">
        <f t="shared" si="5"/>
        <v>156.76999999999998</v>
      </c>
    </row>
    <row r="381" spans="1:11" s="23" customFormat="1" x14ac:dyDescent="0.25">
      <c r="A381" s="23">
        <v>1000</v>
      </c>
      <c r="B381" s="23">
        <v>1000</v>
      </c>
      <c r="C381" s="24">
        <v>45961</v>
      </c>
      <c r="D381" s="25" t="s">
        <v>76</v>
      </c>
      <c r="E381" s="23">
        <v>0</v>
      </c>
      <c r="F381" s="26">
        <v>3405.66</v>
      </c>
      <c r="G381" s="24">
        <v>45966</v>
      </c>
      <c r="I381" s="23" t="s">
        <v>9</v>
      </c>
      <c r="J381" s="26">
        <f>ROUND(VLOOKUP(D381,SAP!$S$4:$T$18,2,0),2)</f>
        <v>-3027.26</v>
      </c>
      <c r="K381" s="26">
        <f t="shared" si="5"/>
        <v>378.39999999999964</v>
      </c>
    </row>
    <row r="382" spans="1:11" x14ac:dyDescent="0.25">
      <c r="A382">
        <v>1000</v>
      </c>
      <c r="B382">
        <v>1000</v>
      </c>
      <c r="C382" s="1">
        <v>45961</v>
      </c>
      <c r="D382" s="14" t="s">
        <v>176</v>
      </c>
      <c r="E382">
        <v>3331002641</v>
      </c>
      <c r="F382" s="2">
        <v>87.48</v>
      </c>
      <c r="G382" s="1">
        <v>45966</v>
      </c>
      <c r="I382" t="s">
        <v>9</v>
      </c>
      <c r="K382" s="2">
        <f t="shared" si="5"/>
        <v>87.48</v>
      </c>
    </row>
    <row r="383" spans="1:11" x14ac:dyDescent="0.25">
      <c r="A383">
        <v>1000</v>
      </c>
      <c r="B383">
        <v>1000</v>
      </c>
      <c r="C383" s="1">
        <v>45961</v>
      </c>
      <c r="D383" s="14" t="s">
        <v>213</v>
      </c>
      <c r="E383">
        <v>3369001456</v>
      </c>
      <c r="F383" s="2">
        <v>55.09</v>
      </c>
      <c r="G383" s="1">
        <v>45966</v>
      </c>
      <c r="I383" t="s">
        <v>9</v>
      </c>
      <c r="K383" s="2">
        <f t="shared" si="5"/>
        <v>55.09</v>
      </c>
    </row>
    <row r="384" spans="1:11" x14ac:dyDescent="0.25">
      <c r="A384">
        <v>1000</v>
      </c>
      <c r="B384">
        <v>1000</v>
      </c>
      <c r="C384" s="1">
        <v>45961</v>
      </c>
      <c r="D384" s="14" t="s">
        <v>188</v>
      </c>
      <c r="E384">
        <v>3331000235</v>
      </c>
      <c r="F384" s="2">
        <v>369</v>
      </c>
      <c r="G384" s="1">
        <v>45966</v>
      </c>
      <c r="I384" t="s">
        <v>9</v>
      </c>
      <c r="K384" s="2">
        <f t="shared" si="5"/>
        <v>369</v>
      </c>
    </row>
    <row r="385" spans="1:11" x14ac:dyDescent="0.25">
      <c r="A385">
        <v>1000</v>
      </c>
      <c r="B385">
        <v>1000</v>
      </c>
      <c r="C385" s="1">
        <v>45961</v>
      </c>
      <c r="D385" s="14" t="s">
        <v>208</v>
      </c>
      <c r="E385">
        <v>0</v>
      </c>
      <c r="F385" s="2">
        <v>136.26</v>
      </c>
      <c r="G385" s="1">
        <v>45966</v>
      </c>
      <c r="I385" t="s">
        <v>9</v>
      </c>
      <c r="K385" s="2">
        <f t="shared" si="5"/>
        <v>136.26</v>
      </c>
    </row>
    <row r="386" spans="1:11" x14ac:dyDescent="0.25">
      <c r="A386">
        <v>1000</v>
      </c>
      <c r="B386">
        <v>1000</v>
      </c>
      <c r="C386" s="1">
        <v>45961</v>
      </c>
      <c r="D386" s="14" t="s">
        <v>47</v>
      </c>
      <c r="E386">
        <v>3341000153</v>
      </c>
      <c r="F386" s="2">
        <v>263.52999999999997</v>
      </c>
      <c r="G386" s="1">
        <v>45966</v>
      </c>
      <c r="I386" t="s">
        <v>9</v>
      </c>
      <c r="K386" s="2">
        <f t="shared" si="5"/>
        <v>263.52999999999997</v>
      </c>
    </row>
    <row r="387" spans="1:11" x14ac:dyDescent="0.25">
      <c r="A387">
        <v>1000</v>
      </c>
      <c r="B387">
        <v>1000</v>
      </c>
      <c r="C387" s="1">
        <v>45961</v>
      </c>
      <c r="D387" s="14" t="s">
        <v>34</v>
      </c>
      <c r="E387">
        <v>3225000043</v>
      </c>
      <c r="F387" s="2">
        <v>9229.2099999999991</v>
      </c>
      <c r="G387" s="1">
        <v>45966</v>
      </c>
      <c r="I387" t="s">
        <v>9</v>
      </c>
      <c r="K387" s="2">
        <f t="shared" si="5"/>
        <v>9229.2099999999991</v>
      </c>
    </row>
    <row r="388" spans="1:11" x14ac:dyDescent="0.25">
      <c r="A388">
        <v>1000</v>
      </c>
      <c r="B388">
        <v>1000</v>
      </c>
      <c r="C388" s="1">
        <v>45961</v>
      </c>
      <c r="D388" s="14" t="s">
        <v>47</v>
      </c>
      <c r="E388">
        <v>3331004797</v>
      </c>
      <c r="F388" s="2">
        <v>240.46</v>
      </c>
      <c r="G388" s="1">
        <v>45966</v>
      </c>
      <c r="I388" t="s">
        <v>9</v>
      </c>
      <c r="K388" s="2">
        <f t="shared" ref="K388:K391" si="6">+F388+J388</f>
        <v>240.46</v>
      </c>
    </row>
    <row r="389" spans="1:11" x14ac:dyDescent="0.25">
      <c r="A389">
        <v>1000</v>
      </c>
      <c r="B389">
        <v>1000</v>
      </c>
      <c r="C389" s="1">
        <v>45961</v>
      </c>
      <c r="D389" s="14" t="s">
        <v>70</v>
      </c>
      <c r="E389">
        <v>3224000060</v>
      </c>
      <c r="F389" s="2">
        <v>1943.63</v>
      </c>
      <c r="G389" s="1">
        <v>45966</v>
      </c>
      <c r="I389" t="s">
        <v>9</v>
      </c>
      <c r="K389" s="2">
        <f t="shared" si="6"/>
        <v>1943.63</v>
      </c>
    </row>
    <row r="390" spans="1:11" x14ac:dyDescent="0.25">
      <c r="A390">
        <v>1000</v>
      </c>
      <c r="B390">
        <v>1000</v>
      </c>
      <c r="C390" s="1">
        <v>45961</v>
      </c>
      <c r="D390" s="14" t="s">
        <v>183</v>
      </c>
      <c r="E390">
        <v>3331000018</v>
      </c>
      <c r="F390" s="2">
        <v>2649.49</v>
      </c>
      <c r="G390" s="1">
        <v>45966</v>
      </c>
      <c r="I390" t="s">
        <v>9</v>
      </c>
      <c r="K390" s="2">
        <f t="shared" si="6"/>
        <v>2649.49</v>
      </c>
    </row>
    <row r="391" spans="1:11" x14ac:dyDescent="0.25">
      <c r="A391">
        <v>1000</v>
      </c>
      <c r="B391">
        <v>1000</v>
      </c>
      <c r="C391" s="1">
        <v>45961</v>
      </c>
      <c r="D391" s="14" t="s">
        <v>61</v>
      </c>
      <c r="E391">
        <v>3331004106</v>
      </c>
      <c r="F391" s="2">
        <v>341.29</v>
      </c>
      <c r="G391" s="1">
        <v>45966</v>
      </c>
      <c r="I391" t="s">
        <v>9</v>
      </c>
      <c r="K391" s="2">
        <f t="shared" si="6"/>
        <v>341.29</v>
      </c>
    </row>
    <row r="392" spans="1:11" x14ac:dyDescent="0.25">
      <c r="F392" s="2">
        <f>SUM(F2:F391)</f>
        <v>2153049.9999999981</v>
      </c>
      <c r="J392" s="2">
        <f>SUM(J2:J391)</f>
        <v>-819011.89699999976</v>
      </c>
      <c r="K392" s="2">
        <f>SUM(K2:K391)</f>
        <v>1334038.1030000001</v>
      </c>
    </row>
    <row r="393" spans="1:11" x14ac:dyDescent="0.25">
      <c r="K393" s="2"/>
    </row>
  </sheetData>
  <autoFilter ref="A1:J392" xr:uid="{558CA926-88E3-4477-81E9-AE9C20925F0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AA78-E0F1-4AFE-97F5-61D33527B616}">
  <dimension ref="A1:Z63"/>
  <sheetViews>
    <sheetView tabSelected="1" topLeftCell="L4" workbookViewId="0">
      <selection activeCell="AA19" sqref="AA19"/>
    </sheetView>
  </sheetViews>
  <sheetFormatPr baseColWidth="10" defaultRowHeight="15" x14ac:dyDescent="0.25"/>
  <cols>
    <col min="1" max="1" width="11" style="3" bestFit="1" customWidth="1"/>
    <col min="2" max="2" width="10.42578125" style="3" bestFit="1" customWidth="1"/>
    <col min="3" max="3" width="8.5703125" style="3" bestFit="1" customWidth="1"/>
    <col min="4" max="4" width="58.42578125" style="3" bestFit="1" customWidth="1"/>
    <col min="5" max="5" width="10" style="3" bestFit="1" customWidth="1"/>
    <col min="6" max="6" width="18.140625" style="3" bestFit="1" customWidth="1"/>
    <col min="7" max="7" width="7.28515625" style="3" bestFit="1" customWidth="1"/>
    <col min="8" max="8" width="11.7109375" style="3" bestFit="1" customWidth="1"/>
    <col min="9" max="9" width="8.7109375" style="3" bestFit="1" customWidth="1"/>
    <col min="10" max="11" width="11.42578125" style="3"/>
    <col min="12" max="12" width="11.42578125" style="10"/>
    <col min="13" max="15" width="11.42578125" style="3"/>
    <col min="16" max="16" width="17.85546875" style="3" bestFit="1" customWidth="1"/>
    <col min="17" max="17" width="18.42578125" style="3" bestFit="1" customWidth="1"/>
    <col min="18" max="18" width="11.42578125" style="3"/>
    <col min="19" max="19" width="12.5703125" style="3" bestFit="1" customWidth="1"/>
    <col min="20" max="21" width="14.7109375" style="3" bestFit="1" customWidth="1"/>
    <col min="22" max="22" width="12.5703125" style="3" bestFit="1" customWidth="1"/>
    <col min="23" max="23" width="14.7109375" style="3" bestFit="1" customWidth="1"/>
    <col min="24" max="16384" width="11.42578125" style="3"/>
  </cols>
  <sheetData>
    <row r="1" spans="1:26" x14ac:dyDescent="0.25">
      <c r="H1" s="4">
        <f>+SUBTOTAL(9,H2:H63)</f>
        <v>-916883.88</v>
      </c>
      <c r="L1" s="4">
        <f>+SUBTOTAL(9,L2:L63)</f>
        <v>-97871.984999999986</v>
      </c>
    </row>
    <row r="2" spans="1:26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5" t="s">
        <v>19</v>
      </c>
      <c r="K2" s="5" t="s">
        <v>20</v>
      </c>
      <c r="L2" s="6" t="s">
        <v>21</v>
      </c>
      <c r="M2" s="7" t="s">
        <v>22</v>
      </c>
      <c r="N2" s="3" t="s">
        <v>211</v>
      </c>
      <c r="S2" s="20" t="s">
        <v>211</v>
      </c>
      <c r="T2" t="s">
        <v>212</v>
      </c>
      <c r="V2"/>
      <c r="W2"/>
    </row>
    <row r="3" spans="1:26" x14ac:dyDescent="0.2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8">
        <v>-11828.41</v>
      </c>
      <c r="I3" s="3" t="s">
        <v>30</v>
      </c>
      <c r="J3" s="3" t="s">
        <v>31</v>
      </c>
      <c r="K3" s="9">
        <v>45658</v>
      </c>
      <c r="L3" s="10">
        <f>+H3/10</f>
        <v>-1182.8409999999999</v>
      </c>
      <c r="M3" s="11">
        <f>+H3-L3</f>
        <v>-10645.569</v>
      </c>
    </row>
    <row r="4" spans="1:26" x14ac:dyDescent="0.25">
      <c r="A4" s="3" t="s">
        <v>32</v>
      </c>
      <c r="B4" s="3" t="s">
        <v>24</v>
      </c>
      <c r="C4" s="3" t="s">
        <v>25</v>
      </c>
      <c r="D4" s="3" t="s">
        <v>33</v>
      </c>
      <c r="E4" s="3" t="s">
        <v>27</v>
      </c>
      <c r="F4" s="3" t="s">
        <v>28</v>
      </c>
      <c r="G4" s="3" t="s">
        <v>29</v>
      </c>
      <c r="H4" s="8">
        <v>-27047.43</v>
      </c>
      <c r="I4" s="3" t="s">
        <v>30</v>
      </c>
      <c r="J4" s="3" t="s">
        <v>34</v>
      </c>
      <c r="K4" s="9">
        <v>45658</v>
      </c>
      <c r="L4" s="10">
        <f t="shared" ref="L4:L19" si="0">+H4/10</f>
        <v>-2704.7429999999999</v>
      </c>
      <c r="M4" s="11">
        <f t="shared" ref="M4:M63" si="1">+H4-L4</f>
        <v>-24342.687000000002</v>
      </c>
      <c r="P4" s="13" t="s">
        <v>35</v>
      </c>
      <c r="Q4" s="3" t="s">
        <v>36</v>
      </c>
      <c r="S4" s="20" t="s">
        <v>19</v>
      </c>
      <c r="T4" t="s">
        <v>37</v>
      </c>
      <c r="U4"/>
      <c r="V4" s="20" t="s">
        <v>19</v>
      </c>
      <c r="W4" t="s">
        <v>37</v>
      </c>
    </row>
    <row r="5" spans="1:26" x14ac:dyDescent="0.25">
      <c r="A5" s="3" t="s">
        <v>38</v>
      </c>
      <c r="B5" s="3" t="s">
        <v>24</v>
      </c>
      <c r="C5" s="3" t="s">
        <v>25</v>
      </c>
      <c r="D5" s="3" t="s">
        <v>39</v>
      </c>
      <c r="E5" s="3" t="s">
        <v>27</v>
      </c>
      <c r="F5" s="3" t="s">
        <v>28</v>
      </c>
      <c r="G5" s="3" t="s">
        <v>29</v>
      </c>
      <c r="H5" s="8">
        <v>-2395.0500000000002</v>
      </c>
      <c r="I5" s="3" t="s">
        <v>30</v>
      </c>
      <c r="J5" s="3" t="s">
        <v>34</v>
      </c>
      <c r="K5" s="9">
        <v>45658</v>
      </c>
      <c r="L5" s="10">
        <f t="shared" si="0"/>
        <v>-239.50500000000002</v>
      </c>
      <c r="M5" s="11">
        <f t="shared" si="1"/>
        <v>-2155.5450000000001</v>
      </c>
      <c r="P5" s="12" t="s">
        <v>40</v>
      </c>
      <c r="Q5" s="11">
        <v>-783.85</v>
      </c>
      <c r="S5" t="s">
        <v>40</v>
      </c>
      <c r="T5" s="22">
        <v>-627.08000000000004</v>
      </c>
      <c r="U5"/>
      <c r="V5" t="s">
        <v>40</v>
      </c>
      <c r="W5" s="22">
        <v>-627.08000000000004</v>
      </c>
      <c r="Y5" s="3" t="s">
        <v>215</v>
      </c>
      <c r="Z5" s="3" t="s">
        <v>216</v>
      </c>
    </row>
    <row r="6" spans="1:26" x14ac:dyDescent="0.25">
      <c r="A6" s="3" t="s">
        <v>41</v>
      </c>
      <c r="B6" s="3" t="s">
        <v>24</v>
      </c>
      <c r="C6" s="3" t="s">
        <v>25</v>
      </c>
      <c r="D6" s="3" t="s">
        <v>42</v>
      </c>
      <c r="E6" s="3" t="s">
        <v>27</v>
      </c>
      <c r="F6" s="3" t="s">
        <v>28</v>
      </c>
      <c r="G6" s="3" t="s">
        <v>29</v>
      </c>
      <c r="H6" s="8">
        <v>-21555.439999999999</v>
      </c>
      <c r="I6" s="3" t="s">
        <v>30</v>
      </c>
      <c r="J6" s="3" t="s">
        <v>34</v>
      </c>
      <c r="K6" s="9">
        <v>45658</v>
      </c>
      <c r="L6" s="10">
        <f t="shared" si="0"/>
        <v>-2155.5439999999999</v>
      </c>
      <c r="M6" s="11">
        <f t="shared" si="1"/>
        <v>-19399.896000000001</v>
      </c>
      <c r="P6" s="12" t="s">
        <v>31</v>
      </c>
      <c r="Q6" s="11">
        <v>-28963.200000000001</v>
      </c>
      <c r="S6" t="s">
        <v>31</v>
      </c>
      <c r="T6" s="22">
        <v>-26066.880000000001</v>
      </c>
      <c r="U6"/>
      <c r="V6" t="s">
        <v>31</v>
      </c>
      <c r="W6" s="22">
        <v>-26066.880000000001</v>
      </c>
    </row>
    <row r="7" spans="1:26" x14ac:dyDescent="0.25">
      <c r="A7" s="3" t="s">
        <v>43</v>
      </c>
      <c r="B7" s="3" t="s">
        <v>24</v>
      </c>
      <c r="C7" s="3" t="s">
        <v>44</v>
      </c>
      <c r="D7" s="3" t="s">
        <v>45</v>
      </c>
      <c r="E7" s="3" t="s">
        <v>46</v>
      </c>
      <c r="F7" s="3" t="s">
        <v>28</v>
      </c>
      <c r="G7" s="3" t="s">
        <v>29</v>
      </c>
      <c r="H7" s="8">
        <v>-18251.93</v>
      </c>
      <c r="I7" s="3" t="s">
        <v>30</v>
      </c>
      <c r="J7" s="3" t="s">
        <v>47</v>
      </c>
      <c r="K7" s="9">
        <v>45658</v>
      </c>
      <c r="L7" s="10">
        <f t="shared" si="0"/>
        <v>-1825.193</v>
      </c>
      <c r="M7" s="11">
        <f t="shared" si="1"/>
        <v>-16426.737000000001</v>
      </c>
      <c r="P7" s="12" t="s">
        <v>34</v>
      </c>
      <c r="Q7" s="11">
        <v>-152599.86000000002</v>
      </c>
      <c r="S7" t="s">
        <v>34</v>
      </c>
      <c r="T7" s="22">
        <v>-63019.791000000005</v>
      </c>
      <c r="U7"/>
      <c r="V7" t="s">
        <v>34</v>
      </c>
      <c r="W7" s="22">
        <v>-133931.228</v>
      </c>
    </row>
    <row r="8" spans="1:26" x14ac:dyDescent="0.25">
      <c r="A8" s="3" t="s">
        <v>48</v>
      </c>
      <c r="B8" s="3" t="s">
        <v>24</v>
      </c>
      <c r="C8" s="3" t="s">
        <v>44</v>
      </c>
      <c r="D8" s="3" t="s">
        <v>49</v>
      </c>
      <c r="E8" s="3" t="s">
        <v>46</v>
      </c>
      <c r="F8" s="3" t="s">
        <v>28</v>
      </c>
      <c r="G8" s="3" t="s">
        <v>29</v>
      </c>
      <c r="H8" s="8">
        <v>-13220.67</v>
      </c>
      <c r="I8" s="3" t="s">
        <v>30</v>
      </c>
      <c r="J8" s="3" t="s">
        <v>47</v>
      </c>
      <c r="K8" s="9">
        <v>45658</v>
      </c>
      <c r="L8" s="10">
        <f t="shared" si="0"/>
        <v>-1322.067</v>
      </c>
      <c r="M8" s="11">
        <f t="shared" si="1"/>
        <v>-11898.602999999999</v>
      </c>
      <c r="P8" s="12" t="s">
        <v>50</v>
      </c>
      <c r="Q8" s="11">
        <v>-21183.579999999998</v>
      </c>
      <c r="S8" t="s">
        <v>50</v>
      </c>
      <c r="T8" s="22">
        <v>-19065.221999999998</v>
      </c>
      <c r="U8"/>
      <c r="V8" t="s">
        <v>50</v>
      </c>
      <c r="W8" s="22">
        <v>-19065.221999999998</v>
      </c>
    </row>
    <row r="9" spans="1:26" x14ac:dyDescent="0.25">
      <c r="A9" s="3" t="s">
        <v>51</v>
      </c>
      <c r="B9" s="3" t="s">
        <v>24</v>
      </c>
      <c r="C9" s="3" t="s">
        <v>44</v>
      </c>
      <c r="D9" s="3" t="s">
        <v>52</v>
      </c>
      <c r="E9" s="3" t="s">
        <v>46</v>
      </c>
      <c r="F9" s="3" t="s">
        <v>28</v>
      </c>
      <c r="G9" s="3" t="s">
        <v>29</v>
      </c>
      <c r="H9" s="8">
        <v>-17432.150000000001</v>
      </c>
      <c r="I9" s="3" t="s">
        <v>30</v>
      </c>
      <c r="J9" s="3" t="s">
        <v>47</v>
      </c>
      <c r="K9" s="9">
        <v>45658</v>
      </c>
      <c r="L9" s="10">
        <f t="shared" si="0"/>
        <v>-1743.2150000000001</v>
      </c>
      <c r="M9" s="11">
        <f t="shared" si="1"/>
        <v>-15688.935000000001</v>
      </c>
      <c r="P9" s="12" t="s">
        <v>53</v>
      </c>
      <c r="Q9" s="11">
        <v>-1087.55</v>
      </c>
      <c r="S9" t="s">
        <v>53</v>
      </c>
      <c r="T9" s="22">
        <v>-828.15700000000004</v>
      </c>
      <c r="U9"/>
      <c r="V9" t="s">
        <v>53</v>
      </c>
      <c r="W9" s="22">
        <v>-828.15700000000004</v>
      </c>
    </row>
    <row r="10" spans="1:26" x14ac:dyDescent="0.25">
      <c r="A10" s="3" t="s">
        <v>54</v>
      </c>
      <c r="B10" s="3" t="s">
        <v>24</v>
      </c>
      <c r="C10" s="3" t="s">
        <v>44</v>
      </c>
      <c r="D10" s="3" t="s">
        <v>55</v>
      </c>
      <c r="E10" s="3" t="s">
        <v>46</v>
      </c>
      <c r="F10" s="3" t="s">
        <v>28</v>
      </c>
      <c r="G10" s="3" t="s">
        <v>29</v>
      </c>
      <c r="H10" s="8">
        <v>-22136.720000000001</v>
      </c>
      <c r="I10" s="3" t="s">
        <v>30</v>
      </c>
      <c r="J10" s="3" t="s">
        <v>47</v>
      </c>
      <c r="K10" s="9">
        <v>45658</v>
      </c>
      <c r="L10" s="10">
        <f t="shared" si="0"/>
        <v>-2213.672</v>
      </c>
      <c r="M10" s="11">
        <f t="shared" si="1"/>
        <v>-19923.048000000003</v>
      </c>
      <c r="P10" s="12" t="s">
        <v>56</v>
      </c>
      <c r="Q10" s="11">
        <v>-250.78</v>
      </c>
      <c r="S10" t="s">
        <v>56</v>
      </c>
      <c r="T10" s="22">
        <v>-225.702</v>
      </c>
      <c r="U10"/>
      <c r="V10" t="s">
        <v>56</v>
      </c>
      <c r="W10" s="22">
        <v>-225.702</v>
      </c>
    </row>
    <row r="11" spans="1:26" x14ac:dyDescent="0.25">
      <c r="A11" s="3" t="s">
        <v>57</v>
      </c>
      <c r="B11" s="3" t="s">
        <v>24</v>
      </c>
      <c r="C11" s="3" t="s">
        <v>44</v>
      </c>
      <c r="D11" s="3" t="s">
        <v>58</v>
      </c>
      <c r="E11" s="3" t="s">
        <v>46</v>
      </c>
      <c r="F11" s="3" t="s">
        <v>28</v>
      </c>
      <c r="G11" s="3" t="s">
        <v>29</v>
      </c>
      <c r="H11" s="8">
        <v>-20509.32</v>
      </c>
      <c r="I11" s="3" t="s">
        <v>30</v>
      </c>
      <c r="J11" s="3" t="s">
        <v>47</v>
      </c>
      <c r="K11" s="9">
        <v>45658</v>
      </c>
      <c r="L11" s="10">
        <f t="shared" si="0"/>
        <v>-2050.9319999999998</v>
      </c>
      <c r="M11" s="11">
        <f t="shared" si="1"/>
        <v>-18458.387999999999</v>
      </c>
      <c r="P11" s="12" t="s">
        <v>47</v>
      </c>
      <c r="Q11" s="11">
        <v>-666564.05999999994</v>
      </c>
      <c r="S11" t="s">
        <v>47</v>
      </c>
      <c r="T11" s="22">
        <v>-598839.20699999994</v>
      </c>
      <c r="U11"/>
      <c r="V11" t="s">
        <v>47</v>
      </c>
      <c r="W11" s="22">
        <v>-598839.20699999994</v>
      </c>
    </row>
    <row r="12" spans="1:26" x14ac:dyDescent="0.25">
      <c r="A12" s="3" t="s">
        <v>59</v>
      </c>
      <c r="B12" s="3" t="s">
        <v>24</v>
      </c>
      <c r="C12" s="3" t="s">
        <v>44</v>
      </c>
      <c r="D12" s="3" t="s">
        <v>60</v>
      </c>
      <c r="E12" s="3" t="s">
        <v>46</v>
      </c>
      <c r="F12" s="3" t="s">
        <v>28</v>
      </c>
      <c r="G12" s="3" t="s">
        <v>29</v>
      </c>
      <c r="H12" s="8">
        <v>-17170.82</v>
      </c>
      <c r="I12" s="3" t="s">
        <v>30</v>
      </c>
      <c r="J12" s="3" t="s">
        <v>47</v>
      </c>
      <c r="K12" s="9">
        <v>45658</v>
      </c>
      <c r="L12" s="10">
        <f t="shared" si="0"/>
        <v>-1717.0819999999999</v>
      </c>
      <c r="M12" s="11">
        <f t="shared" si="1"/>
        <v>-15453.737999999999</v>
      </c>
      <c r="P12" s="12" t="s">
        <v>61</v>
      </c>
      <c r="Q12" s="11">
        <v>-4877.59</v>
      </c>
      <c r="S12" t="s">
        <v>61</v>
      </c>
      <c r="T12" s="22">
        <v>-3658.19</v>
      </c>
      <c r="U12"/>
      <c r="V12" t="s">
        <v>61</v>
      </c>
      <c r="W12" s="22">
        <v>-3658.19</v>
      </c>
    </row>
    <row r="13" spans="1:26" x14ac:dyDescent="0.25">
      <c r="A13" s="3" t="s">
        <v>62</v>
      </c>
      <c r="B13" s="3" t="s">
        <v>24</v>
      </c>
      <c r="C13" s="3" t="s">
        <v>44</v>
      </c>
      <c r="D13" s="3" t="s">
        <v>63</v>
      </c>
      <c r="E13" s="3" t="s">
        <v>46</v>
      </c>
      <c r="F13" s="3" t="s">
        <v>28</v>
      </c>
      <c r="G13" s="3" t="s">
        <v>29</v>
      </c>
      <c r="H13" s="3">
        <v>-658.89</v>
      </c>
      <c r="I13" s="3" t="s">
        <v>30</v>
      </c>
      <c r="J13" s="3" t="s">
        <v>47</v>
      </c>
      <c r="K13" s="9">
        <v>45658</v>
      </c>
      <c r="L13" s="10">
        <f t="shared" si="0"/>
        <v>-65.888999999999996</v>
      </c>
      <c r="M13" s="11">
        <f t="shared" si="1"/>
        <v>-593.00099999999998</v>
      </c>
      <c r="P13" s="12" t="s">
        <v>64</v>
      </c>
      <c r="Q13" s="11">
        <v>-9670.5</v>
      </c>
      <c r="S13" t="s">
        <v>64</v>
      </c>
      <c r="T13" s="22">
        <v>-8596</v>
      </c>
      <c r="U13"/>
      <c r="V13" t="s">
        <v>64</v>
      </c>
      <c r="W13" s="22">
        <v>-8596</v>
      </c>
    </row>
    <row r="14" spans="1:26" x14ac:dyDescent="0.25">
      <c r="A14" s="3" t="s">
        <v>65</v>
      </c>
      <c r="B14" s="3" t="s">
        <v>24</v>
      </c>
      <c r="C14" s="3" t="s">
        <v>44</v>
      </c>
      <c r="D14" s="3" t="s">
        <v>66</v>
      </c>
      <c r="E14" s="3" t="s">
        <v>46</v>
      </c>
      <c r="F14" s="3" t="s">
        <v>28</v>
      </c>
      <c r="G14" s="3" t="s">
        <v>29</v>
      </c>
      <c r="H14" s="8">
        <v>-16649.66</v>
      </c>
      <c r="I14" s="3" t="s">
        <v>30</v>
      </c>
      <c r="J14" s="3" t="s">
        <v>47</v>
      </c>
      <c r="K14" s="9">
        <v>45658</v>
      </c>
      <c r="L14" s="10">
        <f t="shared" si="0"/>
        <v>-1664.9659999999999</v>
      </c>
      <c r="M14" s="11">
        <f t="shared" si="1"/>
        <v>-14984.694</v>
      </c>
      <c r="P14" s="12" t="s">
        <v>67</v>
      </c>
      <c r="Q14" s="11">
        <v>-13638.61</v>
      </c>
      <c r="S14" t="s">
        <v>67</v>
      </c>
      <c r="T14" s="22">
        <v>-12274.749</v>
      </c>
      <c r="U14"/>
      <c r="V14" t="s">
        <v>67</v>
      </c>
      <c r="W14" s="22">
        <v>-12274.749</v>
      </c>
    </row>
    <row r="15" spans="1:26" x14ac:dyDescent="0.25">
      <c r="A15" s="3" t="s">
        <v>68</v>
      </c>
      <c r="B15" s="3" t="s">
        <v>24</v>
      </c>
      <c r="C15" s="3" t="s">
        <v>44</v>
      </c>
      <c r="D15" s="3" t="s">
        <v>69</v>
      </c>
      <c r="E15" s="3" t="s">
        <v>46</v>
      </c>
      <c r="F15" s="3" t="s">
        <v>28</v>
      </c>
      <c r="G15" s="3" t="s">
        <v>29</v>
      </c>
      <c r="H15" s="8">
        <v>-19250.759999999998</v>
      </c>
      <c r="I15" s="3" t="s">
        <v>30</v>
      </c>
      <c r="J15" s="3" t="s">
        <v>47</v>
      </c>
      <c r="K15" s="9">
        <v>45658</v>
      </c>
      <c r="L15" s="10">
        <f t="shared" si="0"/>
        <v>-1925.0759999999998</v>
      </c>
      <c r="M15" s="11">
        <f t="shared" si="1"/>
        <v>-17325.683999999997</v>
      </c>
      <c r="P15" s="12" t="s">
        <v>70</v>
      </c>
      <c r="Q15" s="11">
        <v>-13501.68</v>
      </c>
      <c r="S15" t="s">
        <v>70</v>
      </c>
      <c r="T15" s="22">
        <v>-11566.259999999998</v>
      </c>
      <c r="U15"/>
      <c r="V15" t="s">
        <v>70</v>
      </c>
      <c r="W15" s="22">
        <v>-11566.259999999998</v>
      </c>
    </row>
    <row r="16" spans="1:26" x14ac:dyDescent="0.25">
      <c r="A16" s="3" t="s">
        <v>71</v>
      </c>
      <c r="B16" s="3" t="s">
        <v>24</v>
      </c>
      <c r="C16" s="3" t="s">
        <v>44</v>
      </c>
      <c r="D16" s="3" t="s">
        <v>72</v>
      </c>
      <c r="E16" s="3" t="s">
        <v>46</v>
      </c>
      <c r="F16" s="3" t="s">
        <v>28</v>
      </c>
      <c r="G16" s="3" t="s">
        <v>29</v>
      </c>
      <c r="H16" s="8">
        <v>-10557.88</v>
      </c>
      <c r="I16" s="3" t="s">
        <v>30</v>
      </c>
      <c r="J16" s="3" t="s">
        <v>47</v>
      </c>
      <c r="K16" s="9">
        <v>45658</v>
      </c>
      <c r="L16" s="10">
        <f t="shared" si="0"/>
        <v>-1055.788</v>
      </c>
      <c r="M16" s="11">
        <f t="shared" si="1"/>
        <v>-9502.0919999999987</v>
      </c>
      <c r="P16" s="12" t="s">
        <v>73</v>
      </c>
      <c r="Q16" s="11">
        <v>-356.96</v>
      </c>
      <c r="S16" t="s">
        <v>73</v>
      </c>
      <c r="T16" s="22">
        <v>-305.95999999999998</v>
      </c>
      <c r="U16"/>
      <c r="V16" t="s">
        <v>73</v>
      </c>
      <c r="W16" s="22">
        <v>-305.95999999999998</v>
      </c>
    </row>
    <row r="17" spans="1:23" x14ac:dyDescent="0.25">
      <c r="A17" s="3" t="s">
        <v>74</v>
      </c>
      <c r="B17" s="3" t="s">
        <v>24</v>
      </c>
      <c r="C17" s="3" t="s">
        <v>44</v>
      </c>
      <c r="D17" s="3" t="s">
        <v>75</v>
      </c>
      <c r="E17" s="3" t="s">
        <v>46</v>
      </c>
      <c r="F17" s="3" t="s">
        <v>28</v>
      </c>
      <c r="G17" s="3" t="s">
        <v>29</v>
      </c>
      <c r="H17" s="8">
        <v>-1848.94</v>
      </c>
      <c r="I17" s="3" t="s">
        <v>30</v>
      </c>
      <c r="J17" s="3" t="s">
        <v>47</v>
      </c>
      <c r="K17" s="9">
        <v>45658</v>
      </c>
      <c r="L17" s="10">
        <f t="shared" si="0"/>
        <v>-184.89400000000001</v>
      </c>
      <c r="M17" s="11">
        <f t="shared" si="1"/>
        <v>-1664.046</v>
      </c>
      <c r="P17" s="12" t="s">
        <v>76</v>
      </c>
      <c r="Q17" s="11">
        <v>-3405.66</v>
      </c>
      <c r="S17" t="s">
        <v>76</v>
      </c>
      <c r="T17" s="22">
        <v>-3027.2599999999998</v>
      </c>
      <c r="U17"/>
      <c r="V17" t="s">
        <v>76</v>
      </c>
      <c r="W17" s="22">
        <v>-3027.2599999999998</v>
      </c>
    </row>
    <row r="18" spans="1:23" x14ac:dyDescent="0.25">
      <c r="A18" s="3" t="s">
        <v>77</v>
      </c>
      <c r="B18" s="3" t="s">
        <v>24</v>
      </c>
      <c r="C18" s="3" t="s">
        <v>44</v>
      </c>
      <c r="D18" s="3" t="s">
        <v>78</v>
      </c>
      <c r="E18" s="3" t="s">
        <v>46</v>
      </c>
      <c r="F18" s="3" t="s">
        <v>28</v>
      </c>
      <c r="G18" s="3" t="s">
        <v>29</v>
      </c>
      <c r="H18" s="8">
        <v>-6407.9</v>
      </c>
      <c r="I18" s="3" t="s">
        <v>30</v>
      </c>
      <c r="J18" s="3" t="s">
        <v>47</v>
      </c>
      <c r="K18" s="9">
        <v>45658</v>
      </c>
      <c r="L18" s="10">
        <f t="shared" si="0"/>
        <v>-640.79</v>
      </c>
      <c r="M18" s="11">
        <f t="shared" si="1"/>
        <v>-5767.11</v>
      </c>
      <c r="P18" s="12" t="s">
        <v>79</v>
      </c>
      <c r="Q18" s="11">
        <v>-916883.87999999989</v>
      </c>
      <c r="S18" t="s">
        <v>79</v>
      </c>
      <c r="T18" s="22">
        <v>-748100.45799999987</v>
      </c>
      <c r="U18"/>
      <c r="V18" t="s">
        <v>79</v>
      </c>
      <c r="W18" s="22">
        <v>-819011.89499999979</v>
      </c>
    </row>
    <row r="19" spans="1:23" x14ac:dyDescent="0.25">
      <c r="A19" s="3" t="s">
        <v>80</v>
      </c>
      <c r="B19" s="3" t="s">
        <v>24</v>
      </c>
      <c r="C19" s="3" t="s">
        <v>44</v>
      </c>
      <c r="D19" s="3" t="s">
        <v>81</v>
      </c>
      <c r="E19" s="3" t="s">
        <v>46</v>
      </c>
      <c r="F19" s="3" t="s">
        <v>28</v>
      </c>
      <c r="G19" s="3" t="s">
        <v>29</v>
      </c>
      <c r="H19" s="8">
        <v>-4043.21</v>
      </c>
      <c r="I19" s="3" t="s">
        <v>30</v>
      </c>
      <c r="J19" s="3" t="s">
        <v>67</v>
      </c>
      <c r="K19" s="9">
        <v>45658</v>
      </c>
      <c r="L19" s="10">
        <f t="shared" si="0"/>
        <v>-404.32100000000003</v>
      </c>
      <c r="M19" s="11">
        <f t="shared" si="1"/>
        <v>-3638.8890000000001</v>
      </c>
      <c r="S19"/>
      <c r="T19"/>
      <c r="U19"/>
    </row>
    <row r="20" spans="1:23" x14ac:dyDescent="0.25">
      <c r="A20" s="3" t="s">
        <v>82</v>
      </c>
      <c r="B20" s="3" t="s">
        <v>24</v>
      </c>
      <c r="C20" s="3" t="s">
        <v>44</v>
      </c>
      <c r="D20" s="3" t="s">
        <v>83</v>
      </c>
      <c r="E20" s="3" t="s">
        <v>46</v>
      </c>
      <c r="F20" s="3" t="s">
        <v>28</v>
      </c>
      <c r="G20" s="3" t="s">
        <v>29</v>
      </c>
      <c r="H20" s="3">
        <v>-387.05</v>
      </c>
      <c r="I20" s="3" t="s">
        <v>30</v>
      </c>
      <c r="J20" s="3" t="s">
        <v>47</v>
      </c>
      <c r="K20" s="9">
        <v>45901</v>
      </c>
      <c r="L20" s="10">
        <v>-193.52</v>
      </c>
      <c r="M20" s="11">
        <f t="shared" si="1"/>
        <v>-193.53</v>
      </c>
      <c r="S20"/>
      <c r="T20"/>
      <c r="U20"/>
    </row>
    <row r="21" spans="1:23" x14ac:dyDescent="0.25">
      <c r="A21" s="3" t="s">
        <v>84</v>
      </c>
      <c r="B21" s="3" t="s">
        <v>24</v>
      </c>
      <c r="C21" s="3" t="s">
        <v>44</v>
      </c>
      <c r="D21" s="3" t="s">
        <v>85</v>
      </c>
      <c r="E21" s="3" t="s">
        <v>46</v>
      </c>
      <c r="F21" s="3" t="s">
        <v>28</v>
      </c>
      <c r="G21" s="3" t="s">
        <v>29</v>
      </c>
      <c r="H21" s="3">
        <v>-278.31</v>
      </c>
      <c r="I21" s="3" t="s">
        <v>30</v>
      </c>
      <c r="J21" s="3" t="s">
        <v>47</v>
      </c>
      <c r="K21" s="9">
        <v>45658</v>
      </c>
      <c r="L21" s="10">
        <f t="shared" ref="L21:L36" si="2">+H21/10</f>
        <v>-27.831</v>
      </c>
      <c r="M21" s="11">
        <f t="shared" si="1"/>
        <v>-250.47900000000001</v>
      </c>
      <c r="S21" s="20" t="s">
        <v>211</v>
      </c>
      <c r="T21" s="21">
        <v>1</v>
      </c>
      <c r="U21"/>
    </row>
    <row r="22" spans="1:23" x14ac:dyDescent="0.25">
      <c r="A22" s="3" t="s">
        <v>86</v>
      </c>
      <c r="B22" s="3" t="s">
        <v>24</v>
      </c>
      <c r="C22" s="3" t="s">
        <v>44</v>
      </c>
      <c r="D22" s="3" t="s">
        <v>87</v>
      </c>
      <c r="E22" s="3" t="s">
        <v>46</v>
      </c>
      <c r="F22" s="3" t="s">
        <v>28</v>
      </c>
      <c r="G22" s="3" t="s">
        <v>29</v>
      </c>
      <c r="H22" s="8">
        <v>-3311.53</v>
      </c>
      <c r="I22" s="3" t="s">
        <v>30</v>
      </c>
      <c r="J22" s="3" t="s">
        <v>34</v>
      </c>
      <c r="K22" s="9">
        <v>45658</v>
      </c>
      <c r="L22" s="10">
        <f t="shared" si="2"/>
        <v>-331.15300000000002</v>
      </c>
      <c r="M22" s="11">
        <f t="shared" si="1"/>
        <v>-2980.3770000000004</v>
      </c>
      <c r="U22"/>
    </row>
    <row r="23" spans="1:23" x14ac:dyDescent="0.25">
      <c r="A23" s="3" t="s">
        <v>88</v>
      </c>
      <c r="B23" s="3" t="s">
        <v>24</v>
      </c>
      <c r="C23" s="3" t="s">
        <v>44</v>
      </c>
      <c r="D23" s="3" t="s">
        <v>89</v>
      </c>
      <c r="E23" s="3" t="s">
        <v>46</v>
      </c>
      <c r="F23" s="3" t="s">
        <v>28</v>
      </c>
      <c r="G23" s="3" t="s">
        <v>29</v>
      </c>
      <c r="H23" s="3">
        <v>-567.77</v>
      </c>
      <c r="I23" s="3" t="s">
        <v>30</v>
      </c>
      <c r="J23" s="3" t="s">
        <v>34</v>
      </c>
      <c r="K23" s="9">
        <v>45658</v>
      </c>
      <c r="L23" s="10">
        <f t="shared" si="2"/>
        <v>-56.777000000000001</v>
      </c>
      <c r="M23" s="11">
        <f t="shared" si="1"/>
        <v>-510.99299999999999</v>
      </c>
      <c r="S23" s="20" t="s">
        <v>10</v>
      </c>
      <c r="T23" t="s">
        <v>37</v>
      </c>
      <c r="U23"/>
    </row>
    <row r="24" spans="1:23" x14ac:dyDescent="0.25">
      <c r="A24" s="3" t="s">
        <v>90</v>
      </c>
      <c r="B24" s="3" t="s">
        <v>24</v>
      </c>
      <c r="C24" s="3" t="s">
        <v>44</v>
      </c>
      <c r="D24" s="3" t="s">
        <v>91</v>
      </c>
      <c r="E24" s="3" t="s">
        <v>46</v>
      </c>
      <c r="F24" s="3" t="s">
        <v>28</v>
      </c>
      <c r="G24" s="3" t="s">
        <v>29</v>
      </c>
      <c r="H24" s="3">
        <v>-851.55</v>
      </c>
      <c r="I24" s="3" t="s">
        <v>30</v>
      </c>
      <c r="J24" s="3" t="s">
        <v>34</v>
      </c>
      <c r="K24" s="9">
        <v>45658</v>
      </c>
      <c r="L24" s="10">
        <f t="shared" si="2"/>
        <v>-85.155000000000001</v>
      </c>
      <c r="M24" s="11">
        <f t="shared" si="1"/>
        <v>-766.39499999999998</v>
      </c>
      <c r="S24" t="s">
        <v>120</v>
      </c>
      <c r="T24" s="22">
        <v>-17043.260000000002</v>
      </c>
      <c r="U24"/>
    </row>
    <row r="25" spans="1:23" x14ac:dyDescent="0.25">
      <c r="A25" s="3" t="s">
        <v>92</v>
      </c>
      <c r="B25" s="3" t="s">
        <v>24</v>
      </c>
      <c r="C25" s="3" t="s">
        <v>93</v>
      </c>
      <c r="D25" s="3" t="s">
        <v>94</v>
      </c>
      <c r="E25" s="3" t="s">
        <v>95</v>
      </c>
      <c r="F25" s="3" t="s">
        <v>28</v>
      </c>
      <c r="G25" s="3" t="s">
        <v>29</v>
      </c>
      <c r="H25" s="8">
        <v>-43594.31</v>
      </c>
      <c r="I25" s="3" t="s">
        <v>30</v>
      </c>
      <c r="J25" s="3" t="s">
        <v>47</v>
      </c>
      <c r="K25" s="9">
        <v>45658</v>
      </c>
      <c r="L25" s="10">
        <f t="shared" si="2"/>
        <v>-4359.4309999999996</v>
      </c>
      <c r="M25" s="11">
        <f t="shared" si="1"/>
        <v>-39234.879000000001</v>
      </c>
      <c r="S25" t="s">
        <v>122</v>
      </c>
      <c r="T25" s="22">
        <v>-2204.8200000000002</v>
      </c>
      <c r="U25"/>
    </row>
    <row r="26" spans="1:23" x14ac:dyDescent="0.25">
      <c r="A26" s="3" t="s">
        <v>96</v>
      </c>
      <c r="B26" s="3" t="s">
        <v>24</v>
      </c>
      <c r="C26" s="3" t="s">
        <v>93</v>
      </c>
      <c r="D26" s="3" t="s">
        <v>97</v>
      </c>
      <c r="E26" s="3" t="s">
        <v>95</v>
      </c>
      <c r="F26" s="3" t="s">
        <v>28</v>
      </c>
      <c r="G26" s="3" t="s">
        <v>29</v>
      </c>
      <c r="H26" s="8">
        <v>-11168.27</v>
      </c>
      <c r="I26" s="3" t="s">
        <v>30</v>
      </c>
      <c r="J26" s="3" t="s">
        <v>47</v>
      </c>
      <c r="K26" s="9">
        <v>45658</v>
      </c>
      <c r="L26" s="10">
        <f t="shared" si="2"/>
        <v>-1116.827</v>
      </c>
      <c r="M26" s="11">
        <f t="shared" si="1"/>
        <v>-10051.443000000001</v>
      </c>
      <c r="S26" t="s">
        <v>124</v>
      </c>
      <c r="T26" s="22">
        <v>-51663.357000000004</v>
      </c>
      <c r="U26"/>
    </row>
    <row r="27" spans="1:23" x14ac:dyDescent="0.25">
      <c r="A27" s="3" t="s">
        <v>98</v>
      </c>
      <c r="B27" s="3" t="s">
        <v>24</v>
      </c>
      <c r="C27" s="3" t="s">
        <v>93</v>
      </c>
      <c r="D27" s="3" t="s">
        <v>99</v>
      </c>
      <c r="E27" s="3" t="s">
        <v>95</v>
      </c>
      <c r="F27" s="3" t="s">
        <v>28</v>
      </c>
      <c r="G27" s="3" t="s">
        <v>29</v>
      </c>
      <c r="H27" s="8">
        <v>-57050.83</v>
      </c>
      <c r="I27" s="3" t="s">
        <v>30</v>
      </c>
      <c r="J27" s="3" t="s">
        <v>47</v>
      </c>
      <c r="K27" s="9">
        <v>45658</v>
      </c>
      <c r="L27" s="10">
        <f t="shared" si="2"/>
        <v>-5705.0830000000005</v>
      </c>
      <c r="M27" s="11">
        <f t="shared" si="1"/>
        <v>-51345.747000000003</v>
      </c>
      <c r="S27" t="s">
        <v>79</v>
      </c>
      <c r="T27" s="22">
        <v>-70911.437000000005</v>
      </c>
      <c r="U27"/>
    </row>
    <row r="28" spans="1:23" x14ac:dyDescent="0.25">
      <c r="A28" s="3" t="s">
        <v>100</v>
      </c>
      <c r="B28" s="3" t="s">
        <v>24</v>
      </c>
      <c r="C28" s="3" t="s">
        <v>93</v>
      </c>
      <c r="D28" s="3" t="s">
        <v>101</v>
      </c>
      <c r="E28" s="3" t="s">
        <v>95</v>
      </c>
      <c r="F28" s="3" t="s">
        <v>28</v>
      </c>
      <c r="G28" s="3" t="s">
        <v>29</v>
      </c>
      <c r="H28" s="8">
        <v>-61644.76</v>
      </c>
      <c r="I28" s="3" t="s">
        <v>30</v>
      </c>
      <c r="J28" s="3" t="s">
        <v>47</v>
      </c>
      <c r="K28" s="9">
        <v>45658</v>
      </c>
      <c r="L28" s="10">
        <f t="shared" si="2"/>
        <v>-6164.4760000000006</v>
      </c>
      <c r="M28" s="11">
        <f t="shared" si="1"/>
        <v>-55480.284</v>
      </c>
      <c r="S28"/>
      <c r="T28"/>
      <c r="U28"/>
    </row>
    <row r="29" spans="1:23" x14ac:dyDescent="0.25">
      <c r="A29" s="3" t="s">
        <v>102</v>
      </c>
      <c r="B29" s="3" t="s">
        <v>24</v>
      </c>
      <c r="C29" s="3" t="s">
        <v>93</v>
      </c>
      <c r="D29" s="3" t="s">
        <v>103</v>
      </c>
      <c r="E29" s="3" t="s">
        <v>95</v>
      </c>
      <c r="F29" s="3" t="s">
        <v>28</v>
      </c>
      <c r="G29" s="3" t="s">
        <v>29</v>
      </c>
      <c r="H29" s="8">
        <v>-74028.63</v>
      </c>
      <c r="I29" s="3" t="s">
        <v>30</v>
      </c>
      <c r="J29" s="3" t="s">
        <v>47</v>
      </c>
      <c r="K29" s="9">
        <v>45658</v>
      </c>
      <c r="L29" s="10">
        <f t="shared" si="2"/>
        <v>-7402.8630000000003</v>
      </c>
      <c r="M29" s="11">
        <f t="shared" si="1"/>
        <v>-66625.767000000007</v>
      </c>
      <c r="S29"/>
      <c r="T29"/>
      <c r="U29"/>
    </row>
    <row r="30" spans="1:23" x14ac:dyDescent="0.25">
      <c r="A30" s="3" t="s">
        <v>104</v>
      </c>
      <c r="B30" s="3" t="s">
        <v>24</v>
      </c>
      <c r="C30" s="3" t="s">
        <v>93</v>
      </c>
      <c r="D30" s="3" t="s">
        <v>105</v>
      </c>
      <c r="E30" s="3" t="s">
        <v>95</v>
      </c>
      <c r="F30" s="3" t="s">
        <v>28</v>
      </c>
      <c r="G30" s="3" t="s">
        <v>29</v>
      </c>
      <c r="H30" s="8">
        <v>-64228.75</v>
      </c>
      <c r="I30" s="3" t="s">
        <v>30</v>
      </c>
      <c r="J30" s="3" t="s">
        <v>47</v>
      </c>
      <c r="K30" s="9">
        <v>45658</v>
      </c>
      <c r="L30" s="10">
        <f t="shared" si="2"/>
        <v>-6422.875</v>
      </c>
      <c r="M30" s="11">
        <f t="shared" si="1"/>
        <v>-57805.875</v>
      </c>
      <c r="P30" s="29" t="s">
        <v>35</v>
      </c>
      <c r="T30" s="29"/>
      <c r="U30"/>
    </row>
    <row r="31" spans="1:23" x14ac:dyDescent="0.25">
      <c r="A31" s="3" t="s">
        <v>106</v>
      </c>
      <c r="B31" s="3" t="s">
        <v>24</v>
      </c>
      <c r="C31" s="3" t="s">
        <v>93</v>
      </c>
      <c r="D31" s="3" t="s">
        <v>107</v>
      </c>
      <c r="E31" s="3" t="s">
        <v>95</v>
      </c>
      <c r="F31" s="3" t="s">
        <v>28</v>
      </c>
      <c r="G31" s="3" t="s">
        <v>29</v>
      </c>
      <c r="H31" s="8">
        <v>-1711.94</v>
      </c>
      <c r="I31" s="3" t="s">
        <v>30</v>
      </c>
      <c r="J31" s="3" t="s">
        <v>47</v>
      </c>
      <c r="K31" s="9">
        <v>45658</v>
      </c>
      <c r="L31" s="10">
        <f t="shared" si="2"/>
        <v>-171.19400000000002</v>
      </c>
      <c r="M31" s="11">
        <f t="shared" si="1"/>
        <v>-1540.7460000000001</v>
      </c>
      <c r="P31" s="28">
        <v>6841100003</v>
      </c>
      <c r="Q31" s="3" t="s">
        <v>217</v>
      </c>
      <c r="S31" s="28">
        <v>6841100005</v>
      </c>
      <c r="T31" s="3" t="s">
        <v>224</v>
      </c>
      <c r="U31"/>
      <c r="V31" s="3">
        <v>3952100004</v>
      </c>
      <c r="W31" s="3" t="s">
        <v>221</v>
      </c>
    </row>
    <row r="32" spans="1:23" x14ac:dyDescent="0.25">
      <c r="A32" s="3" t="s">
        <v>108</v>
      </c>
      <c r="B32" s="3" t="s">
        <v>24</v>
      </c>
      <c r="C32" s="3" t="s">
        <v>93</v>
      </c>
      <c r="D32" s="3" t="s">
        <v>109</v>
      </c>
      <c r="E32" s="3" t="s">
        <v>95</v>
      </c>
      <c r="F32" s="3" t="s">
        <v>28</v>
      </c>
      <c r="G32" s="3" t="s">
        <v>29</v>
      </c>
      <c r="H32" s="8">
        <v>-55277.58</v>
      </c>
      <c r="I32" s="3" t="s">
        <v>30</v>
      </c>
      <c r="J32" s="3" t="s">
        <v>47</v>
      </c>
      <c r="K32" s="9">
        <v>45658</v>
      </c>
      <c r="L32" s="10">
        <f t="shared" si="2"/>
        <v>-5527.7579999999998</v>
      </c>
      <c r="M32" s="11">
        <f t="shared" si="1"/>
        <v>-49749.822</v>
      </c>
      <c r="P32" s="28">
        <v>6841100004</v>
      </c>
      <c r="Q32" s="3" t="s">
        <v>218</v>
      </c>
      <c r="S32" s="28">
        <v>6841100006</v>
      </c>
      <c r="T32" s="3" t="s">
        <v>223</v>
      </c>
      <c r="U32"/>
      <c r="V32" s="3">
        <v>3952200002</v>
      </c>
      <c r="W32" s="3" t="s">
        <v>222</v>
      </c>
    </row>
    <row r="33" spans="1:23" x14ac:dyDescent="0.25">
      <c r="A33" s="3" t="s">
        <v>110</v>
      </c>
      <c r="B33" s="3" t="s">
        <v>24</v>
      </c>
      <c r="C33" s="3" t="s">
        <v>93</v>
      </c>
      <c r="D33" s="3" t="s">
        <v>111</v>
      </c>
      <c r="E33" s="3" t="s">
        <v>95</v>
      </c>
      <c r="F33" s="3" t="s">
        <v>28</v>
      </c>
      <c r="G33" s="3" t="s">
        <v>29</v>
      </c>
      <c r="H33" s="8">
        <v>-65587.95</v>
      </c>
      <c r="I33" s="3" t="s">
        <v>30</v>
      </c>
      <c r="J33" s="3" t="s">
        <v>47</v>
      </c>
      <c r="K33" s="9">
        <v>45658</v>
      </c>
      <c r="L33" s="10">
        <f t="shared" si="2"/>
        <v>-6558.7950000000001</v>
      </c>
      <c r="M33" s="11">
        <f t="shared" si="1"/>
        <v>-59029.154999999999</v>
      </c>
      <c r="P33" s="28">
        <v>6841200001</v>
      </c>
      <c r="Q33" s="3" t="s">
        <v>219</v>
      </c>
      <c r="S33" s="28">
        <v>6841200002</v>
      </c>
      <c r="T33" s="3" t="s">
        <v>225</v>
      </c>
      <c r="V33" s="3">
        <v>3952400002</v>
      </c>
      <c r="W33" s="3" t="s">
        <v>228</v>
      </c>
    </row>
    <row r="34" spans="1:23" x14ac:dyDescent="0.25">
      <c r="A34" s="3" t="s">
        <v>112</v>
      </c>
      <c r="B34" s="3" t="s">
        <v>24</v>
      </c>
      <c r="C34" s="3" t="s">
        <v>93</v>
      </c>
      <c r="D34" s="3" t="s">
        <v>113</v>
      </c>
      <c r="E34" s="3" t="s">
        <v>95</v>
      </c>
      <c r="F34" s="3" t="s">
        <v>28</v>
      </c>
      <c r="G34" s="3" t="s">
        <v>29</v>
      </c>
      <c r="H34" s="8">
        <v>-45444.92</v>
      </c>
      <c r="I34" s="3" t="s">
        <v>30</v>
      </c>
      <c r="J34" s="3" t="s">
        <v>47</v>
      </c>
      <c r="K34" s="9">
        <v>45658</v>
      </c>
      <c r="L34" s="10">
        <f t="shared" si="2"/>
        <v>-4544.4920000000002</v>
      </c>
      <c r="M34" s="11">
        <f t="shared" si="1"/>
        <v>-40900.428</v>
      </c>
      <c r="P34" s="28">
        <v>6841500004</v>
      </c>
      <c r="Q34" s="3" t="s">
        <v>216</v>
      </c>
      <c r="S34" s="28">
        <v>6841500005</v>
      </c>
      <c r="T34" s="3" t="s">
        <v>226</v>
      </c>
      <c r="V34" s="3">
        <v>3952700005</v>
      </c>
      <c r="W34" s="3" t="s">
        <v>229</v>
      </c>
    </row>
    <row r="35" spans="1:23" x14ac:dyDescent="0.25">
      <c r="A35" s="3" t="s">
        <v>114</v>
      </c>
      <c r="B35" s="3" t="s">
        <v>24</v>
      </c>
      <c r="C35" s="3" t="s">
        <v>93</v>
      </c>
      <c r="D35" s="3" t="s">
        <v>115</v>
      </c>
      <c r="E35" s="3" t="s">
        <v>95</v>
      </c>
      <c r="F35" s="3" t="s">
        <v>28</v>
      </c>
      <c r="G35" s="3" t="s">
        <v>29</v>
      </c>
      <c r="H35" s="8">
        <v>-6511.06</v>
      </c>
      <c r="I35" s="3" t="s">
        <v>30</v>
      </c>
      <c r="J35" s="3" t="s">
        <v>47</v>
      </c>
      <c r="K35" s="9">
        <v>45658</v>
      </c>
      <c r="L35" s="10">
        <f t="shared" si="2"/>
        <v>-651.10599999999999</v>
      </c>
      <c r="M35" s="11">
        <f t="shared" si="1"/>
        <v>-5859.9540000000006</v>
      </c>
      <c r="P35" s="28">
        <v>6861900001</v>
      </c>
      <c r="Q35" s="3" t="s">
        <v>220</v>
      </c>
      <c r="S35" s="28">
        <v>6861900002</v>
      </c>
      <c r="T35" s="3" t="s">
        <v>227</v>
      </c>
      <c r="V35" s="3">
        <v>3961900002</v>
      </c>
      <c r="W35" s="3" t="s">
        <v>230</v>
      </c>
    </row>
    <row r="36" spans="1:23" x14ac:dyDescent="0.25">
      <c r="A36" s="3" t="s">
        <v>116</v>
      </c>
      <c r="B36" s="3" t="s">
        <v>24</v>
      </c>
      <c r="C36" s="3" t="s">
        <v>93</v>
      </c>
      <c r="D36" s="3" t="s">
        <v>117</v>
      </c>
      <c r="E36" s="3" t="s">
        <v>95</v>
      </c>
      <c r="F36" s="3" t="s">
        <v>28</v>
      </c>
      <c r="G36" s="3" t="s">
        <v>29</v>
      </c>
      <c r="H36" s="8">
        <v>-6293.38</v>
      </c>
      <c r="I36" s="3" t="s">
        <v>30</v>
      </c>
      <c r="J36" s="3" t="s">
        <v>47</v>
      </c>
      <c r="K36" s="9">
        <v>45658</v>
      </c>
      <c r="L36" s="10">
        <f t="shared" si="2"/>
        <v>-629.33799999999997</v>
      </c>
      <c r="M36" s="11">
        <f t="shared" si="1"/>
        <v>-5664.0420000000004</v>
      </c>
      <c r="P36" s="29" t="s">
        <v>79</v>
      </c>
      <c r="T36" s="29"/>
    </row>
    <row r="37" spans="1:23" x14ac:dyDescent="0.25">
      <c r="A37" s="3" t="s">
        <v>118</v>
      </c>
      <c r="B37" s="3" t="s">
        <v>24</v>
      </c>
      <c r="C37" s="3" t="s">
        <v>93</v>
      </c>
      <c r="D37" s="3" t="s">
        <v>119</v>
      </c>
      <c r="E37" s="3" t="s">
        <v>95</v>
      </c>
      <c r="F37" s="3" t="s">
        <v>28</v>
      </c>
      <c r="G37" s="3" t="s">
        <v>29</v>
      </c>
      <c r="H37" s="3">
        <v>-356.96</v>
      </c>
      <c r="I37" s="3" t="s">
        <v>30</v>
      </c>
      <c r="J37" s="3" t="s">
        <v>73</v>
      </c>
      <c r="K37" s="9">
        <v>45748</v>
      </c>
      <c r="L37" s="10">
        <v>-51</v>
      </c>
      <c r="M37" s="11">
        <f t="shared" si="1"/>
        <v>-305.95999999999998</v>
      </c>
      <c r="S37"/>
      <c r="T37"/>
    </row>
    <row r="38" spans="1:23" s="15" customFormat="1" x14ac:dyDescent="0.25">
      <c r="A38" s="15" t="s">
        <v>120</v>
      </c>
      <c r="B38" s="15" t="s">
        <v>24</v>
      </c>
      <c r="C38" s="15" t="s">
        <v>93</v>
      </c>
      <c r="D38" s="15" t="s">
        <v>121</v>
      </c>
      <c r="E38" s="15" t="s">
        <v>95</v>
      </c>
      <c r="F38" s="15" t="s">
        <v>28</v>
      </c>
      <c r="G38" s="15" t="s">
        <v>29</v>
      </c>
      <c r="H38" s="16">
        <v>-22724.34</v>
      </c>
      <c r="I38" s="15" t="s">
        <v>30</v>
      </c>
      <c r="J38" s="15" t="s">
        <v>34</v>
      </c>
      <c r="K38" s="17">
        <v>45839</v>
      </c>
      <c r="L38" s="18">
        <v>-5681.08</v>
      </c>
      <c r="M38" s="19">
        <f t="shared" si="1"/>
        <v>-17043.260000000002</v>
      </c>
      <c r="N38" s="15">
        <v>1</v>
      </c>
      <c r="O38">
        <v>3224000003</v>
      </c>
    </row>
    <row r="39" spans="1:23" s="15" customFormat="1" x14ac:dyDescent="0.25">
      <c r="A39" s="15" t="s">
        <v>122</v>
      </c>
      <c r="B39" s="15" t="s">
        <v>24</v>
      </c>
      <c r="C39" s="15" t="s">
        <v>93</v>
      </c>
      <c r="D39" s="15" t="s">
        <v>123</v>
      </c>
      <c r="E39" s="15" t="s">
        <v>95</v>
      </c>
      <c r="F39" s="15" t="s">
        <v>28</v>
      </c>
      <c r="G39" s="15" t="s">
        <v>29</v>
      </c>
      <c r="H39" s="16">
        <v>-2449.8000000000002</v>
      </c>
      <c r="I39" s="15" t="s">
        <v>30</v>
      </c>
      <c r="J39" s="15" t="s">
        <v>34</v>
      </c>
      <c r="K39" s="17">
        <v>45658</v>
      </c>
      <c r="L39" s="18">
        <f t="shared" ref="L39:L44" si="3">+H39/10</f>
        <v>-244.98000000000002</v>
      </c>
      <c r="M39" s="19">
        <f t="shared" si="1"/>
        <v>-2204.8200000000002</v>
      </c>
      <c r="N39" s="15">
        <v>1</v>
      </c>
      <c r="O39">
        <v>3331000009</v>
      </c>
    </row>
    <row r="40" spans="1:23" s="15" customFormat="1" x14ac:dyDescent="0.25">
      <c r="A40" s="15" t="s">
        <v>124</v>
      </c>
      <c r="B40" s="15" t="s">
        <v>24</v>
      </c>
      <c r="C40" s="15" t="s">
        <v>93</v>
      </c>
      <c r="D40" s="15" t="s">
        <v>125</v>
      </c>
      <c r="E40" s="15" t="s">
        <v>95</v>
      </c>
      <c r="F40" s="15" t="s">
        <v>28</v>
      </c>
      <c r="G40" s="15" t="s">
        <v>29</v>
      </c>
      <c r="H40" s="16">
        <v>-57403.73</v>
      </c>
      <c r="I40" s="15" t="s">
        <v>30</v>
      </c>
      <c r="J40" s="15" t="s">
        <v>34</v>
      </c>
      <c r="K40" s="17">
        <v>45658</v>
      </c>
      <c r="L40" s="18">
        <f t="shared" si="3"/>
        <v>-5740.3730000000005</v>
      </c>
      <c r="M40" s="19">
        <f t="shared" si="1"/>
        <v>-51663.357000000004</v>
      </c>
      <c r="N40" s="15">
        <v>1</v>
      </c>
      <c r="O40">
        <v>3224000002</v>
      </c>
    </row>
    <row r="41" spans="1:23" x14ac:dyDescent="0.25">
      <c r="A41" s="3" t="s">
        <v>126</v>
      </c>
      <c r="B41" s="3" t="s">
        <v>24</v>
      </c>
      <c r="C41" s="3" t="s">
        <v>93</v>
      </c>
      <c r="D41" s="3" t="s">
        <v>127</v>
      </c>
      <c r="E41" s="3" t="s">
        <v>95</v>
      </c>
      <c r="F41" s="3" t="s">
        <v>28</v>
      </c>
      <c r="G41" s="3" t="s">
        <v>29</v>
      </c>
      <c r="H41" s="8">
        <v>-3200.16</v>
      </c>
      <c r="I41" s="3" t="s">
        <v>30</v>
      </c>
      <c r="J41" s="3" t="s">
        <v>67</v>
      </c>
      <c r="K41" s="9">
        <v>45658</v>
      </c>
      <c r="L41" s="10">
        <f t="shared" si="3"/>
        <v>-320.01599999999996</v>
      </c>
      <c r="M41" s="11">
        <f t="shared" si="1"/>
        <v>-2880.1439999999998</v>
      </c>
    </row>
    <row r="42" spans="1:23" x14ac:dyDescent="0.25">
      <c r="A42" s="3" t="s">
        <v>128</v>
      </c>
      <c r="B42" s="3" t="s">
        <v>24</v>
      </c>
      <c r="C42" s="3" t="s">
        <v>93</v>
      </c>
      <c r="D42" s="3" t="s">
        <v>129</v>
      </c>
      <c r="E42" s="3" t="s">
        <v>95</v>
      </c>
      <c r="F42" s="3" t="s">
        <v>28</v>
      </c>
      <c r="G42" s="3" t="s">
        <v>29</v>
      </c>
      <c r="H42" s="8">
        <v>-2611.4499999999998</v>
      </c>
      <c r="I42" s="3" t="s">
        <v>30</v>
      </c>
      <c r="J42" s="3" t="s">
        <v>67</v>
      </c>
      <c r="K42" s="9">
        <v>45658</v>
      </c>
      <c r="L42" s="10">
        <f t="shared" si="3"/>
        <v>-261.14499999999998</v>
      </c>
      <c r="M42" s="11">
        <f t="shared" si="1"/>
        <v>-2350.3049999999998</v>
      </c>
    </row>
    <row r="43" spans="1:23" x14ac:dyDescent="0.25">
      <c r="A43" s="3" t="s">
        <v>130</v>
      </c>
      <c r="B43" s="3" t="s">
        <v>24</v>
      </c>
      <c r="C43" s="3" t="s">
        <v>93</v>
      </c>
      <c r="D43" s="3" t="s">
        <v>131</v>
      </c>
      <c r="E43" s="3" t="s">
        <v>95</v>
      </c>
      <c r="F43" s="3" t="s">
        <v>28</v>
      </c>
      <c r="G43" s="3" t="s">
        <v>29</v>
      </c>
      <c r="H43" s="8">
        <v>-3783.79</v>
      </c>
      <c r="I43" s="3" t="s">
        <v>30</v>
      </c>
      <c r="J43" s="3" t="s">
        <v>67</v>
      </c>
      <c r="K43" s="9">
        <v>45658</v>
      </c>
      <c r="L43" s="10">
        <f t="shared" si="3"/>
        <v>-378.37900000000002</v>
      </c>
      <c r="M43" s="11">
        <f t="shared" si="1"/>
        <v>-3405.4110000000001</v>
      </c>
    </row>
    <row r="44" spans="1:23" x14ac:dyDescent="0.25">
      <c r="A44" s="3" t="s">
        <v>132</v>
      </c>
      <c r="B44" s="3" t="s">
        <v>24</v>
      </c>
      <c r="C44" s="3" t="s">
        <v>93</v>
      </c>
      <c r="D44" s="3" t="s">
        <v>133</v>
      </c>
      <c r="E44" s="3" t="s">
        <v>95</v>
      </c>
      <c r="F44" s="3" t="s">
        <v>28</v>
      </c>
      <c r="G44" s="3" t="s">
        <v>29</v>
      </c>
      <c r="H44" s="8">
        <v>-14293.22</v>
      </c>
      <c r="I44" s="3" t="s">
        <v>30</v>
      </c>
      <c r="J44" s="3" t="s">
        <v>34</v>
      </c>
      <c r="K44" s="9">
        <v>45658</v>
      </c>
      <c r="L44" s="10">
        <f t="shared" si="3"/>
        <v>-1429.3219999999999</v>
      </c>
      <c r="M44" s="11">
        <f t="shared" si="1"/>
        <v>-12863.897999999999</v>
      </c>
    </row>
    <row r="45" spans="1:23" x14ac:dyDescent="0.25">
      <c r="A45" s="3" t="s">
        <v>134</v>
      </c>
      <c r="B45" s="3" t="s">
        <v>24</v>
      </c>
      <c r="C45" s="3" t="s">
        <v>135</v>
      </c>
      <c r="D45" s="3" t="s">
        <v>136</v>
      </c>
      <c r="E45" s="3" t="s">
        <v>137</v>
      </c>
      <c r="F45" s="3" t="s">
        <v>28</v>
      </c>
      <c r="G45" s="3" t="s">
        <v>29</v>
      </c>
      <c r="H45" s="3">
        <v>-645.62</v>
      </c>
      <c r="I45" s="3" t="s">
        <v>30</v>
      </c>
      <c r="J45" s="3" t="s">
        <v>53</v>
      </c>
      <c r="K45" s="9">
        <v>45877</v>
      </c>
      <c r="L45" s="10">
        <v>-215.2</v>
      </c>
      <c r="M45" s="11">
        <f t="shared" si="1"/>
        <v>-430.42</v>
      </c>
    </row>
    <row r="46" spans="1:23" x14ac:dyDescent="0.25">
      <c r="A46" s="3" t="s">
        <v>138</v>
      </c>
      <c r="B46" s="3" t="s">
        <v>24</v>
      </c>
      <c r="C46" s="3" t="s">
        <v>135</v>
      </c>
      <c r="D46" s="3" t="s">
        <v>139</v>
      </c>
      <c r="E46" s="3" t="s">
        <v>137</v>
      </c>
      <c r="F46" s="3" t="s">
        <v>28</v>
      </c>
      <c r="G46" s="3" t="s">
        <v>29</v>
      </c>
      <c r="H46" s="8">
        <v>-2222.48</v>
      </c>
      <c r="I46" s="3" t="s">
        <v>30</v>
      </c>
      <c r="J46" s="3" t="s">
        <v>50</v>
      </c>
      <c r="K46" s="9">
        <v>45658</v>
      </c>
      <c r="L46" s="10">
        <f t="shared" ref="L46:L51" si="4">+H46/10</f>
        <v>-222.24799999999999</v>
      </c>
      <c r="M46" s="11">
        <f t="shared" si="1"/>
        <v>-2000.232</v>
      </c>
    </row>
    <row r="47" spans="1:23" x14ac:dyDescent="0.25">
      <c r="A47" s="3" t="s">
        <v>140</v>
      </c>
      <c r="B47" s="3" t="s">
        <v>24</v>
      </c>
      <c r="C47" s="3" t="s">
        <v>135</v>
      </c>
      <c r="D47" s="3" t="s">
        <v>141</v>
      </c>
      <c r="E47" s="3" t="s">
        <v>137</v>
      </c>
      <c r="F47" s="3" t="s">
        <v>28</v>
      </c>
      <c r="G47" s="3" t="s">
        <v>29</v>
      </c>
      <c r="H47" s="8">
        <v>-5790.48</v>
      </c>
      <c r="I47" s="3" t="s">
        <v>30</v>
      </c>
      <c r="J47" s="3" t="s">
        <v>50</v>
      </c>
      <c r="K47" s="9">
        <v>45658</v>
      </c>
      <c r="L47" s="10">
        <f t="shared" si="4"/>
        <v>-579.048</v>
      </c>
      <c r="M47" s="11">
        <f t="shared" si="1"/>
        <v>-5211.4319999999998</v>
      </c>
    </row>
    <row r="48" spans="1:23" x14ac:dyDescent="0.25">
      <c r="A48" s="3" t="s">
        <v>142</v>
      </c>
      <c r="B48" s="3" t="s">
        <v>24</v>
      </c>
      <c r="C48" s="3" t="s">
        <v>135</v>
      </c>
      <c r="D48" s="3" t="s">
        <v>143</v>
      </c>
      <c r="E48" s="3" t="s">
        <v>137</v>
      </c>
      <c r="F48" s="3" t="s">
        <v>28</v>
      </c>
      <c r="G48" s="3" t="s">
        <v>29</v>
      </c>
      <c r="H48" s="8">
        <v>-7408.96</v>
      </c>
      <c r="I48" s="3" t="s">
        <v>30</v>
      </c>
      <c r="J48" s="3" t="s">
        <v>50</v>
      </c>
      <c r="K48" s="9">
        <v>45658</v>
      </c>
      <c r="L48" s="10">
        <f t="shared" si="4"/>
        <v>-740.89599999999996</v>
      </c>
      <c r="M48" s="11">
        <f t="shared" si="1"/>
        <v>-6668.0640000000003</v>
      </c>
    </row>
    <row r="49" spans="1:13" x14ac:dyDescent="0.25">
      <c r="A49" s="3" t="s">
        <v>144</v>
      </c>
      <c r="B49" s="3" t="s">
        <v>24</v>
      </c>
      <c r="C49" s="3" t="s">
        <v>135</v>
      </c>
      <c r="D49" s="3" t="s">
        <v>145</v>
      </c>
      <c r="E49" s="3" t="s">
        <v>137</v>
      </c>
      <c r="F49" s="3" t="s">
        <v>28</v>
      </c>
      <c r="G49" s="3" t="s">
        <v>29</v>
      </c>
      <c r="H49" s="8">
        <v>-5761.66</v>
      </c>
      <c r="I49" s="3" t="s">
        <v>30</v>
      </c>
      <c r="J49" s="3" t="s">
        <v>50</v>
      </c>
      <c r="K49" s="9">
        <v>45658</v>
      </c>
      <c r="L49" s="10">
        <f t="shared" si="4"/>
        <v>-576.16599999999994</v>
      </c>
      <c r="M49" s="11">
        <f t="shared" si="1"/>
        <v>-5185.4939999999997</v>
      </c>
    </row>
    <row r="50" spans="1:13" x14ac:dyDescent="0.25">
      <c r="A50" s="3" t="s">
        <v>146</v>
      </c>
      <c r="B50" s="3" t="s">
        <v>24</v>
      </c>
      <c r="C50" s="3" t="s">
        <v>135</v>
      </c>
      <c r="D50" s="3" t="s">
        <v>147</v>
      </c>
      <c r="E50" s="3" t="s">
        <v>137</v>
      </c>
      <c r="F50" s="3" t="s">
        <v>28</v>
      </c>
      <c r="G50" s="3" t="s">
        <v>29</v>
      </c>
      <c r="H50" s="3">
        <v>-250.78</v>
      </c>
      <c r="I50" s="3" t="s">
        <v>30</v>
      </c>
      <c r="J50" s="3" t="s">
        <v>56</v>
      </c>
      <c r="K50" s="9">
        <v>45658</v>
      </c>
      <c r="L50" s="10">
        <f t="shared" si="4"/>
        <v>-25.077999999999999</v>
      </c>
      <c r="M50" s="11">
        <f t="shared" si="1"/>
        <v>-225.702</v>
      </c>
    </row>
    <row r="51" spans="1:13" x14ac:dyDescent="0.25">
      <c r="A51" s="3" t="s">
        <v>148</v>
      </c>
      <c r="B51" s="3" t="s">
        <v>24</v>
      </c>
      <c r="C51" s="3" t="s">
        <v>135</v>
      </c>
      <c r="D51" s="3" t="s">
        <v>149</v>
      </c>
      <c r="E51" s="3" t="s">
        <v>137</v>
      </c>
      <c r="F51" s="3" t="s">
        <v>28</v>
      </c>
      <c r="G51" s="3" t="s">
        <v>29</v>
      </c>
      <c r="H51" s="3">
        <v>-441.93</v>
      </c>
      <c r="I51" s="3" t="s">
        <v>30</v>
      </c>
      <c r="J51" s="3" t="s">
        <v>53</v>
      </c>
      <c r="K51" s="9">
        <v>45658</v>
      </c>
      <c r="L51" s="10">
        <f t="shared" si="4"/>
        <v>-44.192999999999998</v>
      </c>
      <c r="M51" s="11">
        <f t="shared" si="1"/>
        <v>-397.73700000000002</v>
      </c>
    </row>
    <row r="52" spans="1:13" x14ac:dyDescent="0.25">
      <c r="A52" s="3" t="s">
        <v>150</v>
      </c>
      <c r="B52" s="3" t="s">
        <v>24</v>
      </c>
      <c r="C52" s="3" t="s">
        <v>135</v>
      </c>
      <c r="D52" s="3" t="s">
        <v>151</v>
      </c>
      <c r="E52" s="3" t="s">
        <v>137</v>
      </c>
      <c r="F52" s="3" t="s">
        <v>28</v>
      </c>
      <c r="G52" s="3" t="s">
        <v>29</v>
      </c>
      <c r="H52" s="3">
        <v>-373.58</v>
      </c>
      <c r="I52" s="3" t="s">
        <v>30</v>
      </c>
      <c r="J52" s="3" t="s">
        <v>47</v>
      </c>
      <c r="K52" s="9">
        <v>45778</v>
      </c>
      <c r="L52" s="10">
        <v>-62.27</v>
      </c>
      <c r="M52" s="11">
        <f t="shared" si="1"/>
        <v>-311.31</v>
      </c>
    </row>
    <row r="53" spans="1:13" x14ac:dyDescent="0.25">
      <c r="A53" s="3" t="s">
        <v>152</v>
      </c>
      <c r="B53" s="3" t="s">
        <v>24</v>
      </c>
      <c r="C53" s="3" t="s">
        <v>135</v>
      </c>
      <c r="D53" s="3" t="s">
        <v>153</v>
      </c>
      <c r="E53" s="3" t="s">
        <v>137</v>
      </c>
      <c r="F53" s="3" t="s">
        <v>28</v>
      </c>
      <c r="G53" s="3" t="s">
        <v>29</v>
      </c>
      <c r="H53" s="8">
        <v>-4856.21</v>
      </c>
      <c r="I53" s="3" t="s">
        <v>30</v>
      </c>
      <c r="J53" s="3" t="s">
        <v>47</v>
      </c>
      <c r="K53" s="9">
        <v>45809</v>
      </c>
      <c r="L53" s="10">
        <v>-971.25</v>
      </c>
      <c r="M53" s="11">
        <f t="shared" si="1"/>
        <v>-3884.96</v>
      </c>
    </row>
    <row r="54" spans="1:13" x14ac:dyDescent="0.25">
      <c r="A54" s="3" t="s">
        <v>154</v>
      </c>
      <c r="B54" s="3" t="s">
        <v>24</v>
      </c>
      <c r="C54" s="3" t="s">
        <v>135</v>
      </c>
      <c r="D54" s="3" t="s">
        <v>155</v>
      </c>
      <c r="E54" s="3" t="s">
        <v>137</v>
      </c>
      <c r="F54" s="3" t="s">
        <v>28</v>
      </c>
      <c r="G54" s="3" t="s">
        <v>29</v>
      </c>
      <c r="H54" s="8">
        <v>-4030.89</v>
      </c>
      <c r="I54" s="3" t="s">
        <v>30</v>
      </c>
      <c r="J54" s="3" t="s">
        <v>47</v>
      </c>
      <c r="K54" s="9">
        <v>45809</v>
      </c>
      <c r="L54" s="10">
        <v>-806.18</v>
      </c>
      <c r="M54" s="11">
        <f t="shared" si="1"/>
        <v>-3224.71</v>
      </c>
    </row>
    <row r="55" spans="1:13" x14ac:dyDescent="0.25">
      <c r="A55" s="3" t="s">
        <v>156</v>
      </c>
      <c r="B55" s="3" t="s">
        <v>24</v>
      </c>
      <c r="C55" s="3" t="s">
        <v>135</v>
      </c>
      <c r="D55" s="3" t="s">
        <v>157</v>
      </c>
      <c r="E55" s="3" t="s">
        <v>137</v>
      </c>
      <c r="F55" s="3" t="s">
        <v>28</v>
      </c>
      <c r="G55" s="3" t="s">
        <v>29</v>
      </c>
      <c r="H55" s="3">
        <v>-110.27</v>
      </c>
      <c r="I55" s="3" t="s">
        <v>30</v>
      </c>
      <c r="J55" s="3" t="s">
        <v>70</v>
      </c>
      <c r="K55" s="9">
        <v>45848</v>
      </c>
      <c r="L55" s="10">
        <v>-27.56</v>
      </c>
      <c r="M55" s="11">
        <f t="shared" si="1"/>
        <v>-82.71</v>
      </c>
    </row>
    <row r="56" spans="1:13" x14ac:dyDescent="0.25">
      <c r="A56" s="3" t="s">
        <v>158</v>
      </c>
      <c r="B56" s="3" t="s">
        <v>24</v>
      </c>
      <c r="C56" s="3" t="s">
        <v>135</v>
      </c>
      <c r="D56" s="3" t="s">
        <v>159</v>
      </c>
      <c r="E56" s="3" t="s">
        <v>137</v>
      </c>
      <c r="F56" s="3" t="s">
        <v>28</v>
      </c>
      <c r="G56" s="3" t="s">
        <v>29</v>
      </c>
      <c r="H56" s="8">
        <v>-13227.74</v>
      </c>
      <c r="I56" s="3" t="s">
        <v>30</v>
      </c>
      <c r="J56" s="3" t="s">
        <v>70</v>
      </c>
      <c r="K56" s="9">
        <v>45748</v>
      </c>
      <c r="L56" s="10">
        <v>-1889.68</v>
      </c>
      <c r="M56" s="11">
        <f t="shared" si="1"/>
        <v>-11338.06</v>
      </c>
    </row>
    <row r="57" spans="1:13" x14ac:dyDescent="0.25">
      <c r="A57" s="3" t="s">
        <v>160</v>
      </c>
      <c r="B57" s="3" t="s">
        <v>24</v>
      </c>
      <c r="C57" s="3" t="s">
        <v>135</v>
      </c>
      <c r="D57" s="3" t="s">
        <v>161</v>
      </c>
      <c r="E57" s="3" t="s">
        <v>137</v>
      </c>
      <c r="F57" s="3" t="s">
        <v>28</v>
      </c>
      <c r="G57" s="3" t="s">
        <v>29</v>
      </c>
      <c r="H57" s="3">
        <v>-163.66999999999999</v>
      </c>
      <c r="I57" s="3" t="s">
        <v>30</v>
      </c>
      <c r="J57" s="3" t="s">
        <v>70</v>
      </c>
      <c r="K57" s="9">
        <v>45689</v>
      </c>
      <c r="L57" s="10">
        <v>-18.18</v>
      </c>
      <c r="M57" s="11">
        <f t="shared" si="1"/>
        <v>-145.48999999999998</v>
      </c>
    </row>
    <row r="58" spans="1:13" x14ac:dyDescent="0.25">
      <c r="A58" s="3" t="s">
        <v>162</v>
      </c>
      <c r="B58" s="3" t="s">
        <v>24</v>
      </c>
      <c r="C58" s="3" t="s">
        <v>135</v>
      </c>
      <c r="D58" s="3" t="s">
        <v>163</v>
      </c>
      <c r="E58" s="3" t="s">
        <v>137</v>
      </c>
      <c r="F58" s="3" t="s">
        <v>28</v>
      </c>
      <c r="G58" s="3" t="s">
        <v>29</v>
      </c>
      <c r="H58" s="8">
        <v>-3405.66</v>
      </c>
      <c r="I58" s="3" t="s">
        <v>30</v>
      </c>
      <c r="J58" s="3" t="s">
        <v>76</v>
      </c>
      <c r="K58" s="9">
        <v>45698</v>
      </c>
      <c r="L58" s="10">
        <v>-378.4</v>
      </c>
      <c r="M58" s="11">
        <f t="shared" si="1"/>
        <v>-3027.2599999999998</v>
      </c>
    </row>
    <row r="59" spans="1:13" x14ac:dyDescent="0.25">
      <c r="A59" s="3" t="s">
        <v>164</v>
      </c>
      <c r="B59" s="3" t="s">
        <v>24</v>
      </c>
      <c r="C59" s="3" t="s">
        <v>135</v>
      </c>
      <c r="D59" s="3" t="s">
        <v>165</v>
      </c>
      <c r="E59" s="3" t="s">
        <v>137</v>
      </c>
      <c r="F59" s="3" t="s">
        <v>28</v>
      </c>
      <c r="G59" s="3" t="s">
        <v>29</v>
      </c>
      <c r="H59" s="8">
        <v>-2070.89</v>
      </c>
      <c r="I59" s="3" t="s">
        <v>30</v>
      </c>
      <c r="J59" s="3" t="s">
        <v>64</v>
      </c>
      <c r="K59" s="9">
        <v>45695</v>
      </c>
      <c r="L59" s="10">
        <v>-230.1</v>
      </c>
      <c r="M59" s="11">
        <f t="shared" si="1"/>
        <v>-1840.79</v>
      </c>
    </row>
    <row r="60" spans="1:13" x14ac:dyDescent="0.25">
      <c r="A60" s="3" t="s">
        <v>166</v>
      </c>
      <c r="B60" s="3" t="s">
        <v>24</v>
      </c>
      <c r="C60" s="3" t="s">
        <v>135</v>
      </c>
      <c r="D60" s="3" t="s">
        <v>167</v>
      </c>
      <c r="E60" s="3" t="s">
        <v>137</v>
      </c>
      <c r="F60" s="3" t="s">
        <v>28</v>
      </c>
      <c r="G60" s="3" t="s">
        <v>29</v>
      </c>
      <c r="H60" s="8">
        <v>-7599.61</v>
      </c>
      <c r="I60" s="3" t="s">
        <v>30</v>
      </c>
      <c r="J60" s="3" t="s">
        <v>64</v>
      </c>
      <c r="K60" s="9">
        <v>45706</v>
      </c>
      <c r="L60" s="10">
        <v>-844.4</v>
      </c>
      <c r="M60" s="11">
        <f t="shared" si="1"/>
        <v>-6755.21</v>
      </c>
    </row>
    <row r="61" spans="1:13" x14ac:dyDescent="0.25">
      <c r="A61" s="3" t="s">
        <v>168</v>
      </c>
      <c r="B61" s="3" t="s">
        <v>24</v>
      </c>
      <c r="C61" s="3" t="s">
        <v>135</v>
      </c>
      <c r="D61" s="3" t="s">
        <v>169</v>
      </c>
      <c r="E61" s="3" t="s">
        <v>137</v>
      </c>
      <c r="F61" s="3" t="s">
        <v>28</v>
      </c>
      <c r="G61" s="3" t="s">
        <v>29</v>
      </c>
      <c r="H61" s="8">
        <v>-4877.59</v>
      </c>
      <c r="I61" s="3" t="s">
        <v>30</v>
      </c>
      <c r="J61" s="3" t="s">
        <v>61</v>
      </c>
      <c r="K61" s="9">
        <v>45869</v>
      </c>
      <c r="L61" s="10">
        <v>-1219.4000000000001</v>
      </c>
      <c r="M61" s="11">
        <f t="shared" si="1"/>
        <v>-3658.19</v>
      </c>
    </row>
    <row r="62" spans="1:13" x14ac:dyDescent="0.25">
      <c r="A62" s="3" t="s">
        <v>170</v>
      </c>
      <c r="B62" s="3" t="s">
        <v>24</v>
      </c>
      <c r="C62" s="3" t="s">
        <v>135</v>
      </c>
      <c r="D62" s="3" t="s">
        <v>171</v>
      </c>
      <c r="E62" s="3" t="s">
        <v>137</v>
      </c>
      <c r="F62" s="3" t="s">
        <v>28</v>
      </c>
      <c r="G62" s="3" t="s">
        <v>29</v>
      </c>
      <c r="H62" s="3">
        <v>-783.85</v>
      </c>
      <c r="I62" s="3" t="s">
        <v>30</v>
      </c>
      <c r="J62" s="3" t="s">
        <v>40</v>
      </c>
      <c r="K62" s="9">
        <v>45809</v>
      </c>
      <c r="L62" s="10">
        <v>-156.77000000000001</v>
      </c>
      <c r="M62" s="11">
        <f t="shared" si="1"/>
        <v>-627.08000000000004</v>
      </c>
    </row>
    <row r="63" spans="1:13" x14ac:dyDescent="0.25">
      <c r="A63" s="3" t="s">
        <v>172</v>
      </c>
      <c r="B63" s="3" t="s">
        <v>24</v>
      </c>
      <c r="C63" s="3" t="s">
        <v>173</v>
      </c>
      <c r="D63" s="3" t="s">
        <v>174</v>
      </c>
      <c r="E63" s="3" t="s">
        <v>175</v>
      </c>
      <c r="F63" s="3" t="s">
        <v>28</v>
      </c>
      <c r="G63" s="3" t="s">
        <v>29</v>
      </c>
      <c r="H63" s="8">
        <v>-17134.79</v>
      </c>
      <c r="I63" s="3" t="s">
        <v>30</v>
      </c>
      <c r="J63" s="3" t="s">
        <v>31</v>
      </c>
      <c r="K63" s="9">
        <v>45658</v>
      </c>
      <c r="L63" s="10">
        <f>+H63/10</f>
        <v>-1713.479</v>
      </c>
      <c r="M63" s="11">
        <f t="shared" si="1"/>
        <v>-15421.311000000002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054M - Depreciación</vt:lpstr>
      <vt:lpstr>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Laiza Gamboa</dc:creator>
  <cp:lastModifiedBy>Jorge Luis  Laiza Gamboa</cp:lastModifiedBy>
  <dcterms:created xsi:type="dcterms:W3CDTF">2025-11-06T14:37:50Z</dcterms:created>
  <dcterms:modified xsi:type="dcterms:W3CDTF">2025-11-07T13:52:09Z</dcterms:modified>
</cp:coreProperties>
</file>