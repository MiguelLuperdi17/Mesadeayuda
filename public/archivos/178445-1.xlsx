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10. Octubre/Tablas finales/"/>
    </mc:Choice>
  </mc:AlternateContent>
  <xr:revisionPtr revIDLastSave="6" documentId="8_{30339EE5-D333-4B0F-A9D7-008B84901B30}" xr6:coauthVersionLast="47" xr6:coauthVersionMax="47" xr10:uidLastSave="{0745CEF8-3D7F-49A4-B3BB-784A03EB2636}"/>
  <bookViews>
    <workbookView xWindow="-120" yWindow="-120" windowWidth="29040" windowHeight="15720" xr2:uid="{0A5038E6-2C3E-4FD6-8971-E8F08B1F543C}"/>
  </bookViews>
  <sheets>
    <sheet name="059M - Mano de obra PIMS" sheetId="1" r:id="rId1"/>
    <sheet name="SAP" sheetId="2" r:id="rId2"/>
    <sheet name="INf. RRHH" sheetId="3" r:id="rId3"/>
    <sheet name="SAP (1)" sheetId="4" r:id="rId4"/>
    <sheet name="Asiento S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5" l="1"/>
  <c r="E66" i="5"/>
  <c r="E59" i="5"/>
  <c r="E58" i="5"/>
  <c r="E51" i="5"/>
  <c r="E50" i="5"/>
  <c r="E43" i="5"/>
  <c r="E42" i="5"/>
  <c r="E35" i="5"/>
  <c r="E34" i="5"/>
  <c r="E27" i="5"/>
  <c r="E26" i="5"/>
  <c r="E19" i="5"/>
  <c r="E18" i="5"/>
  <c r="E11" i="5"/>
  <c r="E10" i="5"/>
  <c r="E3" i="5"/>
  <c r="D12" i="5"/>
  <c r="D11" i="5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5" i="4"/>
  <c r="Z543" i="4"/>
  <c r="Z551" i="4"/>
  <c r="Z559" i="4"/>
  <c r="Z567" i="4"/>
  <c r="Z575" i="4"/>
  <c r="Z582" i="4"/>
  <c r="Z583" i="4"/>
  <c r="Z591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Y593" i="4"/>
  <c r="Z593" i="4" s="1"/>
  <c r="Y592" i="4"/>
  <c r="E65" i="5" s="1"/>
  <c r="Y591" i="4"/>
  <c r="E64" i="5" s="1"/>
  <c r="Y590" i="4"/>
  <c r="Y589" i="4"/>
  <c r="Y588" i="4"/>
  <c r="E61" i="5" s="1"/>
  <c r="Y587" i="4"/>
  <c r="Z587" i="4" s="1"/>
  <c r="Y586" i="4"/>
  <c r="Z586" i="4" s="1"/>
  <c r="Y585" i="4"/>
  <c r="Z585" i="4" s="1"/>
  <c r="Y584" i="4"/>
  <c r="E57" i="5" s="1"/>
  <c r="Y583" i="4"/>
  <c r="E56" i="5" s="1"/>
  <c r="Y582" i="4"/>
  <c r="E55" i="5" s="1"/>
  <c r="Y581" i="4"/>
  <c r="Y580" i="4"/>
  <c r="E53" i="5" s="1"/>
  <c r="Y579" i="4"/>
  <c r="Z579" i="4" s="1"/>
  <c r="Y578" i="4"/>
  <c r="Z578" i="4" s="1"/>
  <c r="Y577" i="4"/>
  <c r="Z577" i="4" s="1"/>
  <c r="Y576" i="4"/>
  <c r="E49" i="5" s="1"/>
  <c r="Y575" i="4"/>
  <c r="E48" i="5" s="1"/>
  <c r="Y574" i="4"/>
  <c r="Y573" i="4"/>
  <c r="Y572" i="4"/>
  <c r="E45" i="5" s="1"/>
  <c r="Y571" i="4"/>
  <c r="Z571" i="4" s="1"/>
  <c r="Y570" i="4"/>
  <c r="Z570" i="4" s="1"/>
  <c r="Y569" i="4"/>
  <c r="Z569" i="4" s="1"/>
  <c r="Y568" i="4"/>
  <c r="E41" i="5" s="1"/>
  <c r="Y567" i="4"/>
  <c r="E40" i="5" s="1"/>
  <c r="Y566" i="4"/>
  <c r="Y565" i="4"/>
  <c r="Y564" i="4"/>
  <c r="E37" i="5" s="1"/>
  <c r="Y563" i="4"/>
  <c r="Z563" i="4" s="1"/>
  <c r="Y562" i="4"/>
  <c r="Z562" i="4" s="1"/>
  <c r="Y561" i="4"/>
  <c r="Z561" i="4" s="1"/>
  <c r="Y560" i="4"/>
  <c r="E33" i="5" s="1"/>
  <c r="Y559" i="4"/>
  <c r="E32" i="5" s="1"/>
  <c r="Y558" i="4"/>
  <c r="Y557" i="4"/>
  <c r="Y556" i="4"/>
  <c r="E29" i="5" s="1"/>
  <c r="Y555" i="4"/>
  <c r="Z555" i="4" s="1"/>
  <c r="Y554" i="4"/>
  <c r="Z554" i="4" s="1"/>
  <c r="Y553" i="4"/>
  <c r="Z553" i="4" s="1"/>
  <c r="Y552" i="4"/>
  <c r="E25" i="5" s="1"/>
  <c r="Y551" i="4"/>
  <c r="E24" i="5" s="1"/>
  <c r="Y550" i="4"/>
  <c r="E23" i="5" s="1"/>
  <c r="Y549" i="4"/>
  <c r="Y548" i="4"/>
  <c r="E21" i="5" s="1"/>
  <c r="Y547" i="4"/>
  <c r="Z547" i="4" s="1"/>
  <c r="Y546" i="4"/>
  <c r="Z546" i="4" s="1"/>
  <c r="Y545" i="4"/>
  <c r="Z545" i="4" s="1"/>
  <c r="Y544" i="4"/>
  <c r="E17" i="5" s="1"/>
  <c r="Y543" i="4"/>
  <c r="E16" i="5" s="1"/>
  <c r="Y542" i="4"/>
  <c r="Y541" i="4"/>
  <c r="Y540" i="4"/>
  <c r="E13" i="5" s="1"/>
  <c r="Y539" i="4"/>
  <c r="Z539" i="4" s="1"/>
  <c r="Y538" i="4"/>
  <c r="Z538" i="4" s="1"/>
  <c r="Y537" i="4"/>
  <c r="Z537" i="4" s="1"/>
  <c r="Y536" i="4"/>
  <c r="E9" i="5" s="1"/>
  <c r="Y535" i="4"/>
  <c r="E8" i="5" s="1"/>
  <c r="Y534" i="4"/>
  <c r="Y533" i="4"/>
  <c r="Y532" i="4"/>
  <c r="E5" i="5" s="1"/>
  <c r="Y531" i="4"/>
  <c r="Z531" i="4" s="1"/>
  <c r="Y530" i="4"/>
  <c r="Y594" i="4"/>
  <c r="Z594" i="4" s="1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46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T546" i="4"/>
  <c r="Q589" i="4"/>
  <c r="Q594" i="4"/>
  <c r="Q593" i="4"/>
  <c r="Q592" i="4"/>
  <c r="Q591" i="4"/>
  <c r="Q590" i="4"/>
  <c r="R589" i="4"/>
  <c r="Q588" i="4"/>
  <c r="Q587" i="4"/>
  <c r="Q586" i="4"/>
  <c r="D59" i="5" s="1"/>
  <c r="Q585" i="4"/>
  <c r="D58" i="5" s="1"/>
  <c r="Q584" i="4"/>
  <c r="Q583" i="4"/>
  <c r="Q582" i="4"/>
  <c r="Q581" i="4"/>
  <c r="Q580" i="4"/>
  <c r="Q579" i="4"/>
  <c r="Q578" i="4"/>
  <c r="D51" i="5" s="1"/>
  <c r="Q577" i="4"/>
  <c r="Q576" i="4"/>
  <c r="Q575" i="4"/>
  <c r="Q574" i="4"/>
  <c r="Q573" i="4"/>
  <c r="Q572" i="4"/>
  <c r="Q571" i="4"/>
  <c r="T571" i="4" s="1"/>
  <c r="U571" i="4" s="1"/>
  <c r="Q570" i="4"/>
  <c r="T570" i="4" s="1"/>
  <c r="U570" i="4" s="1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D27" i="5" s="1"/>
  <c r="Q553" i="4"/>
  <c r="D26" i="5" s="1"/>
  <c r="Q552" i="4"/>
  <c r="Q551" i="4"/>
  <c r="Q550" i="4"/>
  <c r="Q549" i="4"/>
  <c r="Q548" i="4"/>
  <c r="Q547" i="4"/>
  <c r="Q546" i="4"/>
  <c r="D19" i="5" s="1"/>
  <c r="Q545" i="4"/>
  <c r="Q544" i="4"/>
  <c r="Q543" i="4"/>
  <c r="Q542" i="4"/>
  <c r="Q541" i="4"/>
  <c r="Q540" i="4"/>
  <c r="Q539" i="4"/>
  <c r="T539" i="4" s="1"/>
  <c r="U539" i="4" s="1"/>
  <c r="Q538" i="4"/>
  <c r="T538" i="4" s="1"/>
  <c r="U538" i="4" s="1"/>
  <c r="Q537" i="4"/>
  <c r="Q536" i="4"/>
  <c r="Q535" i="4"/>
  <c r="Q534" i="4"/>
  <c r="Q533" i="4"/>
  <c r="Q532" i="4"/>
  <c r="Q531" i="4"/>
  <c r="Q530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70" i="4"/>
  <c r="R869" i="4"/>
  <c r="R868" i="4"/>
  <c r="R867" i="4"/>
  <c r="R866" i="4"/>
  <c r="R865" i="4"/>
  <c r="R864" i="4"/>
  <c r="R863" i="4"/>
  <c r="R862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31" i="4"/>
  <c r="R830" i="4"/>
  <c r="R829" i="4"/>
  <c r="R828" i="4"/>
  <c r="R827" i="4"/>
  <c r="R826" i="4"/>
  <c r="R825" i="4"/>
  <c r="R824" i="4"/>
  <c r="R823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92" i="4"/>
  <c r="R791" i="4"/>
  <c r="R790" i="4"/>
  <c r="R789" i="4"/>
  <c r="R788" i="4"/>
  <c r="R787" i="4"/>
  <c r="R786" i="4"/>
  <c r="R785" i="4"/>
  <c r="R784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53" i="4"/>
  <c r="R752" i="4"/>
  <c r="R751" i="4"/>
  <c r="R750" i="4"/>
  <c r="R749" i="4"/>
  <c r="R748" i="4"/>
  <c r="R747" i="4"/>
  <c r="R746" i="4"/>
  <c r="R745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14" i="4"/>
  <c r="R713" i="4"/>
  <c r="R712" i="4"/>
  <c r="R711" i="4"/>
  <c r="R710" i="4"/>
  <c r="R709" i="4"/>
  <c r="R708" i="4"/>
  <c r="R707" i="4"/>
  <c r="R706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75" i="4"/>
  <c r="R674" i="4"/>
  <c r="R673" i="4"/>
  <c r="R672" i="4"/>
  <c r="R671" i="4"/>
  <c r="R670" i="4"/>
  <c r="R669" i="4"/>
  <c r="R668" i="4"/>
  <c r="R667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R594" i="4"/>
  <c r="R593" i="4"/>
  <c r="R588" i="4"/>
  <c r="R587" i="4"/>
  <c r="R586" i="4"/>
  <c r="R585" i="4"/>
  <c r="R584" i="4"/>
  <c r="R579" i="4"/>
  <c r="R578" i="4"/>
  <c r="R577" i="4"/>
  <c r="R572" i="4"/>
  <c r="R571" i="4"/>
  <c r="R570" i="4"/>
  <c r="R569" i="4"/>
  <c r="R563" i="4"/>
  <c r="R562" i="4"/>
  <c r="R561" i="4"/>
  <c r="R556" i="4"/>
  <c r="R555" i="4"/>
  <c r="R554" i="4"/>
  <c r="R553" i="4"/>
  <c r="R547" i="4"/>
  <c r="R546" i="4"/>
  <c r="R545" i="4"/>
  <c r="R539" i="4"/>
  <c r="R538" i="4"/>
  <c r="R537" i="4"/>
  <c r="R531" i="4"/>
  <c r="R530" i="4"/>
  <c r="W899" i="4"/>
  <c r="S899" i="4"/>
  <c r="O899" i="4"/>
  <c r="L905" i="1"/>
  <c r="L1262" i="1"/>
  <c r="K1226" i="1"/>
  <c r="K1190" i="1"/>
  <c r="K1185" i="1"/>
  <c r="K1130" i="1"/>
  <c r="K897" i="1"/>
  <c r="J1273" i="1"/>
  <c r="J1272" i="1"/>
  <c r="J1271" i="1"/>
  <c r="J1270" i="1"/>
  <c r="J1269" i="1"/>
  <c r="J1268" i="1"/>
  <c r="J1267" i="1"/>
  <c r="J1266" i="1"/>
  <c r="K1266" i="1" s="1"/>
  <c r="J1265" i="1"/>
  <c r="J1264" i="1"/>
  <c r="K1264" i="1" s="1"/>
  <c r="J1263" i="1"/>
  <c r="L1263" i="1" s="1"/>
  <c r="J1262" i="1"/>
  <c r="J1261" i="1"/>
  <c r="J1260" i="1"/>
  <c r="J1259" i="1"/>
  <c r="J1258" i="1"/>
  <c r="K1258" i="1" s="1"/>
  <c r="J1257" i="1"/>
  <c r="K1257" i="1" s="1"/>
  <c r="J1256" i="1"/>
  <c r="J1255" i="1"/>
  <c r="J1254" i="1"/>
  <c r="J1253" i="1"/>
  <c r="J1252" i="1"/>
  <c r="J1251" i="1"/>
  <c r="J1250" i="1"/>
  <c r="J1249" i="1"/>
  <c r="K1249" i="1" s="1"/>
  <c r="J1248" i="1"/>
  <c r="K1248" i="1" s="1"/>
  <c r="J1247" i="1"/>
  <c r="J1246" i="1"/>
  <c r="J1245" i="1"/>
  <c r="J1244" i="1"/>
  <c r="J1243" i="1"/>
  <c r="J1242" i="1"/>
  <c r="J1241" i="1"/>
  <c r="J1240" i="1"/>
  <c r="K1240" i="1" s="1"/>
  <c r="J1239" i="1"/>
  <c r="K1239" i="1" s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K1222" i="1" s="1"/>
  <c r="J1221" i="1"/>
  <c r="J1220" i="1"/>
  <c r="J1219" i="1"/>
  <c r="J1218" i="1"/>
  <c r="J1217" i="1"/>
  <c r="L1217" i="1" s="1"/>
  <c r="J1216" i="1"/>
  <c r="J1215" i="1"/>
  <c r="L1215" i="1" s="1"/>
  <c r="J1214" i="1"/>
  <c r="J1213" i="1"/>
  <c r="J1212" i="1"/>
  <c r="J1211" i="1"/>
  <c r="J1210" i="1"/>
  <c r="J1209" i="1"/>
  <c r="K1209" i="1" s="1"/>
  <c r="J1208" i="1"/>
  <c r="K1208" i="1" s="1"/>
  <c r="J1207" i="1"/>
  <c r="J1206" i="1"/>
  <c r="J1205" i="1"/>
  <c r="J1204" i="1"/>
  <c r="J1203" i="1"/>
  <c r="K1203" i="1" s="1"/>
  <c r="J1202" i="1"/>
  <c r="K1202" i="1" s="1"/>
  <c r="J1201" i="1"/>
  <c r="L1201" i="1" s="1"/>
  <c r="J1200" i="1"/>
  <c r="J1199" i="1"/>
  <c r="J1198" i="1"/>
  <c r="J1197" i="1"/>
  <c r="J1196" i="1"/>
  <c r="J1195" i="1"/>
  <c r="J1194" i="1"/>
  <c r="K1194" i="1" s="1"/>
  <c r="J1193" i="1"/>
  <c r="K1193" i="1" s="1"/>
  <c r="J1192" i="1"/>
  <c r="L1192" i="1" s="1"/>
  <c r="J1191" i="1"/>
  <c r="K1191" i="1" s="1"/>
  <c r="J1190" i="1"/>
  <c r="J1189" i="1"/>
  <c r="J1188" i="1"/>
  <c r="J1187" i="1"/>
  <c r="J1186" i="1"/>
  <c r="J1185" i="1"/>
  <c r="J1184" i="1"/>
  <c r="K1184" i="1" s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K1167" i="1" s="1"/>
  <c r="J1166" i="1"/>
  <c r="K1166" i="1" s="1"/>
  <c r="J1165" i="1"/>
  <c r="J1164" i="1"/>
  <c r="J1163" i="1"/>
  <c r="J1162" i="1"/>
  <c r="K1162" i="1" s="1"/>
  <c r="J1161" i="1"/>
  <c r="J1160" i="1"/>
  <c r="J1159" i="1"/>
  <c r="J1158" i="1"/>
  <c r="J1157" i="1"/>
  <c r="J1156" i="1"/>
  <c r="J1155" i="1"/>
  <c r="J1154" i="1"/>
  <c r="K1154" i="1" s="1"/>
  <c r="J1153" i="1"/>
  <c r="L1153" i="1" s="1"/>
  <c r="J1152" i="1"/>
  <c r="J1151" i="1"/>
  <c r="J1150" i="1"/>
  <c r="J1149" i="1"/>
  <c r="J1148" i="1"/>
  <c r="K1148" i="1" s="1"/>
  <c r="J1147" i="1"/>
  <c r="J1146" i="1"/>
  <c r="J1145" i="1"/>
  <c r="J1144" i="1"/>
  <c r="J1143" i="1"/>
  <c r="J1142" i="1"/>
  <c r="J1141" i="1"/>
  <c r="J1140" i="1"/>
  <c r="J1139" i="1"/>
  <c r="J1138" i="1"/>
  <c r="K1138" i="1" s="1"/>
  <c r="J1137" i="1"/>
  <c r="J1136" i="1"/>
  <c r="K1136" i="1" s="1"/>
  <c r="J1135" i="1"/>
  <c r="K1135" i="1" s="1"/>
  <c r="J1134" i="1"/>
  <c r="J1133" i="1"/>
  <c r="J1132" i="1"/>
  <c r="J1131" i="1"/>
  <c r="J1130" i="1"/>
  <c r="J1129" i="1"/>
  <c r="K1129" i="1" s="1"/>
  <c r="J1128" i="1"/>
  <c r="J1127" i="1"/>
  <c r="J1126" i="1"/>
  <c r="J1125" i="1"/>
  <c r="J1124" i="1"/>
  <c r="J1123" i="1"/>
  <c r="J1122" i="1"/>
  <c r="J1121" i="1"/>
  <c r="K1121" i="1" s="1"/>
  <c r="J1120" i="1"/>
  <c r="K1120" i="1" s="1"/>
  <c r="J1119" i="1"/>
  <c r="L1119" i="1" s="1"/>
  <c r="J1118" i="1"/>
  <c r="L1118" i="1" s="1"/>
  <c r="J1117" i="1"/>
  <c r="J1116" i="1"/>
  <c r="J1115" i="1"/>
  <c r="J1114" i="1"/>
  <c r="J1113" i="1"/>
  <c r="J1112" i="1"/>
  <c r="K1112" i="1" s="1"/>
  <c r="J1111" i="1"/>
  <c r="K1111" i="1" s="1"/>
  <c r="J1110" i="1"/>
  <c r="J1109" i="1"/>
  <c r="J1108" i="1"/>
  <c r="J1107" i="1"/>
  <c r="J1106" i="1"/>
  <c r="J1105" i="1"/>
  <c r="J1104" i="1"/>
  <c r="J1103" i="1"/>
  <c r="K1103" i="1" s="1"/>
  <c r="J1102" i="1"/>
  <c r="K1102" i="1" s="1"/>
  <c r="J1101" i="1"/>
  <c r="J1100" i="1"/>
  <c r="J1099" i="1"/>
  <c r="J1098" i="1"/>
  <c r="J1097" i="1"/>
  <c r="J1096" i="1"/>
  <c r="J1095" i="1"/>
  <c r="J1094" i="1"/>
  <c r="K1094" i="1" s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K1081" i="1" s="1"/>
  <c r="J1080" i="1"/>
  <c r="K1080" i="1" s="1"/>
  <c r="J1079" i="1"/>
  <c r="L1079" i="1" s="1"/>
  <c r="J1078" i="1"/>
  <c r="J1077" i="1"/>
  <c r="J1076" i="1"/>
  <c r="J1075" i="1"/>
  <c r="K1075" i="1" s="1"/>
  <c r="J1074" i="1"/>
  <c r="J1073" i="1"/>
  <c r="J1072" i="1"/>
  <c r="J1071" i="1"/>
  <c r="J1070" i="1"/>
  <c r="J1069" i="1"/>
  <c r="J1068" i="1"/>
  <c r="J1067" i="1"/>
  <c r="J1066" i="1"/>
  <c r="J1065" i="1"/>
  <c r="K1065" i="1" s="1"/>
  <c r="J1064" i="1"/>
  <c r="J1063" i="1"/>
  <c r="K1063" i="1" s="1"/>
  <c r="J1062" i="1"/>
  <c r="K1062" i="1" s="1"/>
  <c r="J1061" i="1"/>
  <c r="L1061" i="1" s="1"/>
  <c r="J1060" i="1"/>
  <c r="J1059" i="1"/>
  <c r="J1058" i="1"/>
  <c r="J1057" i="1"/>
  <c r="K1057" i="1" s="1"/>
  <c r="J1056" i="1"/>
  <c r="K1056" i="1" s="1"/>
  <c r="J1055" i="1"/>
  <c r="J1054" i="1"/>
  <c r="J1053" i="1"/>
  <c r="J1052" i="1"/>
  <c r="J1051" i="1"/>
  <c r="J1050" i="1"/>
  <c r="J1049" i="1"/>
  <c r="J1048" i="1"/>
  <c r="K1048" i="1" s="1"/>
  <c r="J1047" i="1"/>
  <c r="K1047" i="1" s="1"/>
  <c r="J1046" i="1"/>
  <c r="J1045" i="1"/>
  <c r="L1045" i="1" s="1"/>
  <c r="J1044" i="1"/>
  <c r="J1043" i="1"/>
  <c r="J1042" i="1"/>
  <c r="J1041" i="1"/>
  <c r="J1040" i="1"/>
  <c r="J1039" i="1"/>
  <c r="K1039" i="1" s="1"/>
  <c r="J1038" i="1"/>
  <c r="K1038" i="1" s="1"/>
  <c r="J1037" i="1"/>
  <c r="J1036" i="1"/>
  <c r="J1035" i="1"/>
  <c r="J1034" i="1"/>
  <c r="J1033" i="1"/>
  <c r="J1032" i="1"/>
  <c r="J1031" i="1"/>
  <c r="J1030" i="1"/>
  <c r="K1030" i="1" s="1"/>
  <c r="J1029" i="1"/>
  <c r="J1028" i="1"/>
  <c r="J1027" i="1"/>
  <c r="J1026" i="1"/>
  <c r="J1025" i="1"/>
  <c r="K1025" i="1" s="1"/>
  <c r="J1024" i="1"/>
  <c r="J1023" i="1"/>
  <c r="J1022" i="1"/>
  <c r="J1021" i="1"/>
  <c r="J1020" i="1"/>
  <c r="K1020" i="1" s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K1008" i="1" s="1"/>
  <c r="J1007" i="1"/>
  <c r="K1007" i="1" s="1"/>
  <c r="J1006" i="1"/>
  <c r="J1005" i="1"/>
  <c r="J1004" i="1"/>
  <c r="J1003" i="1"/>
  <c r="J1002" i="1"/>
  <c r="K1002" i="1" s="1"/>
  <c r="J1001" i="1"/>
  <c r="K1001" i="1" s="1"/>
  <c r="J1000" i="1"/>
  <c r="J999" i="1"/>
  <c r="J998" i="1"/>
  <c r="J997" i="1"/>
  <c r="J996" i="1"/>
  <c r="J995" i="1"/>
  <c r="J994" i="1"/>
  <c r="J993" i="1"/>
  <c r="K993" i="1" s="1"/>
  <c r="J992" i="1"/>
  <c r="K992" i="1" s="1"/>
  <c r="J991" i="1"/>
  <c r="J990" i="1"/>
  <c r="K990" i="1" s="1"/>
  <c r="J989" i="1"/>
  <c r="J988" i="1"/>
  <c r="J987" i="1"/>
  <c r="J986" i="1"/>
  <c r="J985" i="1"/>
  <c r="J984" i="1"/>
  <c r="K984" i="1" s="1"/>
  <c r="J983" i="1"/>
  <c r="K983" i="1" s="1"/>
  <c r="J982" i="1"/>
  <c r="J981" i="1"/>
  <c r="J980" i="1"/>
  <c r="J979" i="1"/>
  <c r="J978" i="1"/>
  <c r="J977" i="1"/>
  <c r="J976" i="1"/>
  <c r="J975" i="1"/>
  <c r="K975" i="1" s="1"/>
  <c r="J974" i="1"/>
  <c r="K974" i="1" s="1"/>
  <c r="J973" i="1"/>
  <c r="J972" i="1"/>
  <c r="J971" i="1"/>
  <c r="J970" i="1"/>
  <c r="J969" i="1"/>
  <c r="J968" i="1"/>
  <c r="J967" i="1"/>
  <c r="J966" i="1"/>
  <c r="K966" i="1" s="1"/>
  <c r="J965" i="1"/>
  <c r="J964" i="1"/>
  <c r="J963" i="1"/>
  <c r="J962" i="1"/>
  <c r="J961" i="1"/>
  <c r="J960" i="1"/>
  <c r="J959" i="1"/>
  <c r="J958" i="1"/>
  <c r="J957" i="1"/>
  <c r="L957" i="1" s="1"/>
  <c r="J956" i="1"/>
  <c r="J955" i="1"/>
  <c r="J954" i="1"/>
  <c r="J953" i="1"/>
  <c r="K953" i="1" s="1"/>
  <c r="J952" i="1"/>
  <c r="K952" i="1" s="1"/>
  <c r="J951" i="1"/>
  <c r="J950" i="1"/>
  <c r="J949" i="1"/>
  <c r="J948" i="1"/>
  <c r="J947" i="1"/>
  <c r="J946" i="1"/>
  <c r="J945" i="1"/>
  <c r="L945" i="1" s="1"/>
  <c r="J944" i="1"/>
  <c r="J943" i="1"/>
  <c r="J942" i="1"/>
  <c r="J941" i="1"/>
  <c r="J940" i="1"/>
  <c r="J939" i="1"/>
  <c r="J938" i="1"/>
  <c r="J937" i="1"/>
  <c r="K937" i="1" s="1"/>
  <c r="J936" i="1"/>
  <c r="J935" i="1"/>
  <c r="K935" i="1" s="1"/>
  <c r="J934" i="1"/>
  <c r="K934" i="1" s="1"/>
  <c r="J933" i="1"/>
  <c r="J932" i="1"/>
  <c r="J931" i="1"/>
  <c r="J930" i="1"/>
  <c r="J929" i="1"/>
  <c r="K929" i="1" s="1"/>
  <c r="J928" i="1"/>
  <c r="K928" i="1" s="1"/>
  <c r="J927" i="1"/>
  <c r="J926" i="1"/>
  <c r="J925" i="1"/>
  <c r="J924" i="1"/>
  <c r="J923" i="1"/>
  <c r="J922" i="1"/>
  <c r="J921" i="1"/>
  <c r="J920" i="1"/>
  <c r="K920" i="1" s="1"/>
  <c r="J919" i="1"/>
  <c r="K919" i="1" s="1"/>
  <c r="J918" i="1"/>
  <c r="J917" i="1"/>
  <c r="J916" i="1"/>
  <c r="J915" i="1"/>
  <c r="J914" i="1"/>
  <c r="J913" i="1"/>
  <c r="J912" i="1"/>
  <c r="J911" i="1"/>
  <c r="K911" i="1" s="1"/>
  <c r="J910" i="1"/>
  <c r="K910" i="1" s="1"/>
  <c r="J909" i="1"/>
  <c r="J908" i="1"/>
  <c r="J907" i="1"/>
  <c r="J906" i="1"/>
  <c r="J905" i="1"/>
  <c r="J904" i="1"/>
  <c r="J903" i="1"/>
  <c r="J902" i="1"/>
  <c r="K902" i="1" s="1"/>
  <c r="J901" i="1"/>
  <c r="J900" i="1"/>
  <c r="J899" i="1"/>
  <c r="J898" i="1"/>
  <c r="J897" i="1"/>
  <c r="J896" i="1"/>
  <c r="J895" i="1"/>
  <c r="J894" i="1"/>
  <c r="J893" i="1"/>
  <c r="J892" i="1"/>
  <c r="K892" i="1" s="1"/>
  <c r="J891" i="1"/>
  <c r="J890" i="1"/>
  <c r="J889" i="1"/>
  <c r="J888" i="1"/>
  <c r="J887" i="1"/>
  <c r="J886" i="1"/>
  <c r="J885" i="1"/>
  <c r="J884" i="1"/>
  <c r="J883" i="1"/>
  <c r="J882" i="1"/>
  <c r="J881" i="1"/>
  <c r="J880" i="1"/>
  <c r="K880" i="1" s="1"/>
  <c r="J879" i="1"/>
  <c r="K879" i="1" s="1"/>
  <c r="J878" i="1"/>
  <c r="J877" i="1"/>
  <c r="J876" i="1"/>
  <c r="J875" i="1"/>
  <c r="J874" i="1"/>
  <c r="K874" i="1" s="1"/>
  <c r="J873" i="1"/>
  <c r="K873" i="1" s="1"/>
  <c r="J872" i="1"/>
  <c r="J871" i="1"/>
  <c r="J870" i="1"/>
  <c r="J869" i="1"/>
  <c r="J868" i="1"/>
  <c r="J867" i="1"/>
  <c r="J866" i="1"/>
  <c r="J865" i="1"/>
  <c r="K865" i="1" s="1"/>
  <c r="J864" i="1"/>
  <c r="K864" i="1" s="1"/>
  <c r="J863" i="1"/>
  <c r="J862" i="1"/>
  <c r="K862" i="1" s="1"/>
  <c r="J861" i="1"/>
  <c r="J860" i="1"/>
  <c r="J859" i="1"/>
  <c r="J858" i="1"/>
  <c r="J857" i="1"/>
  <c r="J856" i="1"/>
  <c r="K856" i="1" s="1"/>
  <c r="J855" i="1"/>
  <c r="K855" i="1" s="1"/>
  <c r="J854" i="1"/>
  <c r="J853" i="1"/>
  <c r="J852" i="1"/>
  <c r="J851" i="1"/>
  <c r="J850" i="1"/>
  <c r="J849" i="1"/>
  <c r="J848" i="1"/>
  <c r="J847" i="1"/>
  <c r="K847" i="1" s="1"/>
  <c r="J846" i="1"/>
  <c r="K846" i="1" s="1"/>
  <c r="J845" i="1"/>
  <c r="L845" i="1" s="1"/>
  <c r="J844" i="1"/>
  <c r="J843" i="1"/>
  <c r="J842" i="1"/>
  <c r="J841" i="1"/>
  <c r="J840" i="1"/>
  <c r="J839" i="1"/>
  <c r="J838" i="1"/>
  <c r="K838" i="1" s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K825" i="1" s="1"/>
  <c r="J824" i="1"/>
  <c r="K824" i="1" s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K808" i="1" s="1"/>
  <c r="J807" i="1"/>
  <c r="K807" i="1" s="1"/>
  <c r="J806" i="1"/>
  <c r="J805" i="1"/>
  <c r="J804" i="1"/>
  <c r="J803" i="1"/>
  <c r="K803" i="1" s="1"/>
  <c r="J802" i="1"/>
  <c r="J801" i="1"/>
  <c r="J800" i="1"/>
  <c r="J799" i="1"/>
  <c r="J798" i="1"/>
  <c r="J797" i="1"/>
  <c r="L797" i="1" s="1"/>
  <c r="J796" i="1"/>
  <c r="J795" i="1"/>
  <c r="J794" i="1"/>
  <c r="J793" i="1"/>
  <c r="J792" i="1"/>
  <c r="K792" i="1" s="1"/>
  <c r="J791" i="1"/>
  <c r="K791" i="1" s="1"/>
  <c r="J790" i="1"/>
  <c r="J789" i="1"/>
  <c r="J788" i="1"/>
  <c r="J787" i="1"/>
  <c r="J786" i="1"/>
  <c r="J785" i="1"/>
  <c r="J784" i="1"/>
  <c r="J783" i="1"/>
  <c r="J782" i="1"/>
  <c r="J781" i="1"/>
  <c r="L781" i="1" s="1"/>
  <c r="J780" i="1"/>
  <c r="J779" i="1"/>
  <c r="J778" i="1"/>
  <c r="J777" i="1"/>
  <c r="J776" i="1"/>
  <c r="K776" i="1" s="1"/>
  <c r="J775" i="1"/>
  <c r="K775" i="1" s="1"/>
  <c r="J774" i="1"/>
  <c r="J773" i="1"/>
  <c r="J772" i="1"/>
  <c r="J771" i="1"/>
  <c r="K771" i="1" s="1"/>
  <c r="J770" i="1"/>
  <c r="J769" i="1"/>
  <c r="J768" i="1"/>
  <c r="J767" i="1"/>
  <c r="J766" i="1"/>
  <c r="J765" i="1"/>
  <c r="J764" i="1"/>
  <c r="J763" i="1"/>
  <c r="J762" i="1"/>
  <c r="J761" i="1"/>
  <c r="J760" i="1"/>
  <c r="K760" i="1" s="1"/>
  <c r="J759" i="1"/>
  <c r="K759" i="1" s="1"/>
  <c r="J758" i="1"/>
  <c r="J757" i="1"/>
  <c r="L757" i="1" s="1"/>
  <c r="J756" i="1"/>
  <c r="J755" i="1"/>
  <c r="K755" i="1" s="1"/>
  <c r="J754" i="1"/>
  <c r="J753" i="1"/>
  <c r="J752" i="1"/>
  <c r="J751" i="1"/>
  <c r="J750" i="1"/>
  <c r="J749" i="1"/>
  <c r="J748" i="1"/>
  <c r="J747" i="1"/>
  <c r="J746" i="1"/>
  <c r="J745" i="1"/>
  <c r="J744" i="1"/>
  <c r="K744" i="1" s="1"/>
  <c r="J743" i="1"/>
  <c r="K743" i="1" s="1"/>
  <c r="J742" i="1"/>
  <c r="J741" i="1"/>
  <c r="J740" i="1"/>
  <c r="J739" i="1"/>
  <c r="J738" i="1"/>
  <c r="J737" i="1"/>
  <c r="L737" i="1" s="1"/>
  <c r="J736" i="1"/>
  <c r="J735" i="1"/>
  <c r="J734" i="1"/>
  <c r="J733" i="1"/>
  <c r="J732" i="1"/>
  <c r="J731" i="1"/>
  <c r="J730" i="1"/>
  <c r="J729" i="1"/>
  <c r="J728" i="1"/>
  <c r="K728" i="1" s="1"/>
  <c r="J727" i="1"/>
  <c r="K727" i="1" s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K712" i="1" s="1"/>
  <c r="J711" i="1"/>
  <c r="K711" i="1" s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K696" i="1" s="1"/>
  <c r="J695" i="1"/>
  <c r="K695" i="1" s="1"/>
  <c r="J694" i="1"/>
  <c r="J693" i="1"/>
  <c r="J692" i="1"/>
  <c r="J691" i="1"/>
  <c r="K691" i="1" s="1"/>
  <c r="J690" i="1"/>
  <c r="J689" i="1"/>
  <c r="J688" i="1"/>
  <c r="J687" i="1"/>
  <c r="J686" i="1"/>
  <c r="J685" i="1"/>
  <c r="J684" i="1"/>
  <c r="J683" i="1"/>
  <c r="J682" i="1"/>
  <c r="J681" i="1"/>
  <c r="J680" i="1"/>
  <c r="K680" i="1" s="1"/>
  <c r="J679" i="1"/>
  <c r="K679" i="1" s="1"/>
  <c r="J678" i="1"/>
  <c r="J677" i="1"/>
  <c r="J676" i="1"/>
  <c r="J675" i="1"/>
  <c r="K675" i="1" s="1"/>
  <c r="J674" i="1"/>
  <c r="J673" i="1"/>
  <c r="J672" i="1"/>
  <c r="J671" i="1"/>
  <c r="J670" i="1"/>
  <c r="J669" i="1"/>
  <c r="J668" i="1"/>
  <c r="J667" i="1"/>
  <c r="J666" i="1"/>
  <c r="J665" i="1"/>
  <c r="J664" i="1"/>
  <c r="K664" i="1" s="1"/>
  <c r="J663" i="1"/>
  <c r="K663" i="1" s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K648" i="1" s="1"/>
  <c r="J647" i="1"/>
  <c r="K647" i="1" s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K632" i="1" s="1"/>
  <c r="J631" i="1"/>
  <c r="K631" i="1" s="1"/>
  <c r="J630" i="1"/>
  <c r="J629" i="1"/>
  <c r="J628" i="1"/>
  <c r="J627" i="1"/>
  <c r="K627" i="1" s="1"/>
  <c r="J626" i="1"/>
  <c r="J625" i="1"/>
  <c r="J624" i="1"/>
  <c r="J623" i="1"/>
  <c r="J622" i="1"/>
  <c r="J621" i="1"/>
  <c r="J620" i="1"/>
  <c r="J619" i="1"/>
  <c r="J618" i="1"/>
  <c r="J617" i="1"/>
  <c r="J616" i="1"/>
  <c r="K616" i="1" s="1"/>
  <c r="J615" i="1"/>
  <c r="K615" i="1" s="1"/>
  <c r="J614" i="1"/>
  <c r="L614" i="1" s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K600" i="1" s="1"/>
  <c r="J599" i="1"/>
  <c r="K599" i="1" s="1"/>
  <c r="J598" i="1"/>
  <c r="J597" i="1"/>
  <c r="J596" i="1"/>
  <c r="J595" i="1"/>
  <c r="J594" i="1"/>
  <c r="J593" i="1"/>
  <c r="L593" i="1" s="1"/>
  <c r="J592" i="1"/>
  <c r="J591" i="1"/>
  <c r="L591" i="1" s="1"/>
  <c r="J590" i="1"/>
  <c r="J589" i="1"/>
  <c r="J588" i="1"/>
  <c r="J587" i="1"/>
  <c r="J586" i="1"/>
  <c r="J585" i="1"/>
  <c r="J584" i="1"/>
  <c r="K584" i="1" s="1"/>
  <c r="J583" i="1"/>
  <c r="K583" i="1" s="1"/>
  <c r="J582" i="1"/>
  <c r="J581" i="1"/>
  <c r="J580" i="1"/>
  <c r="J579" i="1"/>
  <c r="K579" i="1" s="1"/>
  <c r="J578" i="1"/>
  <c r="J577" i="1"/>
  <c r="J576" i="1"/>
  <c r="J575" i="1"/>
  <c r="J574" i="1"/>
  <c r="J573" i="1"/>
  <c r="J572" i="1"/>
  <c r="J571" i="1"/>
  <c r="J570" i="1"/>
  <c r="J569" i="1"/>
  <c r="J568" i="1"/>
  <c r="K568" i="1" s="1"/>
  <c r="J567" i="1"/>
  <c r="K567" i="1" s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K552" i="1" s="1"/>
  <c r="J551" i="1"/>
  <c r="K551" i="1" s="1"/>
  <c r="J550" i="1"/>
  <c r="K550" i="1" s="1"/>
  <c r="J549" i="1"/>
  <c r="J548" i="1"/>
  <c r="J547" i="1"/>
  <c r="J546" i="1"/>
  <c r="J545" i="1"/>
  <c r="J544" i="1"/>
  <c r="J543" i="1"/>
  <c r="K543" i="1" s="1"/>
  <c r="J542" i="1"/>
  <c r="K542" i="1" s="1"/>
  <c r="J541" i="1"/>
  <c r="J540" i="1"/>
  <c r="J539" i="1"/>
  <c r="J538" i="1"/>
  <c r="K538" i="1" s="1"/>
  <c r="J537" i="1"/>
  <c r="J536" i="1"/>
  <c r="K536" i="1" s="1"/>
  <c r="J535" i="1"/>
  <c r="J534" i="1"/>
  <c r="J533" i="1"/>
  <c r="J532" i="1"/>
  <c r="J531" i="1"/>
  <c r="J530" i="1"/>
  <c r="J529" i="1"/>
  <c r="J528" i="1"/>
  <c r="K528" i="1" s="1"/>
  <c r="J527" i="1"/>
  <c r="K527" i="1" s="1"/>
  <c r="J526" i="1"/>
  <c r="K526" i="1" s="1"/>
  <c r="J525" i="1"/>
  <c r="J524" i="1"/>
  <c r="J523" i="1"/>
  <c r="J522" i="1"/>
  <c r="J521" i="1"/>
  <c r="J520" i="1"/>
  <c r="K520" i="1" s="1"/>
  <c r="J519" i="1"/>
  <c r="K519" i="1" s="1"/>
  <c r="J518" i="1"/>
  <c r="K518" i="1" s="1"/>
  <c r="J517" i="1"/>
  <c r="J516" i="1"/>
  <c r="K516" i="1" s="1"/>
  <c r="J515" i="1"/>
  <c r="J514" i="1"/>
  <c r="J513" i="1"/>
  <c r="J512" i="1"/>
  <c r="J511" i="1"/>
  <c r="K511" i="1" s="1"/>
  <c r="J510" i="1"/>
  <c r="K510" i="1" s="1"/>
  <c r="J509" i="1"/>
  <c r="J508" i="1"/>
  <c r="J507" i="1"/>
  <c r="J506" i="1"/>
  <c r="J505" i="1"/>
  <c r="J504" i="1"/>
  <c r="K504" i="1" s="1"/>
  <c r="J503" i="1"/>
  <c r="J502" i="1"/>
  <c r="J501" i="1"/>
  <c r="J500" i="1"/>
  <c r="J499" i="1"/>
  <c r="J498" i="1"/>
  <c r="J497" i="1"/>
  <c r="J496" i="1"/>
  <c r="K496" i="1" s="1"/>
  <c r="J495" i="1"/>
  <c r="K495" i="1" s="1"/>
  <c r="J494" i="1"/>
  <c r="K494" i="1" s="1"/>
  <c r="J493" i="1"/>
  <c r="J492" i="1"/>
  <c r="J491" i="1"/>
  <c r="J490" i="1"/>
  <c r="J489" i="1"/>
  <c r="J488" i="1"/>
  <c r="K488" i="1" s="1"/>
  <c r="J487" i="1"/>
  <c r="K487" i="1" s="1"/>
  <c r="J486" i="1"/>
  <c r="K486" i="1" s="1"/>
  <c r="J485" i="1"/>
  <c r="J484" i="1"/>
  <c r="J483" i="1"/>
  <c r="J482" i="1"/>
  <c r="J481" i="1"/>
  <c r="L481" i="1" s="1"/>
  <c r="J480" i="1"/>
  <c r="J479" i="1"/>
  <c r="K479" i="1" s="1"/>
  <c r="J478" i="1"/>
  <c r="K478" i="1" s="1"/>
  <c r="J477" i="1"/>
  <c r="J476" i="1"/>
  <c r="J475" i="1"/>
  <c r="J474" i="1"/>
  <c r="J473" i="1"/>
  <c r="J472" i="1"/>
  <c r="K472" i="1" s="1"/>
  <c r="J471" i="1"/>
  <c r="J470" i="1"/>
  <c r="J469" i="1"/>
  <c r="J468" i="1"/>
  <c r="J467" i="1"/>
  <c r="J466" i="1"/>
  <c r="J465" i="1"/>
  <c r="J464" i="1"/>
  <c r="K464" i="1" s="1"/>
  <c r="J463" i="1"/>
  <c r="K463" i="1" s="1"/>
  <c r="J462" i="1"/>
  <c r="K462" i="1" s="1"/>
  <c r="J461" i="1"/>
  <c r="J460" i="1"/>
  <c r="J459" i="1"/>
  <c r="J458" i="1"/>
  <c r="J457" i="1"/>
  <c r="J456" i="1"/>
  <c r="K456" i="1" s="1"/>
  <c r="J455" i="1"/>
  <c r="K455" i="1" s="1"/>
  <c r="J454" i="1"/>
  <c r="K454" i="1" s="1"/>
  <c r="J453" i="1"/>
  <c r="J452" i="1"/>
  <c r="J451" i="1"/>
  <c r="J450" i="1"/>
  <c r="J449" i="1"/>
  <c r="J448" i="1"/>
  <c r="J447" i="1"/>
  <c r="K447" i="1" s="1"/>
  <c r="J446" i="1"/>
  <c r="K446" i="1" s="1"/>
  <c r="J445" i="1"/>
  <c r="J444" i="1"/>
  <c r="J443" i="1"/>
  <c r="J442" i="1"/>
  <c r="J441" i="1"/>
  <c r="J440" i="1"/>
  <c r="K440" i="1" s="1"/>
  <c r="J439" i="1"/>
  <c r="J438" i="1"/>
  <c r="J437" i="1"/>
  <c r="J436" i="1"/>
  <c r="J435" i="1"/>
  <c r="J434" i="1"/>
  <c r="J433" i="1"/>
  <c r="J432" i="1"/>
  <c r="K432" i="1" s="1"/>
  <c r="J431" i="1"/>
  <c r="K431" i="1" s="1"/>
  <c r="J430" i="1"/>
  <c r="K430" i="1" s="1"/>
  <c r="J429" i="1"/>
  <c r="J428" i="1"/>
  <c r="J427" i="1"/>
  <c r="J426" i="1"/>
  <c r="J425" i="1"/>
  <c r="J424" i="1"/>
  <c r="K424" i="1" s="1"/>
  <c r="J423" i="1"/>
  <c r="K423" i="1" s="1"/>
  <c r="J422" i="1"/>
  <c r="K422" i="1" s="1"/>
  <c r="J421" i="1"/>
  <c r="J420" i="1"/>
  <c r="J419" i="1"/>
  <c r="J418" i="1"/>
  <c r="J417" i="1"/>
  <c r="L417" i="1" s="1"/>
  <c r="J416" i="1"/>
  <c r="J415" i="1"/>
  <c r="K415" i="1" s="1"/>
  <c r="J414" i="1"/>
  <c r="K414" i="1" s="1"/>
  <c r="J413" i="1"/>
  <c r="J412" i="1"/>
  <c r="J411" i="1"/>
  <c r="J410" i="1"/>
  <c r="J409" i="1"/>
  <c r="J408" i="1"/>
  <c r="K408" i="1" s="1"/>
  <c r="J407" i="1"/>
  <c r="J406" i="1"/>
  <c r="J405" i="1"/>
  <c r="J404" i="1"/>
  <c r="J403" i="1"/>
  <c r="J402" i="1"/>
  <c r="J401" i="1"/>
  <c r="J400" i="1"/>
  <c r="K400" i="1" s="1"/>
  <c r="J399" i="1"/>
  <c r="K399" i="1" s="1"/>
  <c r="J398" i="1"/>
  <c r="K398" i="1" s="1"/>
  <c r="J397" i="1"/>
  <c r="J396" i="1"/>
  <c r="J395" i="1"/>
  <c r="J394" i="1"/>
  <c r="J393" i="1"/>
  <c r="J392" i="1"/>
  <c r="K392" i="1" s="1"/>
  <c r="J391" i="1"/>
  <c r="K391" i="1" s="1"/>
  <c r="J390" i="1"/>
  <c r="K390" i="1" s="1"/>
  <c r="J389" i="1"/>
  <c r="J388" i="1"/>
  <c r="J387" i="1"/>
  <c r="J386" i="1"/>
  <c r="J385" i="1"/>
  <c r="L385" i="1" s="1"/>
  <c r="J384" i="1"/>
  <c r="J383" i="1"/>
  <c r="K383" i="1" s="1"/>
  <c r="J382" i="1"/>
  <c r="K382" i="1" s="1"/>
  <c r="J381" i="1"/>
  <c r="J380" i="1"/>
  <c r="J379" i="1"/>
  <c r="J378" i="1"/>
  <c r="K378" i="1" s="1"/>
  <c r="J377" i="1"/>
  <c r="J376" i="1"/>
  <c r="K376" i="1" s="1"/>
  <c r="J375" i="1"/>
  <c r="J374" i="1"/>
  <c r="J373" i="1"/>
  <c r="J372" i="1"/>
  <c r="J371" i="1"/>
  <c r="J370" i="1"/>
  <c r="J369" i="1"/>
  <c r="J368" i="1"/>
  <c r="K368" i="1" s="1"/>
  <c r="J367" i="1"/>
  <c r="K367" i="1" s="1"/>
  <c r="J366" i="1"/>
  <c r="K366" i="1" s="1"/>
  <c r="J365" i="1"/>
  <c r="J364" i="1"/>
  <c r="J363" i="1"/>
  <c r="J362" i="1"/>
  <c r="J361" i="1"/>
  <c r="J360" i="1"/>
  <c r="K360" i="1" s="1"/>
  <c r="J359" i="1"/>
  <c r="K359" i="1" s="1"/>
  <c r="J358" i="1"/>
  <c r="K358" i="1" s="1"/>
  <c r="J357" i="1"/>
  <c r="J356" i="1"/>
  <c r="K356" i="1" s="1"/>
  <c r="J355" i="1"/>
  <c r="J354" i="1"/>
  <c r="J353" i="1"/>
  <c r="L353" i="1" s="1"/>
  <c r="J352" i="1"/>
  <c r="J351" i="1"/>
  <c r="K351" i="1" s="1"/>
  <c r="J350" i="1"/>
  <c r="K350" i="1" s="1"/>
  <c r="J349" i="1"/>
  <c r="J348" i="1"/>
  <c r="J347" i="1"/>
  <c r="J346" i="1"/>
  <c r="J345" i="1"/>
  <c r="J344" i="1"/>
  <c r="K344" i="1" s="1"/>
  <c r="J343" i="1"/>
  <c r="J342" i="1"/>
  <c r="J341" i="1"/>
  <c r="J340" i="1"/>
  <c r="J339" i="1"/>
  <c r="J338" i="1"/>
  <c r="J337" i="1"/>
  <c r="J336" i="1"/>
  <c r="K336" i="1" s="1"/>
  <c r="J335" i="1"/>
  <c r="K335" i="1" s="1"/>
  <c r="J334" i="1"/>
  <c r="K334" i="1" s="1"/>
  <c r="J333" i="1"/>
  <c r="J332" i="1"/>
  <c r="J331" i="1"/>
  <c r="J330" i="1"/>
  <c r="J329" i="1"/>
  <c r="J328" i="1"/>
  <c r="K328" i="1" s="1"/>
  <c r="J327" i="1"/>
  <c r="K327" i="1" s="1"/>
  <c r="J326" i="1"/>
  <c r="K326" i="1" s="1"/>
  <c r="J325" i="1"/>
  <c r="J324" i="1"/>
  <c r="K324" i="1" s="1"/>
  <c r="J323" i="1"/>
  <c r="J322" i="1"/>
  <c r="J321" i="1"/>
  <c r="J320" i="1"/>
  <c r="J319" i="1"/>
  <c r="K319" i="1" s="1"/>
  <c r="J318" i="1"/>
  <c r="K318" i="1" s="1"/>
  <c r="J317" i="1"/>
  <c r="J316" i="1"/>
  <c r="J315" i="1"/>
  <c r="J314" i="1"/>
  <c r="J313" i="1"/>
  <c r="J312" i="1"/>
  <c r="K312" i="1" s="1"/>
  <c r="J311" i="1"/>
  <c r="J310" i="1"/>
  <c r="J309" i="1"/>
  <c r="J308" i="1"/>
  <c r="J307" i="1"/>
  <c r="J306" i="1"/>
  <c r="J305" i="1"/>
  <c r="J304" i="1"/>
  <c r="K304" i="1" s="1"/>
  <c r="J303" i="1"/>
  <c r="K303" i="1" s="1"/>
  <c r="J302" i="1"/>
  <c r="K302" i="1" s="1"/>
  <c r="J301" i="1"/>
  <c r="J300" i="1"/>
  <c r="J299" i="1"/>
  <c r="J298" i="1"/>
  <c r="J297" i="1"/>
  <c r="J296" i="1"/>
  <c r="K296" i="1" s="1"/>
  <c r="J295" i="1"/>
  <c r="K295" i="1" s="1"/>
  <c r="J294" i="1"/>
  <c r="K294" i="1" s="1"/>
  <c r="J293" i="1"/>
  <c r="J292" i="1"/>
  <c r="K292" i="1" s="1"/>
  <c r="J291" i="1"/>
  <c r="J290" i="1"/>
  <c r="J289" i="1"/>
  <c r="J288" i="1"/>
  <c r="J287" i="1"/>
  <c r="K287" i="1" s="1"/>
  <c r="J286" i="1"/>
  <c r="L286" i="1" s="1"/>
  <c r="J285" i="1"/>
  <c r="J284" i="1"/>
  <c r="J283" i="1"/>
  <c r="J282" i="1"/>
  <c r="J281" i="1"/>
  <c r="J280" i="1"/>
  <c r="K280" i="1" s="1"/>
  <c r="J279" i="1"/>
  <c r="J278" i="1"/>
  <c r="J277" i="1"/>
  <c r="J276" i="1"/>
  <c r="J275" i="1"/>
  <c r="J274" i="1"/>
  <c r="J273" i="1"/>
  <c r="J272" i="1"/>
  <c r="K272" i="1" s="1"/>
  <c r="J271" i="1"/>
  <c r="K271" i="1" s="1"/>
  <c r="J270" i="1"/>
  <c r="K270" i="1" s="1"/>
  <c r="J269" i="1"/>
  <c r="J268" i="1"/>
  <c r="J267" i="1"/>
  <c r="J266" i="1"/>
  <c r="J265" i="1"/>
  <c r="J264" i="1"/>
  <c r="K264" i="1" s="1"/>
  <c r="J263" i="1"/>
  <c r="K263" i="1" s="1"/>
  <c r="J262" i="1"/>
  <c r="K262" i="1" s="1"/>
  <c r="J261" i="1"/>
  <c r="J260" i="1"/>
  <c r="K260" i="1" s="1"/>
  <c r="J259" i="1"/>
  <c r="J258" i="1"/>
  <c r="J257" i="1"/>
  <c r="J256" i="1"/>
  <c r="J255" i="1"/>
  <c r="K255" i="1" s="1"/>
  <c r="J254" i="1"/>
  <c r="K254" i="1" s="1"/>
  <c r="J253" i="1"/>
  <c r="J252" i="1"/>
  <c r="J251" i="1"/>
  <c r="J250" i="1"/>
  <c r="J249" i="1"/>
  <c r="J248" i="1"/>
  <c r="K248" i="1" s="1"/>
  <c r="J247" i="1"/>
  <c r="J246" i="1"/>
  <c r="J245" i="1"/>
  <c r="J244" i="1"/>
  <c r="J243" i="1"/>
  <c r="J242" i="1"/>
  <c r="J241" i="1"/>
  <c r="J240" i="1"/>
  <c r="K240" i="1" s="1"/>
  <c r="J239" i="1"/>
  <c r="K239" i="1" s="1"/>
  <c r="J238" i="1"/>
  <c r="K238" i="1" s="1"/>
  <c r="J237" i="1"/>
  <c r="J236" i="1"/>
  <c r="J235" i="1"/>
  <c r="J234" i="1"/>
  <c r="J233" i="1"/>
  <c r="J232" i="1"/>
  <c r="K232" i="1" s="1"/>
  <c r="J231" i="1"/>
  <c r="K231" i="1" s="1"/>
  <c r="J230" i="1"/>
  <c r="K230" i="1" s="1"/>
  <c r="J229" i="1"/>
  <c r="J228" i="1"/>
  <c r="J227" i="1"/>
  <c r="J226" i="1"/>
  <c r="J225" i="1"/>
  <c r="J224" i="1"/>
  <c r="J223" i="1"/>
  <c r="K223" i="1" s="1"/>
  <c r="J222" i="1"/>
  <c r="K222" i="1" s="1"/>
  <c r="J221" i="1"/>
  <c r="J220" i="1"/>
  <c r="J219" i="1"/>
  <c r="J218" i="1"/>
  <c r="K218" i="1" s="1"/>
  <c r="J217" i="1"/>
  <c r="J216" i="1"/>
  <c r="K216" i="1" s="1"/>
  <c r="J215" i="1"/>
  <c r="J214" i="1"/>
  <c r="J213" i="1"/>
  <c r="J212" i="1"/>
  <c r="J211" i="1"/>
  <c r="J210" i="1"/>
  <c r="J209" i="1"/>
  <c r="L209" i="1" s="1"/>
  <c r="J208" i="1"/>
  <c r="K208" i="1" s="1"/>
  <c r="J207" i="1"/>
  <c r="K207" i="1" s="1"/>
  <c r="J206" i="1"/>
  <c r="K206" i="1" s="1"/>
  <c r="J205" i="1"/>
  <c r="J204" i="1"/>
  <c r="J203" i="1"/>
  <c r="J202" i="1"/>
  <c r="J201" i="1"/>
  <c r="J200" i="1"/>
  <c r="K200" i="1" s="1"/>
  <c r="J199" i="1"/>
  <c r="K199" i="1" s="1"/>
  <c r="J198" i="1"/>
  <c r="K198" i="1" s="1"/>
  <c r="J197" i="1"/>
  <c r="J196" i="1"/>
  <c r="K196" i="1" s="1"/>
  <c r="J195" i="1"/>
  <c r="J194" i="1"/>
  <c r="J193" i="1"/>
  <c r="J192" i="1"/>
  <c r="J191" i="1"/>
  <c r="K191" i="1" s="1"/>
  <c r="J190" i="1"/>
  <c r="K190" i="1" s="1"/>
  <c r="J189" i="1"/>
  <c r="J188" i="1"/>
  <c r="J187" i="1"/>
  <c r="J186" i="1"/>
  <c r="J185" i="1"/>
  <c r="J184" i="1"/>
  <c r="L184" i="1" s="1"/>
  <c r="J183" i="1"/>
  <c r="J182" i="1"/>
  <c r="J181" i="1"/>
  <c r="J180" i="1"/>
  <c r="J179" i="1"/>
  <c r="J178" i="1"/>
  <c r="J177" i="1"/>
  <c r="J176" i="1"/>
  <c r="K176" i="1" s="1"/>
  <c r="J175" i="1"/>
  <c r="K175" i="1" s="1"/>
  <c r="J174" i="1"/>
  <c r="K174" i="1" s="1"/>
  <c r="J173" i="1"/>
  <c r="J172" i="1"/>
  <c r="J171" i="1"/>
  <c r="J170" i="1"/>
  <c r="J169" i="1"/>
  <c r="J168" i="1"/>
  <c r="K168" i="1" s="1"/>
  <c r="J167" i="1"/>
  <c r="K167" i="1" s="1"/>
  <c r="J166" i="1"/>
  <c r="K166" i="1" s="1"/>
  <c r="J165" i="1"/>
  <c r="J164" i="1"/>
  <c r="J163" i="1"/>
  <c r="J162" i="1"/>
  <c r="J161" i="1"/>
  <c r="J160" i="1"/>
  <c r="J159" i="1"/>
  <c r="K159" i="1" s="1"/>
  <c r="J158" i="1"/>
  <c r="K158" i="1" s="1"/>
  <c r="J157" i="1"/>
  <c r="J156" i="1"/>
  <c r="J155" i="1"/>
  <c r="J154" i="1"/>
  <c r="J153" i="1"/>
  <c r="J152" i="1"/>
  <c r="K152" i="1" s="1"/>
  <c r="J151" i="1"/>
  <c r="J150" i="1"/>
  <c r="J149" i="1"/>
  <c r="J148" i="1"/>
  <c r="J147" i="1"/>
  <c r="J146" i="1"/>
  <c r="J145" i="1"/>
  <c r="L145" i="1" s="1"/>
  <c r="J144" i="1"/>
  <c r="K144" i="1" s="1"/>
  <c r="J143" i="1"/>
  <c r="K143" i="1" s="1"/>
  <c r="J142" i="1"/>
  <c r="K142" i="1" s="1"/>
  <c r="J141" i="1"/>
  <c r="J140" i="1"/>
  <c r="J139" i="1"/>
  <c r="J138" i="1"/>
  <c r="J137" i="1"/>
  <c r="J136" i="1"/>
  <c r="K136" i="1" s="1"/>
  <c r="J135" i="1"/>
  <c r="K135" i="1" s="1"/>
  <c r="J134" i="1"/>
  <c r="K134" i="1" s="1"/>
  <c r="J133" i="1"/>
  <c r="J132" i="1"/>
  <c r="K132" i="1" s="1"/>
  <c r="J131" i="1"/>
  <c r="J130" i="1"/>
  <c r="J129" i="1"/>
  <c r="J128" i="1"/>
  <c r="J127" i="1"/>
  <c r="K127" i="1" s="1"/>
  <c r="J126" i="1"/>
  <c r="K126" i="1" s="1"/>
  <c r="J125" i="1"/>
  <c r="J124" i="1"/>
  <c r="J123" i="1"/>
  <c r="J122" i="1"/>
  <c r="K122" i="1" s="1"/>
  <c r="J121" i="1"/>
  <c r="J120" i="1"/>
  <c r="K120" i="1" s="1"/>
  <c r="J119" i="1"/>
  <c r="J118" i="1"/>
  <c r="J117" i="1"/>
  <c r="J116" i="1"/>
  <c r="J115" i="1"/>
  <c r="J114" i="1"/>
  <c r="J113" i="1"/>
  <c r="J112" i="1"/>
  <c r="K112" i="1" s="1"/>
  <c r="J111" i="1"/>
  <c r="K111" i="1" s="1"/>
  <c r="J110" i="1"/>
  <c r="K110" i="1" s="1"/>
  <c r="J109" i="1"/>
  <c r="J108" i="1"/>
  <c r="J107" i="1"/>
  <c r="J106" i="1"/>
  <c r="J105" i="1"/>
  <c r="J104" i="1"/>
  <c r="K104" i="1" s="1"/>
  <c r="J103" i="1"/>
  <c r="K103" i="1" s="1"/>
  <c r="J102" i="1"/>
  <c r="K102" i="1" s="1"/>
  <c r="J101" i="1"/>
  <c r="J100" i="1"/>
  <c r="K100" i="1" s="1"/>
  <c r="J99" i="1"/>
  <c r="J98" i="1"/>
  <c r="J97" i="1"/>
  <c r="J96" i="1"/>
  <c r="J95" i="1"/>
  <c r="K95" i="1" s="1"/>
  <c r="J94" i="1"/>
  <c r="K94" i="1" s="1"/>
  <c r="J93" i="1"/>
  <c r="J92" i="1"/>
  <c r="J91" i="1"/>
  <c r="J90" i="1"/>
  <c r="K90" i="1" s="1"/>
  <c r="J89" i="1"/>
  <c r="J88" i="1"/>
  <c r="K88" i="1" s="1"/>
  <c r="J87" i="1"/>
  <c r="J86" i="1"/>
  <c r="J85" i="1"/>
  <c r="J84" i="1"/>
  <c r="J83" i="1"/>
  <c r="J82" i="1"/>
  <c r="J81" i="1"/>
  <c r="J80" i="1"/>
  <c r="K80" i="1" s="1"/>
  <c r="J79" i="1"/>
  <c r="K79" i="1" s="1"/>
  <c r="J78" i="1"/>
  <c r="K78" i="1" s="1"/>
  <c r="J77" i="1"/>
  <c r="J76" i="1"/>
  <c r="J75" i="1"/>
  <c r="J74" i="1"/>
  <c r="J73" i="1"/>
  <c r="J72" i="1"/>
  <c r="K72" i="1" s="1"/>
  <c r="J71" i="1"/>
  <c r="K71" i="1" s="1"/>
  <c r="J70" i="1"/>
  <c r="K70" i="1" s="1"/>
  <c r="J69" i="1"/>
  <c r="J68" i="1"/>
  <c r="J67" i="1"/>
  <c r="J66" i="1"/>
  <c r="J65" i="1"/>
  <c r="J64" i="1"/>
  <c r="J63" i="1"/>
  <c r="K63" i="1" s="1"/>
  <c r="J62" i="1"/>
  <c r="K62" i="1" s="1"/>
  <c r="J61" i="1"/>
  <c r="J60" i="1"/>
  <c r="J59" i="1"/>
  <c r="J58" i="1"/>
  <c r="K58" i="1" s="1"/>
  <c r="J57" i="1"/>
  <c r="J56" i="1"/>
  <c r="K56" i="1" s="1"/>
  <c r="J55" i="1"/>
  <c r="J54" i="1"/>
  <c r="J53" i="1"/>
  <c r="J52" i="1"/>
  <c r="J51" i="1"/>
  <c r="J50" i="1"/>
  <c r="J49" i="1"/>
  <c r="J48" i="1"/>
  <c r="K48" i="1" s="1"/>
  <c r="J47" i="1"/>
  <c r="K47" i="1" s="1"/>
  <c r="J46" i="1"/>
  <c r="K46" i="1" s="1"/>
  <c r="J45" i="1"/>
  <c r="J44" i="1"/>
  <c r="J43" i="1"/>
  <c r="J42" i="1"/>
  <c r="J41" i="1"/>
  <c r="J40" i="1"/>
  <c r="K40" i="1" s="1"/>
  <c r="J39" i="1"/>
  <c r="K39" i="1" s="1"/>
  <c r="J38" i="1"/>
  <c r="K38" i="1" s="1"/>
  <c r="J37" i="1"/>
  <c r="J36" i="1"/>
  <c r="K36" i="1" s="1"/>
  <c r="J35" i="1"/>
  <c r="J34" i="1"/>
  <c r="J33" i="1"/>
  <c r="J32" i="1"/>
  <c r="J31" i="1"/>
  <c r="K31" i="1" s="1"/>
  <c r="J30" i="1"/>
  <c r="K30" i="1" s="1"/>
  <c r="J29" i="1"/>
  <c r="J28" i="1"/>
  <c r="J27" i="1"/>
  <c r="J26" i="1"/>
  <c r="K26" i="1" s="1"/>
  <c r="J25" i="1"/>
  <c r="J24" i="1"/>
  <c r="K24" i="1" s="1"/>
  <c r="J23" i="1"/>
  <c r="J22" i="1"/>
  <c r="J21" i="1"/>
  <c r="J20" i="1"/>
  <c r="J19" i="1"/>
  <c r="J18" i="1"/>
  <c r="J17" i="1"/>
  <c r="J16" i="1"/>
  <c r="K16" i="1" s="1"/>
  <c r="J15" i="1"/>
  <c r="K15" i="1" s="1"/>
  <c r="J14" i="1"/>
  <c r="K14" i="1" s="1"/>
  <c r="J13" i="1"/>
  <c r="J12" i="1"/>
  <c r="J11" i="1"/>
  <c r="J10" i="1"/>
  <c r="J9" i="1"/>
  <c r="J8" i="1"/>
  <c r="K8" i="1" s="1"/>
  <c r="J7" i="1"/>
  <c r="K7" i="1" s="1"/>
  <c r="J6" i="1"/>
  <c r="K6" i="1" s="1"/>
  <c r="J5" i="1"/>
  <c r="J4" i="1"/>
  <c r="K4" i="1" s="1"/>
  <c r="J3" i="1"/>
  <c r="J2" i="1"/>
  <c r="B1223" i="3"/>
  <c r="Q899" i="2"/>
  <c r="O899" i="2"/>
  <c r="F1275" i="1" s="1"/>
  <c r="F1274" i="1"/>
  <c r="F1276" i="1" s="1"/>
  <c r="L865" i="1" l="1"/>
  <c r="M865" i="1"/>
  <c r="K1153" i="1"/>
  <c r="M1153" i="1" s="1"/>
  <c r="L664" i="1"/>
  <c r="K1263" i="1"/>
  <c r="M1263" i="1" s="1"/>
  <c r="L8" i="1"/>
  <c r="M8" i="1" s="1"/>
  <c r="L2" i="1"/>
  <c r="J1274" i="1"/>
  <c r="K2" i="1"/>
  <c r="K42" i="1"/>
  <c r="L42" i="1"/>
  <c r="L82" i="1"/>
  <c r="K82" i="1"/>
  <c r="M82" i="1" s="1"/>
  <c r="L130" i="1"/>
  <c r="K130" i="1"/>
  <c r="M130" i="1" s="1"/>
  <c r="L170" i="1"/>
  <c r="K170" i="1"/>
  <c r="L210" i="1"/>
  <c r="K210" i="1"/>
  <c r="L242" i="1"/>
  <c r="K242" i="1"/>
  <c r="L282" i="1"/>
  <c r="L330" i="1"/>
  <c r="K330" i="1"/>
  <c r="L370" i="1"/>
  <c r="K370" i="1"/>
  <c r="L410" i="1"/>
  <c r="L458" i="1"/>
  <c r="K458" i="1"/>
  <c r="L482" i="1"/>
  <c r="K482" i="1"/>
  <c r="L522" i="1"/>
  <c r="K522" i="1"/>
  <c r="L562" i="1"/>
  <c r="K562" i="1"/>
  <c r="L602" i="1"/>
  <c r="K602" i="1"/>
  <c r="L642" i="1"/>
  <c r="K642" i="1"/>
  <c r="M642" i="1" s="1"/>
  <c r="K666" i="1"/>
  <c r="M666" i="1" s="1"/>
  <c r="L666" i="1"/>
  <c r="L706" i="1"/>
  <c r="K706" i="1"/>
  <c r="M706" i="1" s="1"/>
  <c r="L738" i="1"/>
  <c r="K738" i="1"/>
  <c r="M738" i="1" s="1"/>
  <c r="L778" i="1"/>
  <c r="K778" i="1"/>
  <c r="L818" i="1"/>
  <c r="K818" i="1"/>
  <c r="L858" i="1"/>
  <c r="K858" i="1"/>
  <c r="M858" i="1" s="1"/>
  <c r="L898" i="1"/>
  <c r="K898" i="1"/>
  <c r="L938" i="1"/>
  <c r="K938" i="1"/>
  <c r="M938" i="1" s="1"/>
  <c r="L970" i="1"/>
  <c r="K970" i="1"/>
  <c r="L1026" i="1"/>
  <c r="K1026" i="1"/>
  <c r="M1026" i="1" s="1"/>
  <c r="L1066" i="1"/>
  <c r="K1066" i="1"/>
  <c r="L1106" i="1"/>
  <c r="K1106" i="1"/>
  <c r="L27" i="1"/>
  <c r="K27" i="1"/>
  <c r="L67" i="1"/>
  <c r="K67" i="1"/>
  <c r="L107" i="1"/>
  <c r="K107" i="1"/>
  <c r="L139" i="1"/>
  <c r="K139" i="1"/>
  <c r="M139" i="1" s="1"/>
  <c r="L163" i="1"/>
  <c r="K163" i="1"/>
  <c r="L211" i="1"/>
  <c r="K211" i="1"/>
  <c r="M211" i="1" s="1"/>
  <c r="L243" i="1"/>
  <c r="K243" i="1"/>
  <c r="L283" i="1"/>
  <c r="K283" i="1"/>
  <c r="M283" i="1" s="1"/>
  <c r="L315" i="1"/>
  <c r="K315" i="1"/>
  <c r="L355" i="1"/>
  <c r="K355" i="1"/>
  <c r="L395" i="1"/>
  <c r="K395" i="1"/>
  <c r="L427" i="1"/>
  <c r="K427" i="1"/>
  <c r="M427" i="1" s="1"/>
  <c r="L475" i="1"/>
  <c r="K475" i="1"/>
  <c r="L523" i="1"/>
  <c r="K523" i="1"/>
  <c r="L563" i="1"/>
  <c r="L603" i="1"/>
  <c r="K603" i="1"/>
  <c r="L635" i="1"/>
  <c r="K635" i="1"/>
  <c r="M635" i="1" s="1"/>
  <c r="L683" i="1"/>
  <c r="K683" i="1"/>
  <c r="L715" i="1"/>
  <c r="K715" i="1"/>
  <c r="M715" i="1" s="1"/>
  <c r="L755" i="1"/>
  <c r="M755" i="1" s="1"/>
  <c r="L787" i="1"/>
  <c r="L827" i="1"/>
  <c r="K827" i="1"/>
  <c r="M827" i="1" s="1"/>
  <c r="L875" i="1"/>
  <c r="K875" i="1"/>
  <c r="M875" i="1" s="1"/>
  <c r="L915" i="1"/>
  <c r="K915" i="1"/>
  <c r="L947" i="1"/>
  <c r="L1035" i="1"/>
  <c r="K1035" i="1"/>
  <c r="M1035" i="1" s="1"/>
  <c r="L28" i="1"/>
  <c r="K28" i="1"/>
  <c r="L60" i="1"/>
  <c r="K60" i="1"/>
  <c r="M60" i="1" s="1"/>
  <c r="L108" i="1"/>
  <c r="K108" i="1"/>
  <c r="L140" i="1"/>
  <c r="K140" i="1"/>
  <c r="L180" i="1"/>
  <c r="K180" i="1"/>
  <c r="L228" i="1"/>
  <c r="L268" i="1"/>
  <c r="K268" i="1"/>
  <c r="L308" i="1"/>
  <c r="K308" i="1"/>
  <c r="L356" i="1"/>
  <c r="L396" i="1"/>
  <c r="K396" i="1"/>
  <c r="L428" i="1"/>
  <c r="K428" i="1"/>
  <c r="M428" i="1" s="1"/>
  <c r="L468" i="1"/>
  <c r="K468" i="1"/>
  <c r="L508" i="1"/>
  <c r="K508" i="1"/>
  <c r="M508" i="1" s="1"/>
  <c r="L540" i="1"/>
  <c r="K540" i="1"/>
  <c r="L588" i="1"/>
  <c r="K588" i="1"/>
  <c r="L628" i="1"/>
  <c r="K628" i="1"/>
  <c r="L668" i="1"/>
  <c r="K668" i="1"/>
  <c r="M668" i="1" s="1"/>
  <c r="L700" i="1"/>
  <c r="K700" i="1"/>
  <c r="L740" i="1"/>
  <c r="K740" i="1"/>
  <c r="M740" i="1" s="1"/>
  <c r="L780" i="1"/>
  <c r="K780" i="1"/>
  <c r="L812" i="1"/>
  <c r="K812" i="1"/>
  <c r="M812" i="1" s="1"/>
  <c r="L844" i="1"/>
  <c r="K844" i="1"/>
  <c r="L884" i="1"/>
  <c r="K884" i="1"/>
  <c r="L932" i="1"/>
  <c r="K932" i="1"/>
  <c r="L964" i="1"/>
  <c r="K964" i="1"/>
  <c r="L1004" i="1"/>
  <c r="K1004" i="1"/>
  <c r="L1028" i="1"/>
  <c r="K1028" i="1"/>
  <c r="M1028" i="1" s="1"/>
  <c r="L1052" i="1"/>
  <c r="K1052" i="1"/>
  <c r="L1084" i="1"/>
  <c r="K1084" i="1"/>
  <c r="M1084" i="1" s="1"/>
  <c r="L1108" i="1"/>
  <c r="K1108" i="1"/>
  <c r="K1132" i="1"/>
  <c r="L1132" i="1"/>
  <c r="L1164" i="1"/>
  <c r="K1164" i="1"/>
  <c r="L1196" i="1"/>
  <c r="K1196" i="1"/>
  <c r="M1196" i="1" s="1"/>
  <c r="K1228" i="1"/>
  <c r="M1228" i="1" s="1"/>
  <c r="L1228" i="1"/>
  <c r="L1244" i="1"/>
  <c r="K1244" i="1"/>
  <c r="M1244" i="1" s="1"/>
  <c r="K787" i="1"/>
  <c r="L29" i="1"/>
  <c r="K29" i="1"/>
  <c r="L61" i="1"/>
  <c r="K61" i="1"/>
  <c r="M61" i="1" s="1"/>
  <c r="L85" i="1"/>
  <c r="K85" i="1"/>
  <c r="M85" i="1" s="1"/>
  <c r="L101" i="1"/>
  <c r="K101" i="1"/>
  <c r="L117" i="1"/>
  <c r="K117" i="1"/>
  <c r="L125" i="1"/>
  <c r="K125" i="1"/>
  <c r="M125" i="1" s="1"/>
  <c r="L133" i="1"/>
  <c r="K133" i="1"/>
  <c r="L141" i="1"/>
  <c r="K141" i="1"/>
  <c r="M141" i="1" s="1"/>
  <c r="L165" i="1"/>
  <c r="K165" i="1"/>
  <c r="L181" i="1"/>
  <c r="K181" i="1"/>
  <c r="M181" i="1" s="1"/>
  <c r="L189" i="1"/>
  <c r="K189" i="1"/>
  <c r="M189" i="1" s="1"/>
  <c r="L197" i="1"/>
  <c r="K197" i="1"/>
  <c r="L205" i="1"/>
  <c r="K205" i="1"/>
  <c r="L213" i="1"/>
  <c r="K213" i="1"/>
  <c r="L221" i="1"/>
  <c r="K221" i="1"/>
  <c r="L229" i="1"/>
  <c r="K229" i="1"/>
  <c r="M229" i="1" s="1"/>
  <c r="L237" i="1"/>
  <c r="K237" i="1"/>
  <c r="L245" i="1"/>
  <c r="K245" i="1"/>
  <c r="M245" i="1" s="1"/>
  <c r="L253" i="1"/>
  <c r="K253" i="1"/>
  <c r="L261" i="1"/>
  <c r="K261" i="1"/>
  <c r="L269" i="1"/>
  <c r="K269" i="1"/>
  <c r="L277" i="1"/>
  <c r="K277" i="1"/>
  <c r="M277" i="1" s="1"/>
  <c r="L285" i="1"/>
  <c r="K285" i="1"/>
  <c r="M664" i="1"/>
  <c r="L10" i="1"/>
  <c r="K10" i="1"/>
  <c r="L50" i="1"/>
  <c r="K50" i="1"/>
  <c r="M50" i="1" s="1"/>
  <c r="L98" i="1"/>
  <c r="K98" i="1"/>
  <c r="L138" i="1"/>
  <c r="K138" i="1"/>
  <c r="M138" i="1" s="1"/>
  <c r="L186" i="1"/>
  <c r="L234" i="1"/>
  <c r="K234" i="1"/>
  <c r="M234" i="1" s="1"/>
  <c r="L274" i="1"/>
  <c r="K274" i="1"/>
  <c r="L314" i="1"/>
  <c r="L346" i="1"/>
  <c r="L386" i="1"/>
  <c r="K386" i="1"/>
  <c r="M386" i="1" s="1"/>
  <c r="L434" i="1"/>
  <c r="K434" i="1"/>
  <c r="L474" i="1"/>
  <c r="L514" i="1"/>
  <c r="K514" i="1"/>
  <c r="M514" i="1" s="1"/>
  <c r="L546" i="1"/>
  <c r="K546" i="1"/>
  <c r="L578" i="1"/>
  <c r="K578" i="1"/>
  <c r="L610" i="1"/>
  <c r="K610" i="1"/>
  <c r="L650" i="1"/>
  <c r="K650" i="1"/>
  <c r="L690" i="1"/>
  <c r="K690" i="1"/>
  <c r="L730" i="1"/>
  <c r="K730" i="1"/>
  <c r="L770" i="1"/>
  <c r="K770" i="1"/>
  <c r="L810" i="1"/>
  <c r="K810" i="1"/>
  <c r="M810" i="1" s="1"/>
  <c r="L842" i="1"/>
  <c r="K842" i="1"/>
  <c r="L890" i="1"/>
  <c r="K890" i="1"/>
  <c r="L930" i="1"/>
  <c r="K930" i="1"/>
  <c r="M930" i="1" s="1"/>
  <c r="L978" i="1"/>
  <c r="K978" i="1"/>
  <c r="L1002" i="1"/>
  <c r="M1002" i="1" s="1"/>
  <c r="L1042" i="1"/>
  <c r="K1042" i="1"/>
  <c r="L1082" i="1"/>
  <c r="K1082" i="1"/>
  <c r="K346" i="1"/>
  <c r="M346" i="1" s="1"/>
  <c r="L11" i="1"/>
  <c r="K11" i="1"/>
  <c r="M11" i="1" s="1"/>
  <c r="L51" i="1"/>
  <c r="K51" i="1"/>
  <c r="L83" i="1"/>
  <c r="K83" i="1"/>
  <c r="L123" i="1"/>
  <c r="K123" i="1"/>
  <c r="L179" i="1"/>
  <c r="K179" i="1"/>
  <c r="M179" i="1" s="1"/>
  <c r="L227" i="1"/>
  <c r="K227" i="1"/>
  <c r="L259" i="1"/>
  <c r="K259" i="1"/>
  <c r="L299" i="1"/>
  <c r="K299" i="1"/>
  <c r="L339" i="1"/>
  <c r="K339" i="1"/>
  <c r="L379" i="1"/>
  <c r="K379" i="1"/>
  <c r="L403" i="1"/>
  <c r="K403" i="1"/>
  <c r="L443" i="1"/>
  <c r="K443" i="1"/>
  <c r="M443" i="1" s="1"/>
  <c r="L483" i="1"/>
  <c r="K483" i="1"/>
  <c r="M483" i="1" s="1"/>
  <c r="L555" i="1"/>
  <c r="K555" i="1"/>
  <c r="L595" i="1"/>
  <c r="L627" i="1"/>
  <c r="L659" i="1"/>
  <c r="L707" i="1"/>
  <c r="L739" i="1"/>
  <c r="L779" i="1"/>
  <c r="K779" i="1"/>
  <c r="M779" i="1" s="1"/>
  <c r="L819" i="1"/>
  <c r="L859" i="1"/>
  <c r="K859" i="1"/>
  <c r="K907" i="1"/>
  <c r="L907" i="1"/>
  <c r="L939" i="1"/>
  <c r="K939" i="1"/>
  <c r="L971" i="1"/>
  <c r="K971" i="1"/>
  <c r="K995" i="1"/>
  <c r="L1011" i="1"/>
  <c r="K1011" i="1"/>
  <c r="L1059" i="1"/>
  <c r="K1059" i="1"/>
  <c r="L1075" i="1"/>
  <c r="L1099" i="1"/>
  <c r="K1099" i="1"/>
  <c r="L1123" i="1"/>
  <c r="K1123" i="1"/>
  <c r="L20" i="1"/>
  <c r="K20" i="1"/>
  <c r="M20" i="1" s="1"/>
  <c r="L68" i="1"/>
  <c r="L124" i="1"/>
  <c r="K124" i="1"/>
  <c r="M124" i="1" s="1"/>
  <c r="L172" i="1"/>
  <c r="K172" i="1"/>
  <c r="M172" i="1" s="1"/>
  <c r="L212" i="1"/>
  <c r="K212" i="1"/>
  <c r="L252" i="1"/>
  <c r="K252" i="1"/>
  <c r="L276" i="1"/>
  <c r="K276" i="1"/>
  <c r="L316" i="1"/>
  <c r="K316" i="1"/>
  <c r="L348" i="1"/>
  <c r="K348" i="1"/>
  <c r="M348" i="1" s="1"/>
  <c r="L388" i="1"/>
  <c r="L436" i="1"/>
  <c r="K436" i="1"/>
  <c r="L476" i="1"/>
  <c r="K476" i="1"/>
  <c r="M476" i="1" s="1"/>
  <c r="L524" i="1"/>
  <c r="K524" i="1"/>
  <c r="L564" i="1"/>
  <c r="K564" i="1"/>
  <c r="M564" i="1" s="1"/>
  <c r="L604" i="1"/>
  <c r="K604" i="1"/>
  <c r="L644" i="1"/>
  <c r="K644" i="1"/>
  <c r="L716" i="1"/>
  <c r="K716" i="1"/>
  <c r="L764" i="1"/>
  <c r="K764" i="1"/>
  <c r="M764" i="1" s="1"/>
  <c r="L804" i="1"/>
  <c r="K804" i="1"/>
  <c r="L852" i="1"/>
  <c r="K852" i="1"/>
  <c r="L916" i="1"/>
  <c r="K916" i="1"/>
  <c r="L988" i="1"/>
  <c r="K988" i="1"/>
  <c r="L1236" i="1"/>
  <c r="K1236" i="1"/>
  <c r="M230" i="1"/>
  <c r="M254" i="1"/>
  <c r="M510" i="1"/>
  <c r="M518" i="1"/>
  <c r="K388" i="1"/>
  <c r="K474" i="1"/>
  <c r="K563" i="1"/>
  <c r="K819" i="1"/>
  <c r="L26" i="1"/>
  <c r="M26" i="1" s="1"/>
  <c r="L66" i="1"/>
  <c r="K66" i="1"/>
  <c r="L90" i="1"/>
  <c r="M90" i="1" s="1"/>
  <c r="L122" i="1"/>
  <c r="M122" i="1" s="1"/>
  <c r="L162" i="1"/>
  <c r="K162" i="1"/>
  <c r="L202" i="1"/>
  <c r="K202" i="1"/>
  <c r="L290" i="1"/>
  <c r="K290" i="1"/>
  <c r="L338" i="1"/>
  <c r="K338" i="1"/>
  <c r="M338" i="1" s="1"/>
  <c r="L378" i="1"/>
  <c r="M378" i="1" s="1"/>
  <c r="L418" i="1"/>
  <c r="K418" i="1"/>
  <c r="L450" i="1"/>
  <c r="K450" i="1"/>
  <c r="L490" i="1"/>
  <c r="K490" i="1"/>
  <c r="L538" i="1"/>
  <c r="M538" i="1" s="1"/>
  <c r="L570" i="1"/>
  <c r="K570" i="1"/>
  <c r="K618" i="1"/>
  <c r="L618" i="1"/>
  <c r="L682" i="1"/>
  <c r="K682" i="1"/>
  <c r="M682" i="1" s="1"/>
  <c r="L722" i="1"/>
  <c r="K722" i="1"/>
  <c r="M722" i="1" s="1"/>
  <c r="L746" i="1"/>
  <c r="K746" i="1"/>
  <c r="L794" i="1"/>
  <c r="K794" i="1"/>
  <c r="L826" i="1"/>
  <c r="K826" i="1"/>
  <c r="M826" i="1" s="1"/>
  <c r="L866" i="1"/>
  <c r="K866" i="1"/>
  <c r="L906" i="1"/>
  <c r="K906" i="1"/>
  <c r="L946" i="1"/>
  <c r="K946" i="1"/>
  <c r="L986" i="1"/>
  <c r="K986" i="1"/>
  <c r="M986" i="1" s="1"/>
  <c r="L1018" i="1"/>
  <c r="K1018" i="1"/>
  <c r="M1018" i="1" s="1"/>
  <c r="L1050" i="1"/>
  <c r="K1050" i="1"/>
  <c r="L1090" i="1"/>
  <c r="K1090" i="1"/>
  <c r="L19" i="1"/>
  <c r="K19" i="1"/>
  <c r="M19" i="1" s="1"/>
  <c r="L59" i="1"/>
  <c r="K59" i="1"/>
  <c r="L99" i="1"/>
  <c r="K99" i="1"/>
  <c r="L131" i="1"/>
  <c r="K131" i="1"/>
  <c r="L171" i="1"/>
  <c r="K171" i="1"/>
  <c r="L203" i="1"/>
  <c r="K203" i="1"/>
  <c r="L251" i="1"/>
  <c r="K251" i="1"/>
  <c r="M251" i="1" s="1"/>
  <c r="L291" i="1"/>
  <c r="K291" i="1"/>
  <c r="M291" i="1" s="1"/>
  <c r="L331" i="1"/>
  <c r="K331" i="1"/>
  <c r="M331" i="1" s="1"/>
  <c r="L371" i="1"/>
  <c r="K371" i="1"/>
  <c r="L419" i="1"/>
  <c r="K419" i="1"/>
  <c r="L459" i="1"/>
  <c r="K459" i="1"/>
  <c r="L491" i="1"/>
  <c r="K491" i="1"/>
  <c r="L515" i="1"/>
  <c r="K515" i="1"/>
  <c r="L547" i="1"/>
  <c r="K547" i="1"/>
  <c r="M547" i="1" s="1"/>
  <c r="L587" i="1"/>
  <c r="K587" i="1"/>
  <c r="M587" i="1" s="1"/>
  <c r="L643" i="1"/>
  <c r="L675" i="1"/>
  <c r="M675" i="1" s="1"/>
  <c r="L699" i="1"/>
  <c r="K699" i="1"/>
  <c r="L747" i="1"/>
  <c r="K747" i="1"/>
  <c r="L795" i="1"/>
  <c r="K795" i="1"/>
  <c r="M795" i="1" s="1"/>
  <c r="L835" i="1"/>
  <c r="K835" i="1"/>
  <c r="M835" i="1" s="1"/>
  <c r="K867" i="1"/>
  <c r="L867" i="1"/>
  <c r="L891" i="1"/>
  <c r="K891" i="1"/>
  <c r="L955" i="1"/>
  <c r="K955" i="1"/>
  <c r="L1043" i="1"/>
  <c r="K1043" i="1"/>
  <c r="L36" i="1"/>
  <c r="M36" i="1" s="1"/>
  <c r="L76" i="1"/>
  <c r="K76" i="1"/>
  <c r="L100" i="1"/>
  <c r="M100" i="1" s="1"/>
  <c r="L148" i="1"/>
  <c r="K148" i="1"/>
  <c r="M148" i="1" s="1"/>
  <c r="L196" i="1"/>
  <c r="L220" i="1"/>
  <c r="K220" i="1"/>
  <c r="L260" i="1"/>
  <c r="M260" i="1" s="1"/>
  <c r="L300" i="1"/>
  <c r="K300" i="1"/>
  <c r="M300" i="1" s="1"/>
  <c r="L340" i="1"/>
  <c r="K340" i="1"/>
  <c r="L364" i="1"/>
  <c r="K364" i="1"/>
  <c r="M364" i="1" s="1"/>
  <c r="L404" i="1"/>
  <c r="K404" i="1"/>
  <c r="L444" i="1"/>
  <c r="K444" i="1"/>
  <c r="L484" i="1"/>
  <c r="L516" i="1"/>
  <c r="M516" i="1" s="1"/>
  <c r="L556" i="1"/>
  <c r="K556" i="1"/>
  <c r="M556" i="1" s="1"/>
  <c r="L580" i="1"/>
  <c r="K580" i="1"/>
  <c r="L620" i="1"/>
  <c r="K620" i="1"/>
  <c r="L660" i="1"/>
  <c r="K660" i="1"/>
  <c r="M660" i="1" s="1"/>
  <c r="L684" i="1"/>
  <c r="K684" i="1"/>
  <c r="M684" i="1" s="1"/>
  <c r="L708" i="1"/>
  <c r="K708" i="1"/>
  <c r="L748" i="1"/>
  <c r="K748" i="1"/>
  <c r="M748" i="1" s="1"/>
  <c r="L788" i="1"/>
  <c r="K788" i="1"/>
  <c r="M788" i="1" s="1"/>
  <c r="L828" i="1"/>
  <c r="K828" i="1"/>
  <c r="M828" i="1" s="1"/>
  <c r="L868" i="1"/>
  <c r="K868" i="1"/>
  <c r="L900" i="1"/>
  <c r="K900" i="1"/>
  <c r="L924" i="1"/>
  <c r="K924" i="1"/>
  <c r="L956" i="1"/>
  <c r="K956" i="1"/>
  <c r="K996" i="1"/>
  <c r="M996" i="1" s="1"/>
  <c r="L996" i="1"/>
  <c r="L1036" i="1"/>
  <c r="K1036" i="1"/>
  <c r="M1036" i="1" s="1"/>
  <c r="L1068" i="1"/>
  <c r="K1068" i="1"/>
  <c r="M1068" i="1" s="1"/>
  <c r="L1092" i="1"/>
  <c r="K1092" i="1"/>
  <c r="M1092" i="1" s="1"/>
  <c r="L1124" i="1"/>
  <c r="K1124" i="1"/>
  <c r="L1156" i="1"/>
  <c r="K1156" i="1"/>
  <c r="L1172" i="1"/>
  <c r="K1172" i="1"/>
  <c r="L1212" i="1"/>
  <c r="K1212" i="1"/>
  <c r="K1252" i="1"/>
  <c r="M1252" i="1" s="1"/>
  <c r="L1252" i="1"/>
  <c r="K282" i="1"/>
  <c r="M282" i="1" s="1"/>
  <c r="K659" i="1"/>
  <c r="M659" i="1" s="1"/>
  <c r="L21" i="1"/>
  <c r="K21" i="1"/>
  <c r="M21" i="1" s="1"/>
  <c r="L45" i="1"/>
  <c r="K45" i="1"/>
  <c r="L69" i="1"/>
  <c r="K69" i="1"/>
  <c r="L109" i="1"/>
  <c r="K109" i="1"/>
  <c r="L149" i="1"/>
  <c r="K149" i="1"/>
  <c r="M149" i="1" s="1"/>
  <c r="M263" i="1"/>
  <c r="M287" i="1"/>
  <c r="M775" i="1"/>
  <c r="M807" i="1"/>
  <c r="K228" i="1"/>
  <c r="K314" i="1"/>
  <c r="K484" i="1"/>
  <c r="M484" i="1" s="1"/>
  <c r="K707" i="1"/>
  <c r="L250" i="1"/>
  <c r="L18" i="1"/>
  <c r="K18" i="1"/>
  <c r="L58" i="1"/>
  <c r="M58" i="1" s="1"/>
  <c r="L114" i="1"/>
  <c r="K114" i="1"/>
  <c r="L154" i="1"/>
  <c r="L178" i="1"/>
  <c r="K178" i="1"/>
  <c r="M178" i="1" s="1"/>
  <c r="L218" i="1"/>
  <c r="M218" i="1" s="1"/>
  <c r="L258" i="1"/>
  <c r="K258" i="1"/>
  <c r="L298" i="1"/>
  <c r="K298" i="1"/>
  <c r="M298" i="1" s="1"/>
  <c r="L322" i="1"/>
  <c r="K322" i="1"/>
  <c r="L362" i="1"/>
  <c r="K362" i="1"/>
  <c r="M362" i="1" s="1"/>
  <c r="L402" i="1"/>
  <c r="K402" i="1"/>
  <c r="L442" i="1"/>
  <c r="L498" i="1"/>
  <c r="K498" i="1"/>
  <c r="M498" i="1" s="1"/>
  <c r="L554" i="1"/>
  <c r="K554" i="1"/>
  <c r="L594" i="1"/>
  <c r="K594" i="1"/>
  <c r="L634" i="1"/>
  <c r="K634" i="1"/>
  <c r="M634" i="1" s="1"/>
  <c r="L674" i="1"/>
  <c r="K674" i="1"/>
  <c r="L698" i="1"/>
  <c r="K698" i="1"/>
  <c r="L754" i="1"/>
  <c r="K754" i="1"/>
  <c r="L786" i="1"/>
  <c r="K786" i="1"/>
  <c r="L834" i="1"/>
  <c r="K834" i="1"/>
  <c r="M834" i="1" s="1"/>
  <c r="L874" i="1"/>
  <c r="M874" i="1" s="1"/>
  <c r="L914" i="1"/>
  <c r="K914" i="1"/>
  <c r="L954" i="1"/>
  <c r="K954" i="1"/>
  <c r="M954" i="1" s="1"/>
  <c r="L994" i="1"/>
  <c r="K994" i="1"/>
  <c r="L1034" i="1"/>
  <c r="K1034" i="1"/>
  <c r="L1074" i="1"/>
  <c r="K1074" i="1"/>
  <c r="M627" i="1"/>
  <c r="L35" i="1"/>
  <c r="K35" i="1"/>
  <c r="L75" i="1"/>
  <c r="K75" i="1"/>
  <c r="M75" i="1" s="1"/>
  <c r="L115" i="1"/>
  <c r="K115" i="1"/>
  <c r="L155" i="1"/>
  <c r="K155" i="1"/>
  <c r="L195" i="1"/>
  <c r="K195" i="1"/>
  <c r="L219" i="1"/>
  <c r="K219" i="1"/>
  <c r="L267" i="1"/>
  <c r="K267" i="1"/>
  <c r="M267" i="1" s="1"/>
  <c r="L307" i="1"/>
  <c r="K307" i="1"/>
  <c r="L347" i="1"/>
  <c r="K347" i="1"/>
  <c r="M347" i="1" s="1"/>
  <c r="L387" i="1"/>
  <c r="K387" i="1"/>
  <c r="M387" i="1" s="1"/>
  <c r="L435" i="1"/>
  <c r="K435" i="1"/>
  <c r="L467" i="1"/>
  <c r="K467" i="1"/>
  <c r="L507" i="1"/>
  <c r="K507" i="1"/>
  <c r="M507" i="1" s="1"/>
  <c r="L539" i="1"/>
  <c r="K539" i="1"/>
  <c r="L579" i="1"/>
  <c r="M579" i="1" s="1"/>
  <c r="L619" i="1"/>
  <c r="K619" i="1"/>
  <c r="M619" i="1" s="1"/>
  <c r="L667" i="1"/>
  <c r="K667" i="1"/>
  <c r="L723" i="1"/>
  <c r="L763" i="1"/>
  <c r="K763" i="1"/>
  <c r="M763" i="1" s="1"/>
  <c r="L803" i="1"/>
  <c r="M803" i="1" s="1"/>
  <c r="L843" i="1"/>
  <c r="K843" i="1"/>
  <c r="L883" i="1"/>
  <c r="K883" i="1"/>
  <c r="L923" i="1"/>
  <c r="K923" i="1"/>
  <c r="L979" i="1"/>
  <c r="K979" i="1"/>
  <c r="L1003" i="1"/>
  <c r="K1003" i="1"/>
  <c r="M1003" i="1" s="1"/>
  <c r="L1027" i="1"/>
  <c r="K1027" i="1"/>
  <c r="M1027" i="1" s="1"/>
  <c r="L1067" i="1"/>
  <c r="K1067" i="1"/>
  <c r="K1091" i="1"/>
  <c r="M1091" i="1" s="1"/>
  <c r="L1091" i="1"/>
  <c r="L1115" i="1"/>
  <c r="K1115" i="1"/>
  <c r="L1139" i="1"/>
  <c r="K1139" i="1"/>
  <c r="K186" i="1"/>
  <c r="M186" i="1" s="1"/>
  <c r="K643" i="1"/>
  <c r="M643" i="1" s="1"/>
  <c r="L12" i="1"/>
  <c r="K12" i="1"/>
  <c r="L52" i="1"/>
  <c r="K52" i="1"/>
  <c r="M52" i="1" s="1"/>
  <c r="L92" i="1"/>
  <c r="K92" i="1"/>
  <c r="L132" i="1"/>
  <c r="M132" i="1" s="1"/>
  <c r="L164" i="1"/>
  <c r="L204" i="1"/>
  <c r="K204" i="1"/>
  <c r="L244" i="1"/>
  <c r="K244" i="1"/>
  <c r="M244" i="1" s="1"/>
  <c r="L284" i="1"/>
  <c r="K284" i="1"/>
  <c r="L332" i="1"/>
  <c r="K332" i="1"/>
  <c r="L380" i="1"/>
  <c r="K380" i="1"/>
  <c r="L420" i="1"/>
  <c r="L460" i="1"/>
  <c r="K460" i="1"/>
  <c r="L500" i="1"/>
  <c r="K500" i="1"/>
  <c r="M500" i="1" s="1"/>
  <c r="L548" i="1"/>
  <c r="K548" i="1"/>
  <c r="M548" i="1" s="1"/>
  <c r="L596" i="1"/>
  <c r="K596" i="1"/>
  <c r="L636" i="1"/>
  <c r="K636" i="1"/>
  <c r="L676" i="1"/>
  <c r="K676" i="1"/>
  <c r="L724" i="1"/>
  <c r="K724" i="1"/>
  <c r="M724" i="1" s="1"/>
  <c r="L772" i="1"/>
  <c r="K772" i="1"/>
  <c r="M772" i="1" s="1"/>
  <c r="L820" i="1"/>
  <c r="K820" i="1"/>
  <c r="L860" i="1"/>
  <c r="K860" i="1"/>
  <c r="M860" i="1" s="1"/>
  <c r="L892" i="1"/>
  <c r="M892" i="1" s="1"/>
  <c r="L940" i="1"/>
  <c r="K940" i="1"/>
  <c r="L972" i="1"/>
  <c r="K972" i="1"/>
  <c r="M972" i="1" s="1"/>
  <c r="L1012" i="1"/>
  <c r="K1012" i="1"/>
  <c r="K1060" i="1"/>
  <c r="L1060" i="1"/>
  <c r="L1116" i="1"/>
  <c r="K1116" i="1"/>
  <c r="L1148" i="1"/>
  <c r="M1148" i="1" s="1"/>
  <c r="L1188" i="1"/>
  <c r="K1188" i="1"/>
  <c r="L1220" i="1"/>
  <c r="K1220" i="1"/>
  <c r="L1260" i="1"/>
  <c r="K1260" i="1"/>
  <c r="L5" i="1"/>
  <c r="K5" i="1"/>
  <c r="M5" i="1" s="1"/>
  <c r="L53" i="1"/>
  <c r="K53" i="1"/>
  <c r="L93" i="1"/>
  <c r="K93" i="1"/>
  <c r="L157" i="1"/>
  <c r="K157" i="1"/>
  <c r="M157" i="1" s="1"/>
  <c r="M488" i="1"/>
  <c r="K68" i="1"/>
  <c r="K154" i="1"/>
  <c r="M154" i="1" s="1"/>
  <c r="K410" i="1"/>
  <c r="M410" i="1" s="1"/>
  <c r="K595" i="1"/>
  <c r="K723" i="1"/>
  <c r="K947" i="1"/>
  <c r="M947" i="1" s="1"/>
  <c r="L34" i="1"/>
  <c r="K34" i="1"/>
  <c r="L74" i="1"/>
  <c r="K74" i="1"/>
  <c r="L106" i="1"/>
  <c r="K106" i="1"/>
  <c r="L146" i="1"/>
  <c r="K146" i="1"/>
  <c r="M146" i="1" s="1"/>
  <c r="L194" i="1"/>
  <c r="K194" i="1"/>
  <c r="L226" i="1"/>
  <c r="K226" i="1"/>
  <c r="L266" i="1"/>
  <c r="K266" i="1"/>
  <c r="L306" i="1"/>
  <c r="K306" i="1"/>
  <c r="L354" i="1"/>
  <c r="K354" i="1"/>
  <c r="L394" i="1"/>
  <c r="K394" i="1"/>
  <c r="L426" i="1"/>
  <c r="K426" i="1"/>
  <c r="L466" i="1"/>
  <c r="K466" i="1"/>
  <c r="M466" i="1" s="1"/>
  <c r="L506" i="1"/>
  <c r="L530" i="1"/>
  <c r="K530" i="1"/>
  <c r="L586" i="1"/>
  <c r="K586" i="1"/>
  <c r="M586" i="1" s="1"/>
  <c r="L626" i="1"/>
  <c r="K626" i="1"/>
  <c r="L658" i="1"/>
  <c r="K658" i="1"/>
  <c r="M658" i="1" s="1"/>
  <c r="L714" i="1"/>
  <c r="K714" i="1"/>
  <c r="L762" i="1"/>
  <c r="K762" i="1"/>
  <c r="L802" i="1"/>
  <c r="K802" i="1"/>
  <c r="L850" i="1"/>
  <c r="K850" i="1"/>
  <c r="L882" i="1"/>
  <c r="K882" i="1"/>
  <c r="L922" i="1"/>
  <c r="K922" i="1"/>
  <c r="M922" i="1" s="1"/>
  <c r="L962" i="1"/>
  <c r="K962" i="1"/>
  <c r="L1010" i="1"/>
  <c r="K1010" i="1"/>
  <c r="M1010" i="1" s="1"/>
  <c r="L1058" i="1"/>
  <c r="K1058" i="1"/>
  <c r="L1098" i="1"/>
  <c r="K1098" i="1"/>
  <c r="L3" i="1"/>
  <c r="K3" i="1"/>
  <c r="L43" i="1"/>
  <c r="K43" i="1"/>
  <c r="L91" i="1"/>
  <c r="K91" i="1"/>
  <c r="M91" i="1" s="1"/>
  <c r="L147" i="1"/>
  <c r="K147" i="1"/>
  <c r="L187" i="1"/>
  <c r="K187" i="1"/>
  <c r="L235" i="1"/>
  <c r="K235" i="1"/>
  <c r="K275" i="1"/>
  <c r="L275" i="1"/>
  <c r="L323" i="1"/>
  <c r="K323" i="1"/>
  <c r="L363" i="1"/>
  <c r="K363" i="1"/>
  <c r="L411" i="1"/>
  <c r="K411" i="1"/>
  <c r="L451" i="1"/>
  <c r="K451" i="1"/>
  <c r="M451" i="1" s="1"/>
  <c r="L499" i="1"/>
  <c r="K499" i="1"/>
  <c r="L531" i="1"/>
  <c r="K531" i="1"/>
  <c r="L571" i="1"/>
  <c r="K571" i="1"/>
  <c r="L611" i="1"/>
  <c r="L651" i="1"/>
  <c r="K651" i="1"/>
  <c r="M651" i="1" s="1"/>
  <c r="L691" i="1"/>
  <c r="L731" i="1"/>
  <c r="K731" i="1"/>
  <c r="L771" i="1"/>
  <c r="M771" i="1" s="1"/>
  <c r="L811" i="1"/>
  <c r="K811" i="1"/>
  <c r="L851" i="1"/>
  <c r="K851" i="1"/>
  <c r="M851" i="1" s="1"/>
  <c r="L899" i="1"/>
  <c r="K899" i="1"/>
  <c r="M899" i="1" s="1"/>
  <c r="L931" i="1"/>
  <c r="K931" i="1"/>
  <c r="K963" i="1"/>
  <c r="M963" i="1" s="1"/>
  <c r="L963" i="1"/>
  <c r="L987" i="1"/>
  <c r="K987" i="1"/>
  <c r="L1019" i="1"/>
  <c r="K1019" i="1"/>
  <c r="L1051" i="1"/>
  <c r="K1051" i="1"/>
  <c r="L1083" i="1"/>
  <c r="K1083" i="1"/>
  <c r="L1107" i="1"/>
  <c r="K1107" i="1"/>
  <c r="K1131" i="1"/>
  <c r="L1131" i="1"/>
  <c r="K442" i="1"/>
  <c r="M442" i="1" s="1"/>
  <c r="M984" i="1"/>
  <c r="L4" i="1"/>
  <c r="L44" i="1"/>
  <c r="K44" i="1"/>
  <c r="M44" i="1" s="1"/>
  <c r="L84" i="1"/>
  <c r="K84" i="1"/>
  <c r="M84" i="1" s="1"/>
  <c r="L116" i="1"/>
  <c r="K116" i="1"/>
  <c r="L156" i="1"/>
  <c r="K156" i="1"/>
  <c r="L188" i="1"/>
  <c r="K188" i="1"/>
  <c r="M188" i="1" s="1"/>
  <c r="L236" i="1"/>
  <c r="K236" i="1"/>
  <c r="L292" i="1"/>
  <c r="M292" i="1" s="1"/>
  <c r="L324" i="1"/>
  <c r="M324" i="1" s="1"/>
  <c r="L372" i="1"/>
  <c r="K372" i="1"/>
  <c r="L412" i="1"/>
  <c r="K412" i="1"/>
  <c r="M412" i="1" s="1"/>
  <c r="L452" i="1"/>
  <c r="L492" i="1"/>
  <c r="K492" i="1"/>
  <c r="L532" i="1"/>
  <c r="K532" i="1"/>
  <c r="M532" i="1" s="1"/>
  <c r="L572" i="1"/>
  <c r="K572" i="1"/>
  <c r="L612" i="1"/>
  <c r="K612" i="1"/>
  <c r="L652" i="1"/>
  <c r="K652" i="1"/>
  <c r="L692" i="1"/>
  <c r="K692" i="1"/>
  <c r="L732" i="1"/>
  <c r="K732" i="1"/>
  <c r="M732" i="1" s="1"/>
  <c r="L756" i="1"/>
  <c r="K756" i="1"/>
  <c r="L796" i="1"/>
  <c r="K796" i="1"/>
  <c r="L836" i="1"/>
  <c r="K836" i="1"/>
  <c r="M836" i="1" s="1"/>
  <c r="L876" i="1"/>
  <c r="K876" i="1"/>
  <c r="L908" i="1"/>
  <c r="K908" i="1"/>
  <c r="L948" i="1"/>
  <c r="K948" i="1"/>
  <c r="L980" i="1"/>
  <c r="K980" i="1"/>
  <c r="L1020" i="1"/>
  <c r="L1044" i="1"/>
  <c r="K1044" i="1"/>
  <c r="M1044" i="1" s="1"/>
  <c r="L1076" i="1"/>
  <c r="K1076" i="1"/>
  <c r="L1100" i="1"/>
  <c r="K1100" i="1"/>
  <c r="L1140" i="1"/>
  <c r="K1140" i="1"/>
  <c r="L1180" i="1"/>
  <c r="K1180" i="1"/>
  <c r="L1204" i="1"/>
  <c r="K1204" i="1"/>
  <c r="M1204" i="1" s="1"/>
  <c r="L1268" i="1"/>
  <c r="K1268" i="1"/>
  <c r="K452" i="1"/>
  <c r="L13" i="1"/>
  <c r="K13" i="1"/>
  <c r="M13" i="1" s="1"/>
  <c r="L37" i="1"/>
  <c r="K37" i="1"/>
  <c r="L77" i="1"/>
  <c r="K77" i="1"/>
  <c r="L173" i="1"/>
  <c r="K173" i="1"/>
  <c r="M173" i="1" s="1"/>
  <c r="K164" i="1"/>
  <c r="M164" i="1" s="1"/>
  <c r="K250" i="1"/>
  <c r="M250" i="1" s="1"/>
  <c r="K420" i="1"/>
  <c r="K506" i="1"/>
  <c r="K611" i="1"/>
  <c r="M611" i="1" s="1"/>
  <c r="K739" i="1"/>
  <c r="M739" i="1" s="1"/>
  <c r="L995" i="1"/>
  <c r="L1147" i="1"/>
  <c r="K1155" i="1"/>
  <c r="L1163" i="1"/>
  <c r="L1171" i="1"/>
  <c r="K1179" i="1"/>
  <c r="L1179" i="1"/>
  <c r="L1187" i="1"/>
  <c r="K1187" i="1"/>
  <c r="M1187" i="1" s="1"/>
  <c r="L1195" i="1"/>
  <c r="K1195" i="1"/>
  <c r="L1203" i="1"/>
  <c r="M1203" i="1" s="1"/>
  <c r="L1211" i="1"/>
  <c r="L1219" i="1"/>
  <c r="K1219" i="1"/>
  <c r="L1227" i="1"/>
  <c r="L1235" i="1"/>
  <c r="L1243" i="1"/>
  <c r="K1243" i="1"/>
  <c r="K1251" i="1"/>
  <c r="L1259" i="1"/>
  <c r="K1259" i="1"/>
  <c r="L1267" i="1"/>
  <c r="K184" i="1"/>
  <c r="M184" i="1" s="1"/>
  <c r="K1147" i="1"/>
  <c r="L1155" i="1"/>
  <c r="L488" i="1"/>
  <c r="L1157" i="1"/>
  <c r="K1157" i="1"/>
  <c r="K1165" i="1"/>
  <c r="L1173" i="1"/>
  <c r="K1173" i="1"/>
  <c r="K1181" i="1"/>
  <c r="L1189" i="1"/>
  <c r="M1189" i="1" s="1"/>
  <c r="K1189" i="1"/>
  <c r="L1197" i="1"/>
  <c r="K1197" i="1"/>
  <c r="M1197" i="1" s="1"/>
  <c r="K1205" i="1"/>
  <c r="L1205" i="1"/>
  <c r="L1213" i="1"/>
  <c r="K1213" i="1"/>
  <c r="M1213" i="1" s="1"/>
  <c r="L1221" i="1"/>
  <c r="K1221" i="1"/>
  <c r="K1229" i="1"/>
  <c r="L1237" i="1"/>
  <c r="K1237" i="1"/>
  <c r="L1245" i="1"/>
  <c r="K1245" i="1"/>
  <c r="L1253" i="1"/>
  <c r="K1253" i="1"/>
  <c r="L1261" i="1"/>
  <c r="K1261" i="1"/>
  <c r="L1269" i="1"/>
  <c r="K1269" i="1"/>
  <c r="K1171" i="1"/>
  <c r="L974" i="1"/>
  <c r="M974" i="1" s="1"/>
  <c r="L1134" i="1"/>
  <c r="K1134" i="1"/>
  <c r="L1142" i="1"/>
  <c r="K1142" i="1"/>
  <c r="L1150" i="1"/>
  <c r="K1150" i="1"/>
  <c r="M1150" i="1" s="1"/>
  <c r="L1158" i="1"/>
  <c r="L1166" i="1"/>
  <c r="M1166" i="1" s="1"/>
  <c r="L1174" i="1"/>
  <c r="K1174" i="1"/>
  <c r="L1182" i="1"/>
  <c r="L1198" i="1"/>
  <c r="K1198" i="1"/>
  <c r="L1206" i="1"/>
  <c r="K1206" i="1"/>
  <c r="L1214" i="1"/>
  <c r="K1214" i="1"/>
  <c r="L1222" i="1"/>
  <c r="M1222" i="1" s="1"/>
  <c r="L1230" i="1"/>
  <c r="L1238" i="1"/>
  <c r="K1238" i="1"/>
  <c r="L1246" i="1"/>
  <c r="L1254" i="1"/>
  <c r="K1118" i="1"/>
  <c r="M1118" i="1" s="1"/>
  <c r="K1227" i="1"/>
  <c r="M1227" i="1" s="1"/>
  <c r="K1246" i="1"/>
  <c r="L415" i="1"/>
  <c r="M415" i="1" s="1"/>
  <c r="L1151" i="1"/>
  <c r="K1151" i="1"/>
  <c r="L1159" i="1"/>
  <c r="K1159" i="1"/>
  <c r="L1175" i="1"/>
  <c r="L1183" i="1"/>
  <c r="K1183" i="1"/>
  <c r="L1191" i="1"/>
  <c r="M1191" i="1" s="1"/>
  <c r="L1199" i="1"/>
  <c r="L1207" i="1"/>
  <c r="K1207" i="1"/>
  <c r="K1215" i="1"/>
  <c r="M1215" i="1" s="1"/>
  <c r="L1223" i="1"/>
  <c r="K1223" i="1"/>
  <c r="L1231" i="1"/>
  <c r="L1239" i="1"/>
  <c r="L1247" i="1"/>
  <c r="K1247" i="1"/>
  <c r="L1255" i="1"/>
  <c r="L1271" i="1"/>
  <c r="K1271" i="1"/>
  <c r="K286" i="1"/>
  <c r="M286" i="1" s="1"/>
  <c r="K1175" i="1"/>
  <c r="K1211" i="1"/>
  <c r="K1230" i="1"/>
  <c r="L1190" i="1"/>
  <c r="M1190" i="1" s="1"/>
  <c r="L293" i="1"/>
  <c r="K293" i="1"/>
  <c r="L309" i="1"/>
  <c r="K309" i="1"/>
  <c r="L325" i="1"/>
  <c r="K325" i="1"/>
  <c r="M325" i="1" s="1"/>
  <c r="L341" i="1"/>
  <c r="K341" i="1"/>
  <c r="L357" i="1"/>
  <c r="K357" i="1"/>
  <c r="L373" i="1"/>
  <c r="K373" i="1"/>
  <c r="M373" i="1" s="1"/>
  <c r="L397" i="1"/>
  <c r="K397" i="1"/>
  <c r="L405" i="1"/>
  <c r="K405" i="1"/>
  <c r="L421" i="1"/>
  <c r="K421" i="1"/>
  <c r="L437" i="1"/>
  <c r="K437" i="1"/>
  <c r="L453" i="1"/>
  <c r="K453" i="1"/>
  <c r="M453" i="1" s="1"/>
  <c r="L469" i="1"/>
  <c r="K469" i="1"/>
  <c r="L485" i="1"/>
  <c r="K485" i="1"/>
  <c r="L501" i="1"/>
  <c r="K501" i="1"/>
  <c r="M501" i="1" s="1"/>
  <c r="L517" i="1"/>
  <c r="K517" i="1"/>
  <c r="L533" i="1"/>
  <c r="K533" i="1"/>
  <c r="L549" i="1"/>
  <c r="K549" i="1"/>
  <c r="L565" i="1"/>
  <c r="K565" i="1"/>
  <c r="L581" i="1"/>
  <c r="K581" i="1"/>
  <c r="M581" i="1" s="1"/>
  <c r="L597" i="1"/>
  <c r="K597" i="1"/>
  <c r="L613" i="1"/>
  <c r="K613" i="1"/>
  <c r="L629" i="1"/>
  <c r="K629" i="1"/>
  <c r="L645" i="1"/>
  <c r="K645" i="1"/>
  <c r="L661" i="1"/>
  <c r="K661" i="1"/>
  <c r="L677" i="1"/>
  <c r="K677" i="1"/>
  <c r="L693" i="1"/>
  <c r="K693" i="1"/>
  <c r="L717" i="1"/>
  <c r="K717" i="1"/>
  <c r="M717" i="1" s="1"/>
  <c r="K733" i="1"/>
  <c r="L749" i="1"/>
  <c r="K749" i="1"/>
  <c r="L773" i="1"/>
  <c r="K773" i="1"/>
  <c r="M773" i="1" s="1"/>
  <c r="L789" i="1"/>
  <c r="K789" i="1"/>
  <c r="L805" i="1"/>
  <c r="K805" i="1"/>
  <c r="M805" i="1" s="1"/>
  <c r="K821" i="1"/>
  <c r="L821" i="1"/>
  <c r="L837" i="1"/>
  <c r="K837" i="1"/>
  <c r="L853" i="1"/>
  <c r="K853" i="1"/>
  <c r="L869" i="1"/>
  <c r="K869" i="1"/>
  <c r="L893" i="1"/>
  <c r="K893" i="1"/>
  <c r="K909" i="1"/>
  <c r="L909" i="1"/>
  <c r="K925" i="1"/>
  <c r="L941" i="1"/>
  <c r="K941" i="1"/>
  <c r="L965" i="1"/>
  <c r="K965" i="1"/>
  <c r="M965" i="1" s="1"/>
  <c r="L981" i="1"/>
  <c r="K981" i="1"/>
  <c r="L997" i="1"/>
  <c r="K997" i="1"/>
  <c r="M997" i="1" s="1"/>
  <c r="K1013" i="1"/>
  <c r="K1029" i="1"/>
  <c r="L1029" i="1"/>
  <c r="K1045" i="1"/>
  <c r="M1045" i="1" s="1"/>
  <c r="K1061" i="1"/>
  <c r="M1061" i="1" s="1"/>
  <c r="K1077" i="1"/>
  <c r="L1077" i="1"/>
  <c r="L1101" i="1"/>
  <c r="K1101" i="1"/>
  <c r="K1117" i="1"/>
  <c r="L1117" i="1"/>
  <c r="K1141" i="1"/>
  <c r="L1141" i="1"/>
  <c r="L6" i="1"/>
  <c r="M6" i="1" s="1"/>
  <c r="L22" i="1"/>
  <c r="L38" i="1"/>
  <c r="M38" i="1" s="1"/>
  <c r="L62" i="1"/>
  <c r="M62" i="1" s="1"/>
  <c r="L70" i="1"/>
  <c r="M70" i="1" s="1"/>
  <c r="L86" i="1"/>
  <c r="L110" i="1"/>
  <c r="M110" i="1" s="1"/>
  <c r="L126" i="1"/>
  <c r="M126" i="1" s="1"/>
  <c r="L142" i="1"/>
  <c r="L158" i="1"/>
  <c r="M158" i="1" s="1"/>
  <c r="L174" i="1"/>
  <c r="M174" i="1" s="1"/>
  <c r="L190" i="1"/>
  <c r="M190" i="1" s="1"/>
  <c r="L214" i="1"/>
  <c r="L230" i="1"/>
  <c r="L246" i="1"/>
  <c r="L262" i="1"/>
  <c r="M262" i="1" s="1"/>
  <c r="L278" i="1"/>
  <c r="L294" i="1"/>
  <c r="M294" i="1" s="1"/>
  <c r="L310" i="1"/>
  <c r="L326" i="1"/>
  <c r="L342" i="1"/>
  <c r="L358" i="1"/>
  <c r="M358" i="1" s="1"/>
  <c r="L374" i="1"/>
  <c r="L390" i="1"/>
  <c r="M390" i="1" s="1"/>
  <c r="L414" i="1"/>
  <c r="M414" i="1" s="1"/>
  <c r="L430" i="1"/>
  <c r="M430" i="1" s="1"/>
  <c r="L446" i="1"/>
  <c r="M446" i="1" s="1"/>
  <c r="L462" i="1"/>
  <c r="M462" i="1" s="1"/>
  <c r="L478" i="1"/>
  <c r="L494" i="1"/>
  <c r="M494" i="1" s="1"/>
  <c r="L510" i="1"/>
  <c r="L534" i="1"/>
  <c r="L550" i="1"/>
  <c r="M550" i="1" s="1"/>
  <c r="L566" i="1"/>
  <c r="K566" i="1"/>
  <c r="M566" i="1" s="1"/>
  <c r="L582" i="1"/>
  <c r="K582" i="1"/>
  <c r="M582" i="1" s="1"/>
  <c r="L598" i="1"/>
  <c r="K598" i="1"/>
  <c r="K614" i="1"/>
  <c r="M614" i="1" s="1"/>
  <c r="L630" i="1"/>
  <c r="K630" i="1"/>
  <c r="M630" i="1" s="1"/>
  <c r="L646" i="1"/>
  <c r="K646" i="1"/>
  <c r="L670" i="1"/>
  <c r="K670" i="1"/>
  <c r="M670" i="1" s="1"/>
  <c r="L678" i="1"/>
  <c r="K678" i="1"/>
  <c r="M678" i="1" s="1"/>
  <c r="L694" i="1"/>
  <c r="K694" i="1"/>
  <c r="L710" i="1"/>
  <c r="K710" i="1"/>
  <c r="L734" i="1"/>
  <c r="K734" i="1"/>
  <c r="L750" i="1"/>
  <c r="K750" i="1"/>
  <c r="M750" i="1" s="1"/>
  <c r="L766" i="1"/>
  <c r="K766" i="1"/>
  <c r="M766" i="1" s="1"/>
  <c r="L782" i="1"/>
  <c r="K782" i="1"/>
  <c r="L798" i="1"/>
  <c r="K798" i="1"/>
  <c r="L814" i="1"/>
  <c r="K814" i="1"/>
  <c r="L838" i="1"/>
  <c r="L854" i="1"/>
  <c r="K854" i="1"/>
  <c r="M854" i="1" s="1"/>
  <c r="L870" i="1"/>
  <c r="L894" i="1"/>
  <c r="K894" i="1"/>
  <c r="M894" i="1" s="1"/>
  <c r="L1064" i="1"/>
  <c r="K1064" i="1"/>
  <c r="L1072" i="1"/>
  <c r="L1080" i="1"/>
  <c r="M1080" i="1" s="1"/>
  <c r="L1088" i="1"/>
  <c r="K1088" i="1"/>
  <c r="L1096" i="1"/>
  <c r="K1096" i="1"/>
  <c r="K1104" i="1"/>
  <c r="L1112" i="1"/>
  <c r="L1120" i="1"/>
  <c r="M1120" i="1" s="1"/>
  <c r="L1128" i="1"/>
  <c r="K1128" i="1"/>
  <c r="L1136" i="1"/>
  <c r="M1136" i="1" s="1"/>
  <c r="L1144" i="1"/>
  <c r="L1152" i="1"/>
  <c r="K1152" i="1"/>
  <c r="L1160" i="1"/>
  <c r="M1160" i="1" s="1"/>
  <c r="K1160" i="1"/>
  <c r="L1168" i="1"/>
  <c r="K1168" i="1"/>
  <c r="M1168" i="1" s="1"/>
  <c r="L1176" i="1"/>
  <c r="L1184" i="1"/>
  <c r="M1184" i="1" s="1"/>
  <c r="K1192" i="1"/>
  <c r="M1192" i="1" s="1"/>
  <c r="L1200" i="1"/>
  <c r="L1208" i="1"/>
  <c r="M1208" i="1" s="1"/>
  <c r="L1216" i="1"/>
  <c r="K1216" i="1"/>
  <c r="L1224" i="1"/>
  <c r="M1224" i="1" s="1"/>
  <c r="K1224" i="1"/>
  <c r="L1232" i="1"/>
  <c r="K1232" i="1"/>
  <c r="L1240" i="1"/>
  <c r="M1240" i="1" s="1"/>
  <c r="L1248" i="1"/>
  <c r="M1248" i="1" s="1"/>
  <c r="L1256" i="1"/>
  <c r="K1256" i="1"/>
  <c r="L1264" i="1"/>
  <c r="M1264" i="1" s="1"/>
  <c r="L1272" i="1"/>
  <c r="K1158" i="1"/>
  <c r="M1158" i="1" s="1"/>
  <c r="K1176" i="1"/>
  <c r="M1176" i="1" s="1"/>
  <c r="K1231" i="1"/>
  <c r="M1231" i="1" s="1"/>
  <c r="K1267" i="1"/>
  <c r="L1251" i="1"/>
  <c r="L1181" i="1"/>
  <c r="L733" i="1"/>
  <c r="L301" i="1"/>
  <c r="K301" i="1"/>
  <c r="M301" i="1" s="1"/>
  <c r="L317" i="1"/>
  <c r="K317" i="1"/>
  <c r="L333" i="1"/>
  <c r="K333" i="1"/>
  <c r="L349" i="1"/>
  <c r="K349" i="1"/>
  <c r="M349" i="1" s="1"/>
  <c r="L365" i="1"/>
  <c r="K365" i="1"/>
  <c r="L381" i="1"/>
  <c r="K381" i="1"/>
  <c r="L389" i="1"/>
  <c r="K389" i="1"/>
  <c r="L413" i="1"/>
  <c r="K413" i="1"/>
  <c r="M413" i="1" s="1"/>
  <c r="L429" i="1"/>
  <c r="K429" i="1"/>
  <c r="M429" i="1" s="1"/>
  <c r="L445" i="1"/>
  <c r="K445" i="1"/>
  <c r="L461" i="1"/>
  <c r="K461" i="1"/>
  <c r="L477" i="1"/>
  <c r="K477" i="1"/>
  <c r="M477" i="1" s="1"/>
  <c r="L493" i="1"/>
  <c r="K493" i="1"/>
  <c r="L509" i="1"/>
  <c r="K509" i="1"/>
  <c r="L525" i="1"/>
  <c r="K525" i="1"/>
  <c r="L541" i="1"/>
  <c r="K541" i="1"/>
  <c r="M541" i="1" s="1"/>
  <c r="L557" i="1"/>
  <c r="K557" i="1"/>
  <c r="L573" i="1"/>
  <c r="K573" i="1"/>
  <c r="L589" i="1"/>
  <c r="K589" i="1"/>
  <c r="L605" i="1"/>
  <c r="K605" i="1"/>
  <c r="L621" i="1"/>
  <c r="K621" i="1"/>
  <c r="M621" i="1" s="1"/>
  <c r="L637" i="1"/>
  <c r="K637" i="1"/>
  <c r="L653" i="1"/>
  <c r="K653" i="1"/>
  <c r="L669" i="1"/>
  <c r="K669" i="1"/>
  <c r="K685" i="1"/>
  <c r="L685" i="1"/>
  <c r="L701" i="1"/>
  <c r="K701" i="1"/>
  <c r="L709" i="1"/>
  <c r="K709" i="1"/>
  <c r="L725" i="1"/>
  <c r="K725" i="1"/>
  <c r="L741" i="1"/>
  <c r="K741" i="1"/>
  <c r="K757" i="1"/>
  <c r="M757" i="1" s="1"/>
  <c r="L765" i="1"/>
  <c r="K765" i="1"/>
  <c r="K781" i="1"/>
  <c r="M781" i="1" s="1"/>
  <c r="K797" i="1"/>
  <c r="M797" i="1" s="1"/>
  <c r="L813" i="1"/>
  <c r="K813" i="1"/>
  <c r="L829" i="1"/>
  <c r="K829" i="1"/>
  <c r="K845" i="1"/>
  <c r="M845" i="1" s="1"/>
  <c r="K861" i="1"/>
  <c r="L861" i="1"/>
  <c r="L877" i="1"/>
  <c r="K877" i="1"/>
  <c r="K885" i="1"/>
  <c r="L885" i="1"/>
  <c r="L901" i="1"/>
  <c r="K901" i="1"/>
  <c r="L917" i="1"/>
  <c r="K917" i="1"/>
  <c r="L933" i="1"/>
  <c r="K933" i="1"/>
  <c r="M933" i="1" s="1"/>
  <c r="L949" i="1"/>
  <c r="K949" i="1"/>
  <c r="M949" i="1" s="1"/>
  <c r="K957" i="1"/>
  <c r="M957" i="1" s="1"/>
  <c r="L973" i="1"/>
  <c r="K973" i="1"/>
  <c r="M973" i="1" s="1"/>
  <c r="L989" i="1"/>
  <c r="K989" i="1"/>
  <c r="M989" i="1" s="1"/>
  <c r="L1005" i="1"/>
  <c r="K1005" i="1"/>
  <c r="L1021" i="1"/>
  <c r="K1021" i="1"/>
  <c r="L1037" i="1"/>
  <c r="K1037" i="1"/>
  <c r="M1037" i="1" s="1"/>
  <c r="L1053" i="1"/>
  <c r="K1053" i="1"/>
  <c r="L1069" i="1"/>
  <c r="K1069" i="1"/>
  <c r="L1085" i="1"/>
  <c r="K1085" i="1"/>
  <c r="K1093" i="1"/>
  <c r="L1093" i="1"/>
  <c r="L1109" i="1"/>
  <c r="K1109" i="1"/>
  <c r="L1125" i="1"/>
  <c r="K1125" i="1"/>
  <c r="L1133" i="1"/>
  <c r="K1133" i="1"/>
  <c r="L1149" i="1"/>
  <c r="K1149" i="1"/>
  <c r="L14" i="1"/>
  <c r="M14" i="1" s="1"/>
  <c r="L30" i="1"/>
  <c r="M30" i="1" s="1"/>
  <c r="L46" i="1"/>
  <c r="M46" i="1" s="1"/>
  <c r="L54" i="1"/>
  <c r="L78" i="1"/>
  <c r="M78" i="1" s="1"/>
  <c r="L94" i="1"/>
  <c r="M94" i="1" s="1"/>
  <c r="L102" i="1"/>
  <c r="M102" i="1" s="1"/>
  <c r="L118" i="1"/>
  <c r="L134" i="1"/>
  <c r="M134" i="1" s="1"/>
  <c r="L150" i="1"/>
  <c r="L166" i="1"/>
  <c r="M166" i="1" s="1"/>
  <c r="L182" i="1"/>
  <c r="L198" i="1"/>
  <c r="M198" i="1" s="1"/>
  <c r="L206" i="1"/>
  <c r="M206" i="1" s="1"/>
  <c r="L222" i="1"/>
  <c r="M222" i="1" s="1"/>
  <c r="L238" i="1"/>
  <c r="M238" i="1" s="1"/>
  <c r="L254" i="1"/>
  <c r="L270" i="1"/>
  <c r="M270" i="1" s="1"/>
  <c r="L302" i="1"/>
  <c r="M302" i="1" s="1"/>
  <c r="L318" i="1"/>
  <c r="L334" i="1"/>
  <c r="M334" i="1" s="1"/>
  <c r="L350" i="1"/>
  <c r="M350" i="1" s="1"/>
  <c r="L366" i="1"/>
  <c r="M366" i="1" s="1"/>
  <c r="L382" i="1"/>
  <c r="M382" i="1" s="1"/>
  <c r="L398" i="1"/>
  <c r="M398" i="1" s="1"/>
  <c r="L406" i="1"/>
  <c r="L422" i="1"/>
  <c r="M422" i="1" s="1"/>
  <c r="L438" i="1"/>
  <c r="L454" i="1"/>
  <c r="M454" i="1" s="1"/>
  <c r="L470" i="1"/>
  <c r="L486" i="1"/>
  <c r="M486" i="1" s="1"/>
  <c r="L502" i="1"/>
  <c r="L518" i="1"/>
  <c r="L526" i="1"/>
  <c r="M526" i="1" s="1"/>
  <c r="L542" i="1"/>
  <c r="M542" i="1" s="1"/>
  <c r="L558" i="1"/>
  <c r="K558" i="1"/>
  <c r="L574" i="1"/>
  <c r="K574" i="1"/>
  <c r="L590" i="1"/>
  <c r="K590" i="1"/>
  <c r="L606" i="1"/>
  <c r="K606" i="1"/>
  <c r="M606" i="1" s="1"/>
  <c r="L622" i="1"/>
  <c r="K622" i="1"/>
  <c r="L638" i="1"/>
  <c r="K638" i="1"/>
  <c r="L654" i="1"/>
  <c r="K654" i="1"/>
  <c r="L662" i="1"/>
  <c r="K662" i="1"/>
  <c r="L686" i="1"/>
  <c r="K686" i="1"/>
  <c r="L702" i="1"/>
  <c r="K702" i="1"/>
  <c r="L718" i="1"/>
  <c r="K718" i="1"/>
  <c r="L726" i="1"/>
  <c r="K726" i="1"/>
  <c r="M726" i="1" s="1"/>
  <c r="L742" i="1"/>
  <c r="K742" i="1"/>
  <c r="L758" i="1"/>
  <c r="K758" i="1"/>
  <c r="L774" i="1"/>
  <c r="K774" i="1"/>
  <c r="L790" i="1"/>
  <c r="K790" i="1"/>
  <c r="L806" i="1"/>
  <c r="K806" i="1"/>
  <c r="L822" i="1"/>
  <c r="K822" i="1"/>
  <c r="L830" i="1"/>
  <c r="K830" i="1"/>
  <c r="L846" i="1"/>
  <c r="M846" i="1" s="1"/>
  <c r="L862" i="1"/>
  <c r="L878" i="1"/>
  <c r="K878" i="1"/>
  <c r="L886" i="1"/>
  <c r="K886" i="1"/>
  <c r="L902" i="1"/>
  <c r="M902" i="1" s="1"/>
  <c r="L910" i="1"/>
  <c r="M910" i="1" s="1"/>
  <c r="L918" i="1"/>
  <c r="K918" i="1"/>
  <c r="L926" i="1"/>
  <c r="L934" i="1"/>
  <c r="K942" i="1"/>
  <c r="L942" i="1"/>
  <c r="L950" i="1"/>
  <c r="K950" i="1"/>
  <c r="K958" i="1"/>
  <c r="L958" i="1"/>
  <c r="L966" i="1"/>
  <c r="M966" i="1" s="1"/>
  <c r="L982" i="1"/>
  <c r="K982" i="1"/>
  <c r="M982" i="1" s="1"/>
  <c r="L990" i="1"/>
  <c r="L998" i="1"/>
  <c r="L1006" i="1"/>
  <c r="K1006" i="1"/>
  <c r="L1014" i="1"/>
  <c r="K1014" i="1"/>
  <c r="L1022" i="1"/>
  <c r="K1022" i="1"/>
  <c r="M1022" i="1" s="1"/>
  <c r="L1030" i="1"/>
  <c r="M1030" i="1" s="1"/>
  <c r="L1038" i="1"/>
  <c r="M1038" i="1" s="1"/>
  <c r="L1046" i="1"/>
  <c r="K1046" i="1"/>
  <c r="L1054" i="1"/>
  <c r="L1062" i="1"/>
  <c r="L1070" i="1"/>
  <c r="K1070" i="1"/>
  <c r="M1070" i="1" s="1"/>
  <c r="K1078" i="1"/>
  <c r="M1078" i="1" s="1"/>
  <c r="L1078" i="1"/>
  <c r="L1086" i="1"/>
  <c r="K1086" i="1"/>
  <c r="L1102" i="1"/>
  <c r="M1102" i="1" s="1"/>
  <c r="L1110" i="1"/>
  <c r="K1110" i="1"/>
  <c r="L1126" i="1"/>
  <c r="L7" i="1"/>
  <c r="M7" i="1" s="1"/>
  <c r="L15" i="1"/>
  <c r="M15" i="1" s="1"/>
  <c r="L23" i="1"/>
  <c r="L31" i="1"/>
  <c r="M31" i="1" s="1"/>
  <c r="L39" i="1"/>
  <c r="M39" i="1" s="1"/>
  <c r="L47" i="1"/>
  <c r="M47" i="1" s="1"/>
  <c r="L55" i="1"/>
  <c r="L63" i="1"/>
  <c r="M63" i="1" s="1"/>
  <c r="L71" i="1"/>
  <c r="M71" i="1" s="1"/>
  <c r="L87" i="1"/>
  <c r="L95" i="1"/>
  <c r="M95" i="1" s="1"/>
  <c r="L103" i="1"/>
  <c r="M103" i="1" s="1"/>
  <c r="L111" i="1"/>
  <c r="M111" i="1" s="1"/>
  <c r="L119" i="1"/>
  <c r="L127" i="1"/>
  <c r="M127" i="1" s="1"/>
  <c r="L135" i="1"/>
  <c r="M135" i="1" s="1"/>
  <c r="L143" i="1"/>
  <c r="M143" i="1" s="1"/>
  <c r="L151" i="1"/>
  <c r="L159" i="1"/>
  <c r="M159" i="1" s="1"/>
  <c r="L167" i="1"/>
  <c r="M167" i="1" s="1"/>
  <c r="L175" i="1"/>
  <c r="M175" i="1" s="1"/>
  <c r="L183" i="1"/>
  <c r="L191" i="1"/>
  <c r="M191" i="1" s="1"/>
  <c r="L199" i="1"/>
  <c r="M199" i="1" s="1"/>
  <c r="L207" i="1"/>
  <c r="L215" i="1"/>
  <c r="L223" i="1"/>
  <c r="M223" i="1" s="1"/>
  <c r="L231" i="1"/>
  <c r="M231" i="1" s="1"/>
  <c r="L239" i="1"/>
  <c r="M239" i="1" s="1"/>
  <c r="L247" i="1"/>
  <c r="L255" i="1"/>
  <c r="M255" i="1" s="1"/>
  <c r="L263" i="1"/>
  <c r="L271" i="1"/>
  <c r="M271" i="1" s="1"/>
  <c r="L279" i="1"/>
  <c r="L295" i="1"/>
  <c r="M295" i="1" s="1"/>
  <c r="L303" i="1"/>
  <c r="L311" i="1"/>
  <c r="L319" i="1"/>
  <c r="L327" i="1"/>
  <c r="M327" i="1" s="1"/>
  <c r="L335" i="1"/>
  <c r="M335" i="1" s="1"/>
  <c r="L343" i="1"/>
  <c r="L351" i="1"/>
  <c r="L359" i="1"/>
  <c r="M359" i="1" s="1"/>
  <c r="L367" i="1"/>
  <c r="M367" i="1" s="1"/>
  <c r="L375" i="1"/>
  <c r="L383" i="1"/>
  <c r="L391" i="1"/>
  <c r="M391" i="1" s="1"/>
  <c r="L399" i="1"/>
  <c r="M399" i="1" s="1"/>
  <c r="L407" i="1"/>
  <c r="L423" i="1"/>
  <c r="M423" i="1" s="1"/>
  <c r="L431" i="1"/>
  <c r="M431" i="1" s="1"/>
  <c r="L439" i="1"/>
  <c r="L447" i="1"/>
  <c r="M447" i="1" s="1"/>
  <c r="L455" i="1"/>
  <c r="M455" i="1" s="1"/>
  <c r="L463" i="1"/>
  <c r="M463" i="1" s="1"/>
  <c r="L471" i="1"/>
  <c r="L479" i="1"/>
  <c r="M479" i="1" s="1"/>
  <c r="L487" i="1"/>
  <c r="M487" i="1" s="1"/>
  <c r="L495" i="1"/>
  <c r="M495" i="1" s="1"/>
  <c r="L503" i="1"/>
  <c r="L511" i="1"/>
  <c r="M511" i="1" s="1"/>
  <c r="L519" i="1"/>
  <c r="M519" i="1" s="1"/>
  <c r="L535" i="1"/>
  <c r="L543" i="1"/>
  <c r="M543" i="1" s="1"/>
  <c r="L551" i="1"/>
  <c r="L559" i="1"/>
  <c r="L567" i="1"/>
  <c r="M567" i="1" s="1"/>
  <c r="L575" i="1"/>
  <c r="L583" i="1"/>
  <c r="L599" i="1"/>
  <c r="M599" i="1" s="1"/>
  <c r="L607" i="1"/>
  <c r="L615" i="1"/>
  <c r="M615" i="1" s="1"/>
  <c r="L623" i="1"/>
  <c r="L631" i="1"/>
  <c r="M631" i="1" s="1"/>
  <c r="L639" i="1"/>
  <c r="L647" i="1"/>
  <c r="M647" i="1" s="1"/>
  <c r="L655" i="1"/>
  <c r="L663" i="1"/>
  <c r="M663" i="1" s="1"/>
  <c r="L671" i="1"/>
  <c r="L679" i="1"/>
  <c r="M679" i="1" s="1"/>
  <c r="L695" i="1"/>
  <c r="M695" i="1" s="1"/>
  <c r="L703" i="1"/>
  <c r="L711" i="1"/>
  <c r="M711" i="1" s="1"/>
  <c r="L719" i="1"/>
  <c r="L727" i="1"/>
  <c r="M727" i="1" s="1"/>
  <c r="L735" i="1"/>
  <c r="L743" i="1"/>
  <c r="M743" i="1" s="1"/>
  <c r="L751" i="1"/>
  <c r="L759" i="1"/>
  <c r="M759" i="1" s="1"/>
  <c r="L767" i="1"/>
  <c r="L775" i="1"/>
  <c r="L783" i="1"/>
  <c r="L791" i="1"/>
  <c r="L799" i="1"/>
  <c r="L807" i="1"/>
  <c r="L815" i="1"/>
  <c r="L823" i="1"/>
  <c r="K823" i="1"/>
  <c r="L831" i="1"/>
  <c r="K831" i="1"/>
  <c r="L839" i="1"/>
  <c r="K839" i="1"/>
  <c r="L847" i="1"/>
  <c r="M847" i="1" s="1"/>
  <c r="L855" i="1"/>
  <c r="M855" i="1" s="1"/>
  <c r="L863" i="1"/>
  <c r="K863" i="1"/>
  <c r="L871" i="1"/>
  <c r="L879" i="1"/>
  <c r="M879" i="1" s="1"/>
  <c r="L887" i="1"/>
  <c r="K887" i="1"/>
  <c r="L895" i="1"/>
  <c r="K895" i="1"/>
  <c r="M895" i="1" s="1"/>
  <c r="L903" i="1"/>
  <c r="K903" i="1"/>
  <c r="L911" i="1"/>
  <c r="M911" i="1" s="1"/>
  <c r="L919" i="1"/>
  <c r="M919" i="1" s="1"/>
  <c r="L927" i="1"/>
  <c r="K927" i="1"/>
  <c r="L935" i="1"/>
  <c r="M935" i="1" s="1"/>
  <c r="L943" i="1"/>
  <c r="L951" i="1"/>
  <c r="K951" i="1"/>
  <c r="L959" i="1"/>
  <c r="K959" i="1"/>
  <c r="L967" i="1"/>
  <c r="K967" i="1"/>
  <c r="L975" i="1"/>
  <c r="L983" i="1"/>
  <c r="M983" i="1" s="1"/>
  <c r="L991" i="1"/>
  <c r="K991" i="1"/>
  <c r="L999" i="1"/>
  <c r="L1007" i="1"/>
  <c r="M1007" i="1" s="1"/>
  <c r="L1015" i="1"/>
  <c r="K1015" i="1"/>
  <c r="L1023" i="1"/>
  <c r="K1023" i="1"/>
  <c r="M1023" i="1" s="1"/>
  <c r="L1031" i="1"/>
  <c r="K1031" i="1"/>
  <c r="L1039" i="1"/>
  <c r="M1039" i="1" s="1"/>
  <c r="L1047" i="1"/>
  <c r="M1047" i="1" s="1"/>
  <c r="L1055" i="1"/>
  <c r="K1055" i="1"/>
  <c r="L1063" i="1"/>
  <c r="M1063" i="1" s="1"/>
  <c r="L1071" i="1"/>
  <c r="K1079" i="1"/>
  <c r="M1079" i="1" s="1"/>
  <c r="L1087" i="1"/>
  <c r="K1087" i="1"/>
  <c r="L1095" i="1"/>
  <c r="K1095" i="1"/>
  <c r="L1103" i="1"/>
  <c r="M1103" i="1" s="1"/>
  <c r="L1111" i="1"/>
  <c r="M1111" i="1" s="1"/>
  <c r="K1119" i="1"/>
  <c r="M1119" i="1" s="1"/>
  <c r="L1127" i="1"/>
  <c r="L1135" i="1"/>
  <c r="M1135" i="1" s="1"/>
  <c r="L1143" i="1"/>
  <c r="K1143" i="1"/>
  <c r="L16" i="1"/>
  <c r="M16" i="1" s="1"/>
  <c r="L24" i="1"/>
  <c r="M24" i="1" s="1"/>
  <c r="L32" i="1"/>
  <c r="L40" i="1"/>
  <c r="M40" i="1" s="1"/>
  <c r="L48" i="1"/>
  <c r="M48" i="1" s="1"/>
  <c r="L56" i="1"/>
  <c r="M56" i="1" s="1"/>
  <c r="L64" i="1"/>
  <c r="L80" i="1"/>
  <c r="M80" i="1" s="1"/>
  <c r="L88" i="1"/>
  <c r="M88" i="1" s="1"/>
  <c r="L96" i="1"/>
  <c r="L104" i="1"/>
  <c r="M104" i="1" s="1"/>
  <c r="L112" i="1"/>
  <c r="M112" i="1" s="1"/>
  <c r="L120" i="1"/>
  <c r="L128" i="1"/>
  <c r="L136" i="1"/>
  <c r="M136" i="1" s="1"/>
  <c r="L144" i="1"/>
  <c r="M144" i="1" s="1"/>
  <c r="L152" i="1"/>
  <c r="M152" i="1" s="1"/>
  <c r="L160" i="1"/>
  <c r="L168" i="1"/>
  <c r="M168" i="1" s="1"/>
  <c r="L176" i="1"/>
  <c r="L192" i="1"/>
  <c r="L200" i="1"/>
  <c r="L208" i="1"/>
  <c r="M208" i="1" s="1"/>
  <c r="L216" i="1"/>
  <c r="M216" i="1" s="1"/>
  <c r="L224" i="1"/>
  <c r="L232" i="1"/>
  <c r="M232" i="1" s="1"/>
  <c r="L240" i="1"/>
  <c r="M240" i="1" s="1"/>
  <c r="L248" i="1"/>
  <c r="M248" i="1" s="1"/>
  <c r="L256" i="1"/>
  <c r="L264" i="1"/>
  <c r="M264" i="1" s="1"/>
  <c r="L272" i="1"/>
  <c r="M272" i="1" s="1"/>
  <c r="L280" i="1"/>
  <c r="M280" i="1" s="1"/>
  <c r="L288" i="1"/>
  <c r="L296" i="1"/>
  <c r="M296" i="1" s="1"/>
  <c r="L304" i="1"/>
  <c r="M304" i="1" s="1"/>
  <c r="L312" i="1"/>
  <c r="M312" i="1" s="1"/>
  <c r="L320" i="1"/>
  <c r="L328" i="1"/>
  <c r="M328" i="1" s="1"/>
  <c r="L336" i="1"/>
  <c r="M336" i="1" s="1"/>
  <c r="L344" i="1"/>
  <c r="M344" i="1" s="1"/>
  <c r="L352" i="1"/>
  <c r="L360" i="1"/>
  <c r="M360" i="1" s="1"/>
  <c r="L368" i="1"/>
  <c r="M368" i="1" s="1"/>
  <c r="L376" i="1"/>
  <c r="M376" i="1" s="1"/>
  <c r="L384" i="1"/>
  <c r="L392" i="1"/>
  <c r="M392" i="1" s="1"/>
  <c r="L400" i="1"/>
  <c r="M400" i="1" s="1"/>
  <c r="L408" i="1"/>
  <c r="M408" i="1" s="1"/>
  <c r="L416" i="1"/>
  <c r="L424" i="1"/>
  <c r="L432" i="1"/>
  <c r="M432" i="1" s="1"/>
  <c r="L440" i="1"/>
  <c r="M440" i="1" s="1"/>
  <c r="L448" i="1"/>
  <c r="L456" i="1"/>
  <c r="M456" i="1" s="1"/>
  <c r="L464" i="1"/>
  <c r="M464" i="1" s="1"/>
  <c r="L472" i="1"/>
  <c r="M472" i="1" s="1"/>
  <c r="L480" i="1"/>
  <c r="L496" i="1"/>
  <c r="M496" i="1" s="1"/>
  <c r="L504" i="1"/>
  <c r="M504" i="1" s="1"/>
  <c r="L512" i="1"/>
  <c r="L528" i="1"/>
  <c r="M528" i="1" s="1"/>
  <c r="L536" i="1"/>
  <c r="M536" i="1" s="1"/>
  <c r="L544" i="1"/>
  <c r="L552" i="1"/>
  <c r="M552" i="1" s="1"/>
  <c r="L560" i="1"/>
  <c r="L568" i="1"/>
  <c r="M568" i="1" s="1"/>
  <c r="L576" i="1"/>
  <c r="L584" i="1"/>
  <c r="M584" i="1" s="1"/>
  <c r="L592" i="1"/>
  <c r="L600" i="1"/>
  <c r="M600" i="1" s="1"/>
  <c r="L608" i="1"/>
  <c r="L616" i="1"/>
  <c r="M616" i="1" s="1"/>
  <c r="L624" i="1"/>
  <c r="M624" i="1" s="1"/>
  <c r="L632" i="1"/>
  <c r="M632" i="1" s="1"/>
  <c r="L640" i="1"/>
  <c r="L648" i="1"/>
  <c r="M648" i="1" s="1"/>
  <c r="L656" i="1"/>
  <c r="L672" i="1"/>
  <c r="L680" i="1"/>
  <c r="M680" i="1" s="1"/>
  <c r="L688" i="1"/>
  <c r="L696" i="1"/>
  <c r="M696" i="1" s="1"/>
  <c r="L704" i="1"/>
  <c r="L712" i="1"/>
  <c r="M712" i="1" s="1"/>
  <c r="L720" i="1"/>
  <c r="L728" i="1"/>
  <c r="M728" i="1" s="1"/>
  <c r="L736" i="1"/>
  <c r="L744" i="1"/>
  <c r="M744" i="1" s="1"/>
  <c r="L752" i="1"/>
  <c r="M752" i="1" s="1"/>
  <c r="L760" i="1"/>
  <c r="M760" i="1" s="1"/>
  <c r="L768" i="1"/>
  <c r="L776" i="1"/>
  <c r="M776" i="1" s="1"/>
  <c r="L784" i="1"/>
  <c r="L792" i="1"/>
  <c r="M792" i="1" s="1"/>
  <c r="L800" i="1"/>
  <c r="L808" i="1"/>
  <c r="M808" i="1" s="1"/>
  <c r="L816" i="1"/>
  <c r="L824" i="1"/>
  <c r="M824" i="1" s="1"/>
  <c r="L832" i="1"/>
  <c r="K832" i="1"/>
  <c r="L840" i="1"/>
  <c r="K840" i="1"/>
  <c r="L848" i="1"/>
  <c r="K848" i="1"/>
  <c r="L856" i="1"/>
  <c r="M856" i="1" s="1"/>
  <c r="L864" i="1"/>
  <c r="M864" i="1" s="1"/>
  <c r="L872" i="1"/>
  <c r="K872" i="1"/>
  <c r="L880" i="1"/>
  <c r="M880" i="1" s="1"/>
  <c r="L888" i="1"/>
  <c r="L896" i="1"/>
  <c r="K896" i="1"/>
  <c r="L904" i="1"/>
  <c r="K904" i="1"/>
  <c r="L912" i="1"/>
  <c r="K912" i="1"/>
  <c r="M912" i="1" s="1"/>
  <c r="L920" i="1"/>
  <c r="M920" i="1" s="1"/>
  <c r="L928" i="1"/>
  <c r="M928" i="1" s="1"/>
  <c r="L936" i="1"/>
  <c r="K936" i="1"/>
  <c r="L944" i="1"/>
  <c r="M944" i="1" s="1"/>
  <c r="L952" i="1"/>
  <c r="M952" i="1" s="1"/>
  <c r="L960" i="1"/>
  <c r="K960" i="1"/>
  <c r="L968" i="1"/>
  <c r="K968" i="1"/>
  <c r="L976" i="1"/>
  <c r="K976" i="1"/>
  <c r="L984" i="1"/>
  <c r="L992" i="1"/>
  <c r="M992" i="1" s="1"/>
  <c r="L1000" i="1"/>
  <c r="K1000" i="1"/>
  <c r="L1008" i="1"/>
  <c r="M1008" i="1" s="1"/>
  <c r="L1016" i="1"/>
  <c r="L1024" i="1"/>
  <c r="K1024" i="1"/>
  <c r="L1032" i="1"/>
  <c r="K1032" i="1"/>
  <c r="L1040" i="1"/>
  <c r="K1040" i="1"/>
  <c r="M1040" i="1" s="1"/>
  <c r="L1048" i="1"/>
  <c r="M1048" i="1" s="1"/>
  <c r="L1056" i="1"/>
  <c r="M1056" i="1" s="1"/>
  <c r="L9" i="1"/>
  <c r="K9" i="1"/>
  <c r="L17" i="1"/>
  <c r="K17" i="1"/>
  <c r="M17" i="1" s="1"/>
  <c r="L25" i="1"/>
  <c r="K25" i="1"/>
  <c r="M25" i="1" s="1"/>
  <c r="L33" i="1"/>
  <c r="K33" i="1"/>
  <c r="L41" i="1"/>
  <c r="K41" i="1"/>
  <c r="L49" i="1"/>
  <c r="K49" i="1"/>
  <c r="L57" i="1"/>
  <c r="K57" i="1"/>
  <c r="M57" i="1" s="1"/>
  <c r="L65" i="1"/>
  <c r="K65" i="1"/>
  <c r="L73" i="1"/>
  <c r="K73" i="1"/>
  <c r="L81" i="1"/>
  <c r="K81" i="1"/>
  <c r="M81" i="1" s="1"/>
  <c r="L89" i="1"/>
  <c r="K89" i="1"/>
  <c r="M89" i="1" s="1"/>
  <c r="L97" i="1"/>
  <c r="K97" i="1"/>
  <c r="L105" i="1"/>
  <c r="K105" i="1"/>
  <c r="L113" i="1"/>
  <c r="K113" i="1"/>
  <c r="L121" i="1"/>
  <c r="K121" i="1"/>
  <c r="M121" i="1" s="1"/>
  <c r="L129" i="1"/>
  <c r="K129" i="1"/>
  <c r="L137" i="1"/>
  <c r="K137" i="1"/>
  <c r="K145" i="1"/>
  <c r="M145" i="1" s="1"/>
  <c r="L153" i="1"/>
  <c r="K153" i="1"/>
  <c r="L161" i="1"/>
  <c r="K161" i="1"/>
  <c r="M161" i="1" s="1"/>
  <c r="L169" i="1"/>
  <c r="K169" i="1"/>
  <c r="L177" i="1"/>
  <c r="K177" i="1"/>
  <c r="M177" i="1" s="1"/>
  <c r="L185" i="1"/>
  <c r="K185" i="1"/>
  <c r="L193" i="1"/>
  <c r="K193" i="1"/>
  <c r="L201" i="1"/>
  <c r="K201" i="1"/>
  <c r="K209" i="1"/>
  <c r="M209" i="1" s="1"/>
  <c r="L217" i="1"/>
  <c r="K217" i="1"/>
  <c r="L225" i="1"/>
  <c r="K225" i="1"/>
  <c r="L233" i="1"/>
  <c r="K233" i="1"/>
  <c r="L241" i="1"/>
  <c r="K241" i="1"/>
  <c r="L249" i="1"/>
  <c r="K249" i="1"/>
  <c r="L257" i="1"/>
  <c r="K257" i="1"/>
  <c r="L265" i="1"/>
  <c r="K265" i="1"/>
  <c r="L273" i="1"/>
  <c r="K273" i="1"/>
  <c r="L281" i="1"/>
  <c r="K281" i="1"/>
  <c r="L289" i="1"/>
  <c r="K289" i="1"/>
  <c r="L297" i="1"/>
  <c r="K297" i="1"/>
  <c r="L305" i="1"/>
  <c r="K305" i="1"/>
  <c r="L313" i="1"/>
  <c r="K313" i="1"/>
  <c r="L321" i="1"/>
  <c r="K321" i="1"/>
  <c r="L329" i="1"/>
  <c r="K329" i="1"/>
  <c r="L337" i="1"/>
  <c r="K337" i="1"/>
  <c r="L345" i="1"/>
  <c r="K345" i="1"/>
  <c r="K353" i="1"/>
  <c r="M353" i="1" s="1"/>
  <c r="L361" i="1"/>
  <c r="K361" i="1"/>
  <c r="M361" i="1" s="1"/>
  <c r="L369" i="1"/>
  <c r="K369" i="1"/>
  <c r="L377" i="1"/>
  <c r="K377" i="1"/>
  <c r="K385" i="1"/>
  <c r="M385" i="1" s="1"/>
  <c r="L393" i="1"/>
  <c r="K393" i="1"/>
  <c r="L401" i="1"/>
  <c r="M401" i="1" s="1"/>
  <c r="K401" i="1"/>
  <c r="L409" i="1"/>
  <c r="K409" i="1"/>
  <c r="K417" i="1"/>
  <c r="M417" i="1" s="1"/>
  <c r="L425" i="1"/>
  <c r="K425" i="1"/>
  <c r="L433" i="1"/>
  <c r="K433" i="1"/>
  <c r="M433" i="1" s="1"/>
  <c r="L441" i="1"/>
  <c r="M441" i="1" s="1"/>
  <c r="K441" i="1"/>
  <c r="L449" i="1"/>
  <c r="K449" i="1"/>
  <c r="L457" i="1"/>
  <c r="K457" i="1"/>
  <c r="L465" i="1"/>
  <c r="K465" i="1"/>
  <c r="L473" i="1"/>
  <c r="K473" i="1"/>
  <c r="K481" i="1"/>
  <c r="M481" i="1" s="1"/>
  <c r="L489" i="1"/>
  <c r="K489" i="1"/>
  <c r="M489" i="1" s="1"/>
  <c r="L497" i="1"/>
  <c r="K497" i="1"/>
  <c r="M497" i="1" s="1"/>
  <c r="L505" i="1"/>
  <c r="M505" i="1" s="1"/>
  <c r="K505" i="1"/>
  <c r="L513" i="1"/>
  <c r="M513" i="1" s="1"/>
  <c r="K513" i="1"/>
  <c r="L521" i="1"/>
  <c r="K521" i="1"/>
  <c r="L529" i="1"/>
  <c r="K529" i="1"/>
  <c r="L537" i="1"/>
  <c r="K537" i="1"/>
  <c r="L545" i="1"/>
  <c r="K545" i="1"/>
  <c r="L553" i="1"/>
  <c r="K553" i="1"/>
  <c r="M553" i="1" s="1"/>
  <c r="L561" i="1"/>
  <c r="K561" i="1"/>
  <c r="M561" i="1" s="1"/>
  <c r="L569" i="1"/>
  <c r="M569" i="1" s="1"/>
  <c r="K569" i="1"/>
  <c r="L577" i="1"/>
  <c r="M577" i="1" s="1"/>
  <c r="K577" i="1"/>
  <c r="L585" i="1"/>
  <c r="K585" i="1"/>
  <c r="K593" i="1"/>
  <c r="M593" i="1" s="1"/>
  <c r="L601" i="1"/>
  <c r="K601" i="1"/>
  <c r="L609" i="1"/>
  <c r="K609" i="1"/>
  <c r="L617" i="1"/>
  <c r="K617" i="1"/>
  <c r="L625" i="1"/>
  <c r="K625" i="1"/>
  <c r="L633" i="1"/>
  <c r="K633" i="1"/>
  <c r="L641" i="1"/>
  <c r="K641" i="1"/>
  <c r="L649" i="1"/>
  <c r="K649" i="1"/>
  <c r="L657" i="1"/>
  <c r="M657" i="1" s="1"/>
  <c r="K657" i="1"/>
  <c r="L665" i="1"/>
  <c r="K665" i="1"/>
  <c r="L673" i="1"/>
  <c r="K673" i="1"/>
  <c r="L681" i="1"/>
  <c r="K681" i="1"/>
  <c r="L689" i="1"/>
  <c r="K689" i="1"/>
  <c r="L697" i="1"/>
  <c r="K697" i="1"/>
  <c r="L705" i="1"/>
  <c r="K705" i="1"/>
  <c r="L713" i="1"/>
  <c r="K713" i="1"/>
  <c r="L721" i="1"/>
  <c r="M721" i="1" s="1"/>
  <c r="K721" i="1"/>
  <c r="L729" i="1"/>
  <c r="K729" i="1"/>
  <c r="K737" i="1"/>
  <c r="M737" i="1" s="1"/>
  <c r="L745" i="1"/>
  <c r="M745" i="1" s="1"/>
  <c r="K745" i="1"/>
  <c r="L753" i="1"/>
  <c r="K753" i="1"/>
  <c r="L761" i="1"/>
  <c r="K761" i="1"/>
  <c r="L769" i="1"/>
  <c r="M769" i="1" s="1"/>
  <c r="K769" i="1"/>
  <c r="L777" i="1"/>
  <c r="K777" i="1"/>
  <c r="L785" i="1"/>
  <c r="K785" i="1"/>
  <c r="L793" i="1"/>
  <c r="K793" i="1"/>
  <c r="L801" i="1"/>
  <c r="K801" i="1"/>
  <c r="L809" i="1"/>
  <c r="M809" i="1" s="1"/>
  <c r="K809" i="1"/>
  <c r="L817" i="1"/>
  <c r="K817" i="1"/>
  <c r="L825" i="1"/>
  <c r="M825" i="1" s="1"/>
  <c r="L833" i="1"/>
  <c r="K841" i="1"/>
  <c r="L841" i="1"/>
  <c r="L849" i="1"/>
  <c r="K849" i="1"/>
  <c r="L857" i="1"/>
  <c r="K857" i="1"/>
  <c r="L873" i="1"/>
  <c r="M873" i="1" s="1"/>
  <c r="L881" i="1"/>
  <c r="K881" i="1"/>
  <c r="L889" i="1"/>
  <c r="M889" i="1" s="1"/>
  <c r="L897" i="1"/>
  <c r="M897" i="1" s="1"/>
  <c r="K905" i="1"/>
  <c r="M905" i="1" s="1"/>
  <c r="L913" i="1"/>
  <c r="K913" i="1"/>
  <c r="L921" i="1"/>
  <c r="K921" i="1"/>
  <c r="L929" i="1"/>
  <c r="M929" i="1" s="1"/>
  <c r="L937" i="1"/>
  <c r="M937" i="1" s="1"/>
  <c r="K945" i="1"/>
  <c r="M945" i="1" s="1"/>
  <c r="L953" i="1"/>
  <c r="M953" i="1" s="1"/>
  <c r="L961" i="1"/>
  <c r="L969" i="1"/>
  <c r="K969" i="1"/>
  <c r="L977" i="1"/>
  <c r="K977" i="1"/>
  <c r="L985" i="1"/>
  <c r="K985" i="1"/>
  <c r="L993" i="1"/>
  <c r="M993" i="1" s="1"/>
  <c r="L1001" i="1"/>
  <c r="M1001" i="1" s="1"/>
  <c r="L1009" i="1"/>
  <c r="K1009" i="1"/>
  <c r="L1017" i="1"/>
  <c r="L1025" i="1"/>
  <c r="M1025" i="1" s="1"/>
  <c r="L1033" i="1"/>
  <c r="M1033" i="1" s="1"/>
  <c r="K1033" i="1"/>
  <c r="L1041" i="1"/>
  <c r="K1041" i="1"/>
  <c r="L1049" i="1"/>
  <c r="M1049" i="1" s="1"/>
  <c r="K1049" i="1"/>
  <c r="L1057" i="1"/>
  <c r="M1057" i="1" s="1"/>
  <c r="L1065" i="1"/>
  <c r="M1065" i="1" s="1"/>
  <c r="L1073" i="1"/>
  <c r="M1073" i="1" s="1"/>
  <c r="K1073" i="1"/>
  <c r="L1081" i="1"/>
  <c r="M1081" i="1" s="1"/>
  <c r="L1089" i="1"/>
  <c r="L1097" i="1"/>
  <c r="K1097" i="1"/>
  <c r="L1105" i="1"/>
  <c r="K1105" i="1"/>
  <c r="L1113" i="1"/>
  <c r="K1113" i="1"/>
  <c r="L1121" i="1"/>
  <c r="M1121" i="1" s="1"/>
  <c r="L1129" i="1"/>
  <c r="M1129" i="1" s="1"/>
  <c r="L1137" i="1"/>
  <c r="K1137" i="1"/>
  <c r="L1145" i="1"/>
  <c r="L1161" i="1"/>
  <c r="K1161" i="1"/>
  <c r="L1169" i="1"/>
  <c r="K1169" i="1"/>
  <c r="L1177" i="1"/>
  <c r="K1177" i="1"/>
  <c r="L1185" i="1"/>
  <c r="L1193" i="1"/>
  <c r="M1193" i="1" s="1"/>
  <c r="K1201" i="1"/>
  <c r="M1201" i="1" s="1"/>
  <c r="L1209" i="1"/>
  <c r="M1209" i="1" s="1"/>
  <c r="L1225" i="1"/>
  <c r="K1225" i="1"/>
  <c r="L1233" i="1"/>
  <c r="K1233" i="1"/>
  <c r="L1241" i="1"/>
  <c r="K1241" i="1"/>
  <c r="L1249" i="1"/>
  <c r="L1257" i="1"/>
  <c r="M1257" i="1" s="1"/>
  <c r="L1265" i="1"/>
  <c r="M1265" i="1" s="1"/>
  <c r="K1265" i="1"/>
  <c r="L1273" i="1"/>
  <c r="K22" i="1"/>
  <c r="M22" i="1" s="1"/>
  <c r="K32" i="1"/>
  <c r="K54" i="1"/>
  <c r="M54" i="1" s="1"/>
  <c r="K64" i="1"/>
  <c r="M64" i="1" s="1"/>
  <c r="K86" i="1"/>
  <c r="M86" i="1" s="1"/>
  <c r="K96" i="1"/>
  <c r="K118" i="1"/>
  <c r="M118" i="1" s="1"/>
  <c r="K128" i="1"/>
  <c r="K150" i="1"/>
  <c r="M150" i="1" s="1"/>
  <c r="K160" i="1"/>
  <c r="K182" i="1"/>
  <c r="M182" i="1" s="1"/>
  <c r="K192" i="1"/>
  <c r="M192" i="1" s="1"/>
  <c r="K214" i="1"/>
  <c r="K224" i="1"/>
  <c r="K246" i="1"/>
  <c r="K256" i="1"/>
  <c r="K278" i="1"/>
  <c r="M278" i="1" s="1"/>
  <c r="K288" i="1"/>
  <c r="K310" i="1"/>
  <c r="K320" i="1"/>
  <c r="K342" i="1"/>
  <c r="M342" i="1" s="1"/>
  <c r="K352" i="1"/>
  <c r="K374" i="1"/>
  <c r="K384" i="1"/>
  <c r="K406" i="1"/>
  <c r="M406" i="1" s="1"/>
  <c r="K416" i="1"/>
  <c r="K438" i="1"/>
  <c r="M438" i="1" s="1"/>
  <c r="K448" i="1"/>
  <c r="K470" i="1"/>
  <c r="M470" i="1" s="1"/>
  <c r="K480" i="1"/>
  <c r="K502" i="1"/>
  <c r="K512" i="1"/>
  <c r="K534" i="1"/>
  <c r="M534" i="1" s="1"/>
  <c r="K544" i="1"/>
  <c r="M544" i="1" s="1"/>
  <c r="K559" i="1"/>
  <c r="M559" i="1" s="1"/>
  <c r="K575" i="1"/>
  <c r="K591" i="1"/>
  <c r="M591" i="1" s="1"/>
  <c r="K607" i="1"/>
  <c r="M607" i="1" s="1"/>
  <c r="K623" i="1"/>
  <c r="K639" i="1"/>
  <c r="M639" i="1" s="1"/>
  <c r="K655" i="1"/>
  <c r="M655" i="1" s="1"/>
  <c r="K671" i="1"/>
  <c r="M671" i="1" s="1"/>
  <c r="K687" i="1"/>
  <c r="K703" i="1"/>
  <c r="M703" i="1" s="1"/>
  <c r="K719" i="1"/>
  <c r="K735" i="1"/>
  <c r="K751" i="1"/>
  <c r="M751" i="1" s="1"/>
  <c r="K767" i="1"/>
  <c r="K783" i="1"/>
  <c r="M783" i="1" s="1"/>
  <c r="K799" i="1"/>
  <c r="K815" i="1"/>
  <c r="M815" i="1" s="1"/>
  <c r="K833" i="1"/>
  <c r="K870" i="1"/>
  <c r="M870" i="1" s="1"/>
  <c r="K888" i="1"/>
  <c r="K943" i="1"/>
  <c r="M943" i="1" s="1"/>
  <c r="K961" i="1"/>
  <c r="K998" i="1"/>
  <c r="M998" i="1" s="1"/>
  <c r="K1016" i="1"/>
  <c r="K1071" i="1"/>
  <c r="M1071" i="1" s="1"/>
  <c r="K1089" i="1"/>
  <c r="K1126" i="1"/>
  <c r="K1144" i="1"/>
  <c r="K1199" i="1"/>
  <c r="M1199" i="1" s="1"/>
  <c r="K1217" i="1"/>
  <c r="M1217" i="1" s="1"/>
  <c r="K1235" i="1"/>
  <c r="K1254" i="1"/>
  <c r="M1254" i="1" s="1"/>
  <c r="K1272" i="1"/>
  <c r="L1229" i="1"/>
  <c r="L1167" i="1"/>
  <c r="M1167" i="1" s="1"/>
  <c r="L1104" i="1"/>
  <c r="L1013" i="1"/>
  <c r="L925" i="1"/>
  <c r="L527" i="1"/>
  <c r="M527" i="1" s="1"/>
  <c r="L79" i="1"/>
  <c r="M79" i="1" s="1"/>
  <c r="L1114" i="1"/>
  <c r="K1114" i="1"/>
  <c r="L1122" i="1"/>
  <c r="K1122" i="1"/>
  <c r="L1130" i="1"/>
  <c r="M1130" i="1" s="1"/>
  <c r="L1138" i="1"/>
  <c r="M1138" i="1" s="1"/>
  <c r="L1146" i="1"/>
  <c r="K1146" i="1"/>
  <c r="L1154" i="1"/>
  <c r="L1162" i="1"/>
  <c r="M1162" i="1" s="1"/>
  <c r="L1170" i="1"/>
  <c r="K1170" i="1"/>
  <c r="L1178" i="1"/>
  <c r="K1178" i="1"/>
  <c r="M1178" i="1" s="1"/>
  <c r="L1186" i="1"/>
  <c r="K1186" i="1"/>
  <c r="L1194" i="1"/>
  <c r="M1194" i="1" s="1"/>
  <c r="L1202" i="1"/>
  <c r="M1202" i="1" s="1"/>
  <c r="L1210" i="1"/>
  <c r="K1210" i="1"/>
  <c r="L1218" i="1"/>
  <c r="L1226" i="1"/>
  <c r="M1226" i="1" s="1"/>
  <c r="L1234" i="1"/>
  <c r="K1234" i="1"/>
  <c r="L1242" i="1"/>
  <c r="K1242" i="1"/>
  <c r="L1250" i="1"/>
  <c r="K1250" i="1"/>
  <c r="L1258" i="1"/>
  <c r="M1258" i="1" s="1"/>
  <c r="K23" i="1"/>
  <c r="M23" i="1" s="1"/>
  <c r="K55" i="1"/>
  <c r="M55" i="1" s="1"/>
  <c r="K87" i="1"/>
  <c r="M87" i="1" s="1"/>
  <c r="K119" i="1"/>
  <c r="M119" i="1" s="1"/>
  <c r="K151" i="1"/>
  <c r="M151" i="1" s="1"/>
  <c r="K183" i="1"/>
  <c r="M183" i="1" s="1"/>
  <c r="K215" i="1"/>
  <c r="M215" i="1" s="1"/>
  <c r="K247" i="1"/>
  <c r="M247" i="1" s="1"/>
  <c r="K279" i="1"/>
  <c r="M279" i="1" s="1"/>
  <c r="K311" i="1"/>
  <c r="M311" i="1" s="1"/>
  <c r="K343" i="1"/>
  <c r="K375" i="1"/>
  <c r="K407" i="1"/>
  <c r="M407" i="1" s="1"/>
  <c r="K439" i="1"/>
  <c r="K471" i="1"/>
  <c r="M471" i="1" s="1"/>
  <c r="K503" i="1"/>
  <c r="K535" i="1"/>
  <c r="M535" i="1" s="1"/>
  <c r="K560" i="1"/>
  <c r="K576" i="1"/>
  <c r="K592" i="1"/>
  <c r="K608" i="1"/>
  <c r="M608" i="1" s="1"/>
  <c r="K624" i="1"/>
  <c r="K640" i="1"/>
  <c r="K656" i="1"/>
  <c r="K672" i="1"/>
  <c r="M672" i="1" s="1"/>
  <c r="K688" i="1"/>
  <c r="K704" i="1"/>
  <c r="K720" i="1"/>
  <c r="K736" i="1"/>
  <c r="M736" i="1" s="1"/>
  <c r="K752" i="1"/>
  <c r="K768" i="1"/>
  <c r="K784" i="1"/>
  <c r="K800" i="1"/>
  <c r="K816" i="1"/>
  <c r="K871" i="1"/>
  <c r="K889" i="1"/>
  <c r="K926" i="1"/>
  <c r="M926" i="1" s="1"/>
  <c r="K944" i="1"/>
  <c r="K999" i="1"/>
  <c r="K1017" i="1"/>
  <c r="K1054" i="1"/>
  <c r="K1072" i="1"/>
  <c r="K1127" i="1"/>
  <c r="K1145" i="1"/>
  <c r="K1163" i="1"/>
  <c r="M1163" i="1" s="1"/>
  <c r="K1182" i="1"/>
  <c r="K1200" i="1"/>
  <c r="K1218" i="1"/>
  <c r="M1218" i="1" s="1"/>
  <c r="K1255" i="1"/>
  <c r="K1273" i="1"/>
  <c r="L1165" i="1"/>
  <c r="L1094" i="1"/>
  <c r="M1094" i="1" s="1"/>
  <c r="L687" i="1"/>
  <c r="L520" i="1"/>
  <c r="M520" i="1" s="1"/>
  <c r="L287" i="1"/>
  <c r="L72" i="1"/>
  <c r="M72" i="1" s="1"/>
  <c r="L1266" i="1"/>
  <c r="M1266" i="1" s="1"/>
  <c r="L1270" i="1"/>
  <c r="K1270" i="1"/>
  <c r="K1262" i="1"/>
  <c r="M1262" i="1" s="1"/>
  <c r="R534" i="4"/>
  <c r="T534" i="4"/>
  <c r="U534" i="4" s="1"/>
  <c r="D7" i="5"/>
  <c r="R542" i="4"/>
  <c r="T542" i="4"/>
  <c r="U542" i="4" s="1"/>
  <c r="D15" i="5"/>
  <c r="R550" i="4"/>
  <c r="T550" i="4"/>
  <c r="U550" i="4" s="1"/>
  <c r="D23" i="5"/>
  <c r="R558" i="4"/>
  <c r="T558" i="4"/>
  <c r="U558" i="4" s="1"/>
  <c r="D31" i="5"/>
  <c r="R566" i="4"/>
  <c r="T566" i="4"/>
  <c r="U566" i="4" s="1"/>
  <c r="D39" i="5"/>
  <c r="R574" i="4"/>
  <c r="T574" i="4"/>
  <c r="U574" i="4" s="1"/>
  <c r="D47" i="5"/>
  <c r="R582" i="4"/>
  <c r="T582" i="4"/>
  <c r="U582" i="4" s="1"/>
  <c r="D55" i="5"/>
  <c r="R533" i="4"/>
  <c r="T533" i="4"/>
  <c r="U533" i="4" s="1"/>
  <c r="D6" i="5"/>
  <c r="R541" i="4"/>
  <c r="T541" i="4"/>
  <c r="U541" i="4" s="1"/>
  <c r="D14" i="5"/>
  <c r="R549" i="4"/>
  <c r="T549" i="4"/>
  <c r="U549" i="4" s="1"/>
  <c r="D22" i="5"/>
  <c r="R557" i="4"/>
  <c r="T557" i="4"/>
  <c r="U557" i="4" s="1"/>
  <c r="D30" i="5"/>
  <c r="R565" i="4"/>
  <c r="T565" i="4"/>
  <c r="U565" i="4" s="1"/>
  <c r="D38" i="5"/>
  <c r="R573" i="4"/>
  <c r="T573" i="4"/>
  <c r="U573" i="4" s="1"/>
  <c r="D46" i="5"/>
  <c r="R581" i="4"/>
  <c r="T581" i="4"/>
  <c r="U581" i="4" s="1"/>
  <c r="D54" i="5"/>
  <c r="T590" i="4"/>
  <c r="U590" i="4" s="1"/>
  <c r="D63" i="5"/>
  <c r="R590" i="4"/>
  <c r="T532" i="4"/>
  <c r="U532" i="4" s="1"/>
  <c r="D5" i="5"/>
  <c r="R532" i="4"/>
  <c r="L1276" i="1" s="1"/>
  <c r="R540" i="4"/>
  <c r="T540" i="4"/>
  <c r="U540" i="4" s="1"/>
  <c r="D13" i="5"/>
  <c r="R548" i="4"/>
  <c r="T548" i="4"/>
  <c r="U548" i="4" s="1"/>
  <c r="D21" i="5"/>
  <c r="T556" i="4"/>
  <c r="U556" i="4" s="1"/>
  <c r="D29" i="5"/>
  <c r="T564" i="4"/>
  <c r="U564" i="4" s="1"/>
  <c r="D37" i="5"/>
  <c r="R564" i="4"/>
  <c r="T572" i="4"/>
  <c r="U572" i="4" s="1"/>
  <c r="D45" i="5"/>
  <c r="T580" i="4"/>
  <c r="U580" i="4" s="1"/>
  <c r="D53" i="5"/>
  <c r="R580" i="4"/>
  <c r="T588" i="4"/>
  <c r="U588" i="4" s="1"/>
  <c r="D61" i="5"/>
  <c r="E6" i="5"/>
  <c r="Z533" i="4"/>
  <c r="E14" i="5"/>
  <c r="Z541" i="4"/>
  <c r="E22" i="5"/>
  <c r="Z549" i="4"/>
  <c r="E30" i="5"/>
  <c r="Z557" i="4"/>
  <c r="E38" i="5"/>
  <c r="Z565" i="4"/>
  <c r="E46" i="5"/>
  <c r="Z573" i="4"/>
  <c r="E54" i="5"/>
  <c r="Z581" i="4"/>
  <c r="E62" i="5"/>
  <c r="Z589" i="4"/>
  <c r="R535" i="4"/>
  <c r="T535" i="4"/>
  <c r="U535" i="4" s="1"/>
  <c r="D8" i="5"/>
  <c r="R543" i="4"/>
  <c r="T543" i="4"/>
  <c r="U543" i="4" s="1"/>
  <c r="D16" i="5"/>
  <c r="R551" i="4"/>
  <c r="T551" i="4"/>
  <c r="U551" i="4" s="1"/>
  <c r="D24" i="5"/>
  <c r="R559" i="4"/>
  <c r="T559" i="4"/>
  <c r="U559" i="4" s="1"/>
  <c r="D32" i="5"/>
  <c r="R567" i="4"/>
  <c r="T567" i="4"/>
  <c r="U567" i="4" s="1"/>
  <c r="D40" i="5"/>
  <c r="R575" i="4"/>
  <c r="T575" i="4"/>
  <c r="U575" i="4" s="1"/>
  <c r="D48" i="5"/>
  <c r="R583" i="4"/>
  <c r="T583" i="4"/>
  <c r="U583" i="4" s="1"/>
  <c r="D56" i="5"/>
  <c r="R591" i="4"/>
  <c r="T591" i="4"/>
  <c r="U591" i="4" s="1"/>
  <c r="D64" i="5"/>
  <c r="T553" i="4"/>
  <c r="U553" i="4" s="1"/>
  <c r="E7" i="5"/>
  <c r="Z534" i="4"/>
  <c r="E15" i="5"/>
  <c r="Z542" i="4"/>
  <c r="E31" i="5"/>
  <c r="Z558" i="4"/>
  <c r="E39" i="5"/>
  <c r="Z566" i="4"/>
  <c r="E47" i="5"/>
  <c r="Z574" i="4"/>
  <c r="E63" i="5"/>
  <c r="Z590" i="4"/>
  <c r="R536" i="4"/>
  <c r="D9" i="5"/>
  <c r="T536" i="4"/>
  <c r="U536" i="4" s="1"/>
  <c r="R544" i="4"/>
  <c r="D17" i="5"/>
  <c r="T544" i="4"/>
  <c r="U544" i="4" s="1"/>
  <c r="R552" i="4"/>
  <c r="D25" i="5"/>
  <c r="T552" i="4"/>
  <c r="U552" i="4" s="1"/>
  <c r="R560" i="4"/>
  <c r="D33" i="5"/>
  <c r="T560" i="4"/>
  <c r="U560" i="4" s="1"/>
  <c r="R568" i="4"/>
  <c r="D41" i="5"/>
  <c r="T568" i="4"/>
  <c r="U568" i="4" s="1"/>
  <c r="R576" i="4"/>
  <c r="D49" i="5"/>
  <c r="T576" i="4"/>
  <c r="U576" i="4" s="1"/>
  <c r="D57" i="5"/>
  <c r="T584" i="4"/>
  <c r="U584" i="4" s="1"/>
  <c r="R592" i="4"/>
  <c r="D65" i="5"/>
  <c r="T592" i="4"/>
  <c r="U592" i="4" s="1"/>
  <c r="T554" i="4"/>
  <c r="U554" i="4" s="1"/>
  <c r="D43" i="5"/>
  <c r="D10" i="5"/>
  <c r="T537" i="4"/>
  <c r="U537" i="4" s="1"/>
  <c r="D18" i="5"/>
  <c r="T545" i="4"/>
  <c r="U545" i="4" s="1"/>
  <c r="D34" i="5"/>
  <c r="T561" i="4"/>
  <c r="U561" i="4" s="1"/>
  <c r="D42" i="5"/>
  <c r="T569" i="4"/>
  <c r="U569" i="4" s="1"/>
  <c r="D50" i="5"/>
  <c r="T577" i="4"/>
  <c r="U577" i="4" s="1"/>
  <c r="D66" i="5"/>
  <c r="T593" i="4"/>
  <c r="U593" i="4" s="1"/>
  <c r="T578" i="4"/>
  <c r="U578" i="4" s="1"/>
  <c r="D44" i="5"/>
  <c r="D3" i="5"/>
  <c r="T530" i="4"/>
  <c r="D35" i="5"/>
  <c r="T562" i="4"/>
  <c r="U562" i="4" s="1"/>
  <c r="D67" i="5"/>
  <c r="T594" i="4"/>
  <c r="U594" i="4" s="1"/>
  <c r="T585" i="4"/>
  <c r="U585" i="4" s="1"/>
  <c r="Z550" i="4"/>
  <c r="T531" i="4"/>
  <c r="U531" i="4" s="1"/>
  <c r="D4" i="5"/>
  <c r="T547" i="4"/>
  <c r="U547" i="4" s="1"/>
  <c r="D20" i="5"/>
  <c r="T555" i="4"/>
  <c r="U555" i="4" s="1"/>
  <c r="D28" i="5"/>
  <c r="T563" i="4"/>
  <c r="U563" i="4" s="1"/>
  <c r="D36" i="5"/>
  <c r="T579" i="4"/>
  <c r="U579" i="4" s="1"/>
  <c r="D52" i="5"/>
  <c r="T587" i="4"/>
  <c r="U587" i="4" s="1"/>
  <c r="D60" i="5"/>
  <c r="T589" i="4"/>
  <c r="U589" i="4" s="1"/>
  <c r="D62" i="5"/>
  <c r="T586" i="4"/>
  <c r="U586" i="4" s="1"/>
  <c r="Y899" i="4"/>
  <c r="Z592" i="4"/>
  <c r="Z584" i="4"/>
  <c r="Z576" i="4"/>
  <c r="Z568" i="4"/>
  <c r="Z560" i="4"/>
  <c r="Z552" i="4"/>
  <c r="Z544" i="4"/>
  <c r="Z536" i="4"/>
  <c r="E4" i="5"/>
  <c r="E2" i="5" s="1"/>
  <c r="E12" i="5"/>
  <c r="E20" i="5"/>
  <c r="E28" i="5"/>
  <c r="E36" i="5"/>
  <c r="E44" i="5"/>
  <c r="E52" i="5"/>
  <c r="E60" i="5"/>
  <c r="Z588" i="4"/>
  <c r="Z580" i="4"/>
  <c r="Z572" i="4"/>
  <c r="Z564" i="4"/>
  <c r="Z556" i="4"/>
  <c r="Z548" i="4"/>
  <c r="Z540" i="4"/>
  <c r="Z532" i="4"/>
  <c r="Z530" i="4"/>
  <c r="Z899" i="4" s="1"/>
  <c r="Q899" i="4"/>
  <c r="M10" i="1"/>
  <c r="M857" i="1" l="1"/>
  <c r="M281" i="1"/>
  <c r="M958" i="1"/>
  <c r="M1181" i="1"/>
  <c r="M503" i="1"/>
  <c r="M681" i="1"/>
  <c r="M617" i="1"/>
  <c r="M377" i="1"/>
  <c r="M137" i="1"/>
  <c r="M73" i="1"/>
  <c r="M9" i="1"/>
  <c r="M1143" i="1"/>
  <c r="M950" i="1"/>
  <c r="M718" i="1"/>
  <c r="M654" i="1"/>
  <c r="M590" i="1"/>
  <c r="M709" i="1"/>
  <c r="M589" i="1"/>
  <c r="M525" i="1"/>
  <c r="M461" i="1"/>
  <c r="M389" i="1"/>
  <c r="M333" i="1"/>
  <c r="M1216" i="1"/>
  <c r="M1077" i="1"/>
  <c r="M613" i="1"/>
  <c r="M549" i="1"/>
  <c r="M421" i="1"/>
  <c r="M357" i="1"/>
  <c r="M1159" i="1"/>
  <c r="M1206" i="1"/>
  <c r="M1245" i="1"/>
  <c r="M948" i="1"/>
  <c r="M731" i="1"/>
  <c r="M531" i="1"/>
  <c r="M962" i="1"/>
  <c r="M626" i="1"/>
  <c r="M723" i="1"/>
  <c r="M1116" i="1"/>
  <c r="M380" i="1"/>
  <c r="M12" i="1"/>
  <c r="M979" i="1"/>
  <c r="M1034" i="1"/>
  <c r="M69" i="1"/>
  <c r="M580" i="1"/>
  <c r="M59" i="1"/>
  <c r="M906" i="1"/>
  <c r="M570" i="1"/>
  <c r="M716" i="1"/>
  <c r="M859" i="1"/>
  <c r="M403" i="1"/>
  <c r="M83" i="1"/>
  <c r="M890" i="1"/>
  <c r="M578" i="1"/>
  <c r="M269" i="1"/>
  <c r="M205" i="1"/>
  <c r="M117" i="1"/>
  <c r="M308" i="1"/>
  <c r="M603" i="1"/>
  <c r="M961" i="1"/>
  <c r="M217" i="1"/>
  <c r="M1128" i="1"/>
  <c r="M1253" i="1"/>
  <c r="M1210" i="1"/>
  <c r="M169" i="1"/>
  <c r="M951" i="1"/>
  <c r="M823" i="1"/>
  <c r="M707" i="1"/>
  <c r="M474" i="1"/>
  <c r="M1164" i="1"/>
  <c r="M932" i="1"/>
  <c r="M780" i="1"/>
  <c r="M628" i="1"/>
  <c r="M468" i="1"/>
  <c r="M108" i="1"/>
  <c r="M395" i="1"/>
  <c r="M107" i="1"/>
  <c r="M719" i="1"/>
  <c r="M841" i="1"/>
  <c r="M801" i="1"/>
  <c r="M297" i="1"/>
  <c r="M233" i="1"/>
  <c r="M97" i="1"/>
  <c r="M33" i="1"/>
  <c r="M888" i="1"/>
  <c r="M656" i="1"/>
  <c r="M592" i="1"/>
  <c r="M384" i="1"/>
  <c r="M822" i="1"/>
  <c r="M758" i="1"/>
  <c r="M702" i="1"/>
  <c r="M638" i="1"/>
  <c r="M901" i="1"/>
  <c r="M509" i="1"/>
  <c r="M381" i="1"/>
  <c r="M1064" i="1"/>
  <c r="M598" i="1"/>
  <c r="M1141" i="1"/>
  <c r="M821" i="1"/>
  <c r="M597" i="1"/>
  <c r="M533" i="1"/>
  <c r="M469" i="1"/>
  <c r="M405" i="1"/>
  <c r="M341" i="1"/>
  <c r="M1207" i="1"/>
  <c r="M1269" i="1"/>
  <c r="M1259" i="1"/>
  <c r="M1219" i="1"/>
  <c r="M1179" i="1"/>
  <c r="M37" i="1"/>
  <c r="M908" i="1"/>
  <c r="M499" i="1"/>
  <c r="M1054" i="1"/>
  <c r="M345" i="1"/>
  <c r="M1147" i="1"/>
  <c r="M784" i="1"/>
  <c r="M720" i="1"/>
  <c r="M733" i="1"/>
  <c r="M618" i="1"/>
  <c r="M439" i="1"/>
  <c r="M1145" i="1"/>
  <c r="M1017" i="1"/>
  <c r="M665" i="1"/>
  <c r="M601" i="1"/>
  <c r="M1096" i="1"/>
  <c r="M1157" i="1"/>
  <c r="M1132" i="1"/>
  <c r="M42" i="1"/>
  <c r="M1177" i="1"/>
  <c r="M817" i="1"/>
  <c r="M575" i="1"/>
  <c r="M687" i="1"/>
  <c r="M310" i="1"/>
  <c r="M729" i="1"/>
  <c r="M1234" i="1"/>
  <c r="M1186" i="1"/>
  <c r="M1146" i="1"/>
  <c r="M416" i="1"/>
  <c r="M288" i="1"/>
  <c r="M689" i="1"/>
  <c r="M625" i="1"/>
  <c r="M529" i="1"/>
  <c r="M393" i="1"/>
  <c r="M289" i="1"/>
  <c r="M225" i="1"/>
  <c r="M185" i="1"/>
  <c r="M1000" i="1"/>
  <c r="M960" i="1"/>
  <c r="M872" i="1"/>
  <c r="M832" i="1"/>
  <c r="M967" i="1"/>
  <c r="M887" i="1"/>
  <c r="M839" i="1"/>
  <c r="M1014" i="1"/>
  <c r="M1005" i="1"/>
  <c r="M885" i="1"/>
  <c r="M813" i="1"/>
  <c r="M685" i="1"/>
  <c r="M646" i="1"/>
  <c r="M1013" i="1"/>
  <c r="M789" i="1"/>
  <c r="M1183" i="1"/>
  <c r="M1246" i="1"/>
  <c r="M1261" i="1"/>
  <c r="M1155" i="1"/>
  <c r="M1140" i="1"/>
  <c r="M156" i="1"/>
  <c r="M1083" i="1"/>
  <c r="M811" i="1"/>
  <c r="M275" i="1"/>
  <c r="M34" i="1"/>
  <c r="M1188" i="1"/>
  <c r="M1139" i="1"/>
  <c r="M155" i="1"/>
  <c r="M754" i="1"/>
  <c r="M594" i="1"/>
  <c r="M18" i="1"/>
  <c r="M450" i="1"/>
  <c r="M252" i="1"/>
  <c r="M1108" i="1"/>
  <c r="M540" i="1"/>
  <c r="M180" i="1"/>
  <c r="M475" i="1"/>
  <c r="M315" i="1"/>
  <c r="M27" i="1"/>
  <c r="M970" i="1"/>
  <c r="M818" i="1"/>
  <c r="M522" i="1"/>
  <c r="M170" i="1"/>
  <c r="M1055" i="1"/>
  <c r="M927" i="1"/>
  <c r="M319" i="1"/>
  <c r="M990" i="1"/>
  <c r="M918" i="1"/>
  <c r="M830" i="1"/>
  <c r="M790" i="1"/>
  <c r="M742" i="1"/>
  <c r="M677" i="1"/>
  <c r="M629" i="1"/>
  <c r="M1271" i="1"/>
  <c r="M1238" i="1"/>
  <c r="M652" i="1"/>
  <c r="M1019" i="1"/>
  <c r="M931" i="1"/>
  <c r="M147" i="1"/>
  <c r="M3" i="1"/>
  <c r="M975" i="1"/>
  <c r="M1212" i="1"/>
  <c r="M1124" i="1"/>
  <c r="M891" i="1"/>
  <c r="M946" i="1"/>
  <c r="M202" i="1"/>
  <c r="M1011" i="1"/>
  <c r="M523" i="1"/>
  <c r="M562" i="1"/>
  <c r="M458" i="1"/>
  <c r="M691" i="1"/>
  <c r="M633" i="1"/>
  <c r="M457" i="1"/>
  <c r="K1274" i="1"/>
  <c r="M2" i="1"/>
  <c r="M881" i="1"/>
  <c r="M585" i="1"/>
  <c r="M840" i="1"/>
  <c r="M448" i="1"/>
  <c r="M320" i="1"/>
  <c r="M878" i="1"/>
  <c r="M1229" i="1"/>
  <c r="M1205" i="1"/>
  <c r="M1249" i="1"/>
  <c r="M120" i="1"/>
  <c r="M1268" i="1"/>
  <c r="M356" i="1"/>
  <c r="M394" i="1"/>
  <c r="M266" i="1"/>
  <c r="M424" i="1"/>
  <c r="M1012" i="1"/>
  <c r="M883" i="1"/>
  <c r="M554" i="1"/>
  <c r="M402" i="1"/>
  <c r="M791" i="1"/>
  <c r="M388" i="1"/>
  <c r="M604" i="1"/>
  <c r="M1099" i="1"/>
  <c r="M339" i="1"/>
  <c r="M227" i="1"/>
  <c r="M842" i="1"/>
  <c r="M730" i="1"/>
  <c r="M610" i="1"/>
  <c r="M833" i="1"/>
  <c r="M257" i="1"/>
  <c r="M1024" i="1"/>
  <c r="M896" i="1"/>
  <c r="M688" i="1"/>
  <c r="M560" i="1"/>
  <c r="M1235" i="1"/>
  <c r="M32" i="1"/>
  <c r="M609" i="1"/>
  <c r="M521" i="1"/>
  <c r="M713" i="1"/>
  <c r="M337" i="1"/>
  <c r="M1016" i="1"/>
  <c r="M551" i="1"/>
  <c r="M1062" i="1"/>
  <c r="M861" i="1"/>
  <c r="M1272" i="1"/>
  <c r="M1152" i="1"/>
  <c r="M1154" i="1"/>
  <c r="M303" i="1"/>
  <c r="M787" i="1"/>
  <c r="L1274" i="1"/>
  <c r="L1277" i="1" s="1"/>
  <c r="M799" i="1"/>
  <c r="M160" i="1"/>
  <c r="M999" i="1"/>
  <c r="M1169" i="1"/>
  <c r="M473" i="1"/>
  <c r="D2" i="5"/>
  <c r="M1270" i="1"/>
  <c r="M1182" i="1"/>
  <c r="M1250" i="1"/>
  <c r="M1122" i="1"/>
  <c r="M767" i="1"/>
  <c r="M256" i="1"/>
  <c r="M128" i="1"/>
  <c r="M1273" i="1"/>
  <c r="M1225" i="1"/>
  <c r="M1137" i="1"/>
  <c r="M1009" i="1"/>
  <c r="M777" i="1"/>
  <c r="M753" i="1"/>
  <c r="M537" i="1"/>
  <c r="M449" i="1"/>
  <c r="M425" i="1"/>
  <c r="M313" i="1"/>
  <c r="M201" i="1"/>
  <c r="M113" i="1"/>
  <c r="M49" i="1"/>
  <c r="M936" i="1"/>
  <c r="M576" i="1"/>
  <c r="M512" i="1"/>
  <c r="M1127" i="1"/>
  <c r="M1095" i="1"/>
  <c r="M991" i="1"/>
  <c r="M863" i="1"/>
  <c r="M583" i="1"/>
  <c r="M942" i="1"/>
  <c r="M1149" i="1"/>
  <c r="M1109" i="1"/>
  <c r="M1069" i="1"/>
  <c r="M1021" i="1"/>
  <c r="M653" i="1"/>
  <c r="M605" i="1"/>
  <c r="M557" i="1"/>
  <c r="M1088" i="1"/>
  <c r="M814" i="1"/>
  <c r="M710" i="1"/>
  <c r="M981" i="1"/>
  <c r="M869" i="1"/>
  <c r="M1247" i="1"/>
  <c r="M572" i="1"/>
  <c r="M363" i="1"/>
  <c r="M235" i="1"/>
  <c r="M850" i="1"/>
  <c r="M714" i="1"/>
  <c r="M200" i="1"/>
  <c r="M636" i="1"/>
  <c r="M1067" i="1"/>
  <c r="M994" i="1"/>
  <c r="M171" i="1"/>
  <c r="M326" i="1"/>
  <c r="M142" i="1"/>
  <c r="M555" i="1"/>
  <c r="M213" i="1"/>
  <c r="M210" i="1"/>
  <c r="M969" i="1"/>
  <c r="M785" i="1"/>
  <c r="M351" i="1"/>
  <c r="M673" i="1"/>
  <c r="M409" i="1"/>
  <c r="M985" i="1"/>
  <c r="M623" i="1"/>
  <c r="M502" i="1"/>
  <c r="M374" i="1"/>
  <c r="M246" i="1"/>
  <c r="M249" i="1"/>
  <c r="M800" i="1"/>
  <c r="M768" i="1"/>
  <c r="M704" i="1"/>
  <c r="M640" i="1"/>
  <c r="M862" i="1"/>
  <c r="M1144" i="1"/>
  <c r="M925" i="1"/>
  <c r="M1221" i="1"/>
  <c r="M1185" i="1"/>
  <c r="M176" i="1"/>
  <c r="M318" i="1"/>
  <c r="M207" i="1"/>
  <c r="M196" i="1"/>
  <c r="M1233" i="1"/>
  <c r="M1097" i="1"/>
  <c r="M913" i="1"/>
  <c r="M697" i="1"/>
  <c r="M545" i="1"/>
  <c r="M321" i="1"/>
  <c r="M816" i="1"/>
  <c r="M1089" i="1"/>
  <c r="M849" i="1"/>
  <c r="M649" i="1"/>
  <c r="M273" i="1"/>
  <c r="R899" i="4"/>
  <c r="M1275" i="1" s="1"/>
  <c r="M375" i="1"/>
  <c r="M1170" i="1"/>
  <c r="M735" i="1"/>
  <c r="M480" i="1"/>
  <c r="M352" i="1"/>
  <c r="M224" i="1"/>
  <c r="M96" i="1"/>
  <c r="M1241" i="1"/>
  <c r="M1161" i="1"/>
  <c r="M1105" i="1"/>
  <c r="M977" i="1"/>
  <c r="M921" i="1"/>
  <c r="M793" i="1"/>
  <c r="M705" i="1"/>
  <c r="M641" i="1"/>
  <c r="M465" i="1"/>
  <c r="M329" i="1"/>
  <c r="M305" i="1"/>
  <c r="M265" i="1"/>
  <c r="M241" i="1"/>
  <c r="M153" i="1"/>
  <c r="M129" i="1"/>
  <c r="M65" i="1"/>
  <c r="M1032" i="1"/>
  <c r="M976" i="1"/>
  <c r="M904" i="1"/>
  <c r="M848" i="1"/>
  <c r="M1015" i="1"/>
  <c r="M959" i="1"/>
  <c r="M831" i="1"/>
  <c r="M1046" i="1"/>
  <c r="M662" i="1"/>
  <c r="M574" i="1"/>
  <c r="M829" i="1"/>
  <c r="M725" i="1"/>
  <c r="M1256" i="1"/>
  <c r="M1200" i="1"/>
  <c r="M1072" i="1"/>
  <c r="M1029" i="1"/>
  <c r="M1243" i="1"/>
  <c r="M876" i="1"/>
  <c r="M571" i="1"/>
  <c r="M1058" i="1"/>
  <c r="M194" i="1"/>
  <c r="M68" i="1"/>
  <c r="M53" i="1"/>
  <c r="M1220" i="1"/>
  <c r="M284" i="1"/>
  <c r="M307" i="1"/>
  <c r="M956" i="1"/>
  <c r="M868" i="1"/>
  <c r="M699" i="1"/>
  <c r="M491" i="1"/>
  <c r="M371" i="1"/>
  <c r="M490" i="1"/>
  <c r="M1112" i="1"/>
  <c r="M276" i="1"/>
  <c r="M939" i="1"/>
  <c r="M434" i="1"/>
  <c r="M1052" i="1"/>
  <c r="M964" i="1"/>
  <c r="M844" i="1"/>
  <c r="M1066" i="1"/>
  <c r="M330" i="1"/>
  <c r="M1041" i="1"/>
  <c r="M761" i="1"/>
  <c r="M968" i="1"/>
  <c r="T899" i="4"/>
  <c r="U530" i="4"/>
  <c r="U899" i="4" s="1"/>
  <c r="M1113" i="1"/>
  <c r="M871" i="1"/>
  <c r="M343" i="1"/>
  <c r="M1242" i="1"/>
  <c r="M1114" i="1"/>
  <c r="M1126" i="1"/>
  <c r="M214" i="1"/>
  <c r="M369" i="1"/>
  <c r="M193" i="1"/>
  <c r="M105" i="1"/>
  <c r="M41" i="1"/>
  <c r="M1087" i="1"/>
  <c r="M1031" i="1"/>
  <c r="M903" i="1"/>
  <c r="M622" i="1"/>
  <c r="M1133" i="1"/>
  <c r="M877" i="1"/>
  <c r="M765" i="1"/>
  <c r="M637" i="1"/>
  <c r="M798" i="1"/>
  <c r="M478" i="1"/>
  <c r="M293" i="1"/>
  <c r="M1239" i="1"/>
  <c r="M1214" i="1"/>
  <c r="M1134" i="1"/>
  <c r="M1267" i="1"/>
  <c r="M756" i="1"/>
  <c r="M4" i="1"/>
  <c r="M1107" i="1"/>
  <c r="M74" i="1"/>
  <c r="M195" i="1"/>
  <c r="M1074" i="1"/>
  <c r="M383" i="1"/>
  <c r="M934" i="1"/>
  <c r="M1236" i="1"/>
  <c r="M852" i="1"/>
  <c r="M123" i="1"/>
  <c r="M1042" i="1"/>
  <c r="M546" i="1"/>
  <c r="M274" i="1"/>
  <c r="M253" i="1"/>
  <c r="M1086" i="1"/>
  <c r="M774" i="1"/>
  <c r="M1093" i="1"/>
  <c r="M1053" i="1"/>
  <c r="M669" i="1"/>
  <c r="M694" i="1"/>
  <c r="M1117" i="1"/>
  <c r="M909" i="1"/>
  <c r="M853" i="1"/>
  <c r="M661" i="1"/>
  <c r="M1151" i="1"/>
  <c r="M1174" i="1"/>
  <c r="M1173" i="1"/>
  <c r="M506" i="1"/>
  <c r="M1100" i="1"/>
  <c r="M987" i="1"/>
  <c r="M323" i="1"/>
  <c r="M802" i="1"/>
  <c r="M354" i="1"/>
  <c r="M838" i="1"/>
  <c r="M1115" i="1"/>
  <c r="M843" i="1"/>
  <c r="M467" i="1"/>
  <c r="M698" i="1"/>
  <c r="M258" i="1"/>
  <c r="M314" i="1"/>
  <c r="M1172" i="1"/>
  <c r="M924" i="1"/>
  <c r="M444" i="1"/>
  <c r="M1043" i="1"/>
  <c r="M459" i="1"/>
  <c r="M131" i="1"/>
  <c r="M1090" i="1"/>
  <c r="M794" i="1"/>
  <c r="M66" i="1"/>
  <c r="M988" i="1"/>
  <c r="M299" i="1"/>
  <c r="M1075" i="1"/>
  <c r="M690" i="1"/>
  <c r="M493" i="1"/>
  <c r="M365" i="1"/>
  <c r="M1104" i="1"/>
  <c r="M782" i="1"/>
  <c r="M485" i="1"/>
  <c r="M420" i="1"/>
  <c r="M612" i="1"/>
  <c r="M236" i="1"/>
  <c r="M187" i="1"/>
  <c r="M226" i="1"/>
  <c r="M93" i="1"/>
  <c r="M596" i="1"/>
  <c r="M35" i="1"/>
  <c r="M228" i="1"/>
  <c r="M45" i="1"/>
  <c r="M340" i="1"/>
  <c r="M220" i="1"/>
  <c r="M162" i="1"/>
  <c r="M819" i="1"/>
  <c r="M804" i="1"/>
  <c r="M436" i="1"/>
  <c r="M316" i="1"/>
  <c r="M995" i="1"/>
  <c r="M98" i="1"/>
  <c r="M285" i="1"/>
  <c r="M221" i="1"/>
  <c r="M133" i="1"/>
  <c r="M163" i="1"/>
  <c r="M1020" i="1"/>
  <c r="M1110" i="1"/>
  <c r="M1006" i="1"/>
  <c r="M886" i="1"/>
  <c r="M806" i="1"/>
  <c r="M686" i="1"/>
  <c r="M558" i="1"/>
  <c r="M1125" i="1"/>
  <c r="M1085" i="1"/>
  <c r="M917" i="1"/>
  <c r="M741" i="1"/>
  <c r="M701" i="1"/>
  <c r="M573" i="1"/>
  <c r="M445" i="1"/>
  <c r="M317" i="1"/>
  <c r="M1232" i="1"/>
  <c r="M734" i="1"/>
  <c r="M1101" i="1"/>
  <c r="M941" i="1"/>
  <c r="M893" i="1"/>
  <c r="M749" i="1"/>
  <c r="M693" i="1"/>
  <c r="M565" i="1"/>
  <c r="M437" i="1"/>
  <c r="M309" i="1"/>
  <c r="M1230" i="1"/>
  <c r="M1255" i="1"/>
  <c r="M1175" i="1"/>
  <c r="M1198" i="1"/>
  <c r="M1142" i="1"/>
  <c r="M1237" i="1"/>
  <c r="M1165" i="1"/>
  <c r="M1251" i="1"/>
  <c r="M1195" i="1"/>
  <c r="M77" i="1"/>
  <c r="M1180" i="1"/>
  <c r="M796" i="1"/>
  <c r="M492" i="1"/>
  <c r="M372" i="1"/>
  <c r="M116" i="1"/>
  <c r="M1131" i="1"/>
  <c r="M1051" i="1"/>
  <c r="M411" i="1"/>
  <c r="M43" i="1"/>
  <c r="M882" i="1"/>
  <c r="M530" i="1"/>
  <c r="M426" i="1"/>
  <c r="M106" i="1"/>
  <c r="M595" i="1"/>
  <c r="M1060" i="1"/>
  <c r="M940" i="1"/>
  <c r="M820" i="1"/>
  <c r="M460" i="1"/>
  <c r="M332" i="1"/>
  <c r="M92" i="1"/>
  <c r="M923" i="1"/>
  <c r="M667" i="1"/>
  <c r="M539" i="1"/>
  <c r="M219" i="1"/>
  <c r="M914" i="1"/>
  <c r="M786" i="1"/>
  <c r="M322" i="1"/>
  <c r="M114" i="1"/>
  <c r="M708" i="1"/>
  <c r="M867" i="1"/>
  <c r="M747" i="1"/>
  <c r="M515" i="1"/>
  <c r="M203" i="1"/>
  <c r="M866" i="1"/>
  <c r="M418" i="1"/>
  <c r="M290" i="1"/>
  <c r="M563" i="1"/>
  <c r="M644" i="1"/>
  <c r="M212" i="1"/>
  <c r="M907" i="1"/>
  <c r="M379" i="1"/>
  <c r="M51" i="1"/>
  <c r="M770" i="1"/>
  <c r="M261" i="1"/>
  <c r="M197" i="1"/>
  <c r="M101" i="1"/>
  <c r="M1004" i="1"/>
  <c r="M700" i="1"/>
  <c r="M396" i="1"/>
  <c r="M268" i="1"/>
  <c r="M140" i="1"/>
  <c r="M355" i="1"/>
  <c r="M67" i="1"/>
  <c r="M898" i="1"/>
  <c r="M602" i="1"/>
  <c r="M837" i="1"/>
  <c r="M645" i="1"/>
  <c r="M517" i="1"/>
  <c r="M397" i="1"/>
  <c r="M1211" i="1"/>
  <c r="M1223" i="1"/>
  <c r="M1171" i="1"/>
  <c r="M452" i="1"/>
  <c r="M1076" i="1"/>
  <c r="M980" i="1"/>
  <c r="M692" i="1"/>
  <c r="M1098" i="1"/>
  <c r="M762" i="1"/>
  <c r="M306" i="1"/>
  <c r="M1260" i="1"/>
  <c r="M676" i="1"/>
  <c r="M204" i="1"/>
  <c r="M435" i="1"/>
  <c r="M115" i="1"/>
  <c r="M674" i="1"/>
  <c r="M109" i="1"/>
  <c r="M1156" i="1"/>
  <c r="M900" i="1"/>
  <c r="M620" i="1"/>
  <c r="M404" i="1"/>
  <c r="M76" i="1"/>
  <c r="M955" i="1"/>
  <c r="M419" i="1"/>
  <c r="M99" i="1"/>
  <c r="M1050" i="1"/>
  <c r="M746" i="1"/>
  <c r="M916" i="1"/>
  <c r="M524" i="1"/>
  <c r="M1123" i="1"/>
  <c r="M1059" i="1"/>
  <c r="M971" i="1"/>
  <c r="M259" i="1"/>
  <c r="M1082" i="1"/>
  <c r="M978" i="1"/>
  <c r="M650" i="1"/>
  <c r="M237" i="1"/>
  <c r="M165" i="1"/>
  <c r="M29" i="1"/>
  <c r="M884" i="1"/>
  <c r="M588" i="1"/>
  <c r="M28" i="1"/>
  <c r="M915" i="1"/>
  <c r="M683" i="1"/>
  <c r="M243" i="1"/>
  <c r="M1106" i="1"/>
  <c r="M778" i="1"/>
  <c r="M482" i="1"/>
  <c r="M370" i="1"/>
  <c r="M242" i="1"/>
  <c r="M1274" i="1" l="1"/>
  <c r="M1276" i="1" s="1"/>
</calcChain>
</file>

<file path=xl/sharedStrings.xml><?xml version="1.0" encoding="utf-8"?>
<sst xmlns="http://schemas.openxmlformats.org/spreadsheetml/2006/main" count="35242" uniqueCount="274">
  <si>
    <t>CD_EMPRESA_ERP</t>
  </si>
  <si>
    <t>CD_FILIAL_ERP</t>
  </si>
  <si>
    <t>DT_REFER</t>
  </si>
  <si>
    <t>CD_FUNC_ERP</t>
  </si>
  <si>
    <t>QT_HORAS</t>
  </si>
  <si>
    <t>VL_TOTAL</t>
  </si>
  <si>
    <t>DT_ENVIO_ERP</t>
  </si>
  <si>
    <t>DT_INTEG_PIMS</t>
  </si>
  <si>
    <t>FG_STATUS_INTEG</t>
  </si>
  <si>
    <t>NI</t>
  </si>
  <si>
    <t>Sociedad</t>
  </si>
  <si>
    <t>Cuenta de mayor</t>
  </si>
  <si>
    <t>Cuenta de mayor: Texto breve</t>
  </si>
  <si>
    <t>Área funcional</t>
  </si>
  <si>
    <t>Centro de coste</t>
  </si>
  <si>
    <t>Centro de coste: Texto explicativo</t>
  </si>
  <si>
    <t>Clase de documento</t>
  </si>
  <si>
    <t>Fecha de documento</t>
  </si>
  <si>
    <t>Fe.contabilización</t>
  </si>
  <si>
    <t>Fecha de entrada</t>
  </si>
  <si>
    <t>Clave de referencia</t>
  </si>
  <si>
    <t>Nº documento</t>
  </si>
  <si>
    <t>Referencia</t>
  </si>
  <si>
    <t>Texto cab.documento</t>
  </si>
  <si>
    <t>Valor de moneda de documento</t>
  </si>
  <si>
    <t>Clave de moneda de documento</t>
  </si>
  <si>
    <t>Valor de moneda de sociedad</t>
  </si>
  <si>
    <t>Clave de moneda de sociedad</t>
  </si>
  <si>
    <t>Valor de moneda fuerte</t>
  </si>
  <si>
    <t>Moneda fuerte</t>
  </si>
  <si>
    <t>Nombre 2</t>
  </si>
  <si>
    <t>Anulado</t>
  </si>
  <si>
    <t>Anulado con</t>
  </si>
  <si>
    <t>Documento anulación</t>
  </si>
  <si>
    <t>1000</t>
  </si>
  <si>
    <t>6211100001</t>
  </si>
  <si>
    <t>Sueldos - Rem básica</t>
  </si>
  <si>
    <t>AF01</t>
  </si>
  <si>
    <t>1020230308</t>
  </si>
  <si>
    <t>Labores de campo cosecha</t>
  </si>
  <si>
    <t>PL</t>
  </si>
  <si>
    <t>0000002436</t>
  </si>
  <si>
    <t>5500000425</t>
  </si>
  <si>
    <t>HRPAY00001</t>
  </si>
  <si>
    <t>PP0000002374</t>
  </si>
  <si>
    <t>PEN</t>
  </si>
  <si>
    <t>USD</t>
  </si>
  <si>
    <t/>
  </si>
  <si>
    <t>1020231210</t>
  </si>
  <si>
    <t>Ord - Virú</t>
  </si>
  <si>
    <t>1020231212</t>
  </si>
  <si>
    <t>Ord - Zona II</t>
  </si>
  <si>
    <t>1020231601</t>
  </si>
  <si>
    <t>Oficina control técnico agronómico</t>
  </si>
  <si>
    <t>1020230303</t>
  </si>
  <si>
    <t>Aco - Corte de caña</t>
  </si>
  <si>
    <t>1020230301</t>
  </si>
  <si>
    <t>Aco - Administración de cosecha</t>
  </si>
  <si>
    <t>1020231401</t>
  </si>
  <si>
    <t>Oficina sembradores</t>
  </si>
  <si>
    <t>1020230401</t>
  </si>
  <si>
    <t>Mantenimiento - Jefatura</t>
  </si>
  <si>
    <t>1020231211</t>
  </si>
  <si>
    <t>Ord - Zona I</t>
  </si>
  <si>
    <t>1020231303</t>
  </si>
  <si>
    <t>Control fitosanitario y maduración</t>
  </si>
  <si>
    <t>1020231301</t>
  </si>
  <si>
    <t>Oficina tecnología agrícola</t>
  </si>
  <si>
    <t>1020231214</t>
  </si>
  <si>
    <t>Ord - Zona IV</t>
  </si>
  <si>
    <t>1020231207</t>
  </si>
  <si>
    <t>Oficina riego y drenaje</t>
  </si>
  <si>
    <t>1020231216</t>
  </si>
  <si>
    <t>Ord - Drenaje</t>
  </si>
  <si>
    <t>1020230304</t>
  </si>
  <si>
    <t>Aco - Carguio y transporte</t>
  </si>
  <si>
    <t>1020231404</t>
  </si>
  <si>
    <t>Zona Chicama</t>
  </si>
  <si>
    <t>1020231205</t>
  </si>
  <si>
    <t>OIA - Corte de semilla</t>
  </si>
  <si>
    <t>1020231203</t>
  </si>
  <si>
    <t>OIA - Ingenieria civil</t>
  </si>
  <si>
    <t>1020231204</t>
  </si>
  <si>
    <t>OIA - Preparación y cultivo</t>
  </si>
  <si>
    <t>1020231102</t>
  </si>
  <si>
    <t>Arena dulce-Infraestruc. riego por goteo</t>
  </si>
  <si>
    <t>1020231215</t>
  </si>
  <si>
    <t>Ord - Chiclin</t>
  </si>
  <si>
    <t>1020231208</t>
  </si>
  <si>
    <t>Ord - Manejo de aguas</t>
  </si>
  <si>
    <t>1020231402</t>
  </si>
  <si>
    <t>Zona Virú</t>
  </si>
  <si>
    <t>1020231220</t>
  </si>
  <si>
    <t>Ganadería</t>
  </si>
  <si>
    <t>1020230001</t>
  </si>
  <si>
    <t>Oficina gerencia</t>
  </si>
  <si>
    <t>1020231103</t>
  </si>
  <si>
    <t>Arena dulce - Cultivo y fertirriego</t>
  </si>
  <si>
    <t>1020231101</t>
  </si>
  <si>
    <t>Oficina zona riego tecnificado</t>
  </si>
  <si>
    <t>1020230305</t>
  </si>
  <si>
    <t>Aco - Patio de caña</t>
  </si>
  <si>
    <t>1020231219</t>
  </si>
  <si>
    <t>OLC - Herbicidas</t>
  </si>
  <si>
    <t>1020231221</t>
  </si>
  <si>
    <t>Proyecto piloto de ganado lechero</t>
  </si>
  <si>
    <t>1020231305</t>
  </si>
  <si>
    <t>Laboratorio entomológico</t>
  </si>
  <si>
    <t>1020230003</t>
  </si>
  <si>
    <t>Analista de medio ambiente</t>
  </si>
  <si>
    <t>1020231213</t>
  </si>
  <si>
    <t>Ord - Zona III</t>
  </si>
  <si>
    <t>1020231403</t>
  </si>
  <si>
    <t>Zona Moche</t>
  </si>
  <si>
    <t>1020231201</t>
  </si>
  <si>
    <t>Oficina zona riego por gravedad</t>
  </si>
  <si>
    <t>1020231209</t>
  </si>
  <si>
    <t>Ord - El cortijo</t>
  </si>
  <si>
    <t>1020231206</t>
  </si>
  <si>
    <t>OIA - Siembra</t>
  </si>
  <si>
    <t>6211100002</t>
  </si>
  <si>
    <t>Sueldos - Asig famil</t>
  </si>
  <si>
    <t>1020231104</t>
  </si>
  <si>
    <t>Fundo Pur Pur</t>
  </si>
  <si>
    <t>6211100004</t>
  </si>
  <si>
    <t>Sueldos - HE 100%</t>
  </si>
  <si>
    <t>6211100005</t>
  </si>
  <si>
    <t>Sueldos - HE 25%</t>
  </si>
  <si>
    <t>6211100006</t>
  </si>
  <si>
    <t>Sueldos - HE 35%</t>
  </si>
  <si>
    <t>6211100008</t>
  </si>
  <si>
    <t>Sueldos - Horas noct</t>
  </si>
  <si>
    <t>0000002371</t>
  </si>
  <si>
    <t>5500000399</t>
  </si>
  <si>
    <t>PP0000002296</t>
  </si>
  <si>
    <t>0000002438</t>
  </si>
  <si>
    <t>5500000426</t>
  </si>
  <si>
    <t>PP0000002376</t>
  </si>
  <si>
    <t>1020231222</t>
  </si>
  <si>
    <t>Planta de compostaje</t>
  </si>
  <si>
    <t>6211200001</t>
  </si>
  <si>
    <t>Salarios-Rem básica</t>
  </si>
  <si>
    <t>1020231302</t>
  </si>
  <si>
    <t>Fuentes de agua y reforestación</t>
  </si>
  <si>
    <t>0000002387</t>
  </si>
  <si>
    <t>5500000401</t>
  </si>
  <si>
    <t>PP0000002324</t>
  </si>
  <si>
    <t>0000002432</t>
  </si>
  <si>
    <t>5500000423</t>
  </si>
  <si>
    <t>PP0000002370</t>
  </si>
  <si>
    <t>0000002373</t>
  </si>
  <si>
    <t>5500000400</t>
  </si>
  <si>
    <t>PP0000002302</t>
  </si>
  <si>
    <t>6211200002</t>
  </si>
  <si>
    <t>Salarios-Asig famil</t>
  </si>
  <si>
    <t>6211200003</t>
  </si>
  <si>
    <t>Salarios - Dominical</t>
  </si>
  <si>
    <t>6211200004</t>
  </si>
  <si>
    <t>Salarios - HE 100%</t>
  </si>
  <si>
    <t>6211200005</t>
  </si>
  <si>
    <t>Salarios - HE 25%</t>
  </si>
  <si>
    <t>6211200006</t>
  </si>
  <si>
    <t>Salarios - HE 35%</t>
  </si>
  <si>
    <t>6211200008</t>
  </si>
  <si>
    <t>Salarios - H Noctur</t>
  </si>
  <si>
    <t>6214100001</t>
  </si>
  <si>
    <t>Gratif empleados</t>
  </si>
  <si>
    <t>0000002442</t>
  </si>
  <si>
    <t>5500000428</t>
  </si>
  <si>
    <t>PP0000002380</t>
  </si>
  <si>
    <t>6214100002</t>
  </si>
  <si>
    <t>Gratif obreros</t>
  </si>
  <si>
    <t>0000002444</t>
  </si>
  <si>
    <t>5500000429</t>
  </si>
  <si>
    <t>PP0000002382</t>
  </si>
  <si>
    <t>6215100001</t>
  </si>
  <si>
    <t>Vacac empleados</t>
  </si>
  <si>
    <t>6215100002</t>
  </si>
  <si>
    <t>Vacaciones obreros</t>
  </si>
  <si>
    <t>6221100012</t>
  </si>
  <si>
    <t>Bon ex cooper empl</t>
  </si>
  <si>
    <t>6221100013</t>
  </si>
  <si>
    <t>Bon ex cooper obrer</t>
  </si>
  <si>
    <t>6221100014</t>
  </si>
  <si>
    <t>Bonif alimentos empl</t>
  </si>
  <si>
    <t>6221100015</t>
  </si>
  <si>
    <t>Bonif alimentos obre</t>
  </si>
  <si>
    <t>6221100016</t>
  </si>
  <si>
    <t>BonCierre pliego emp</t>
  </si>
  <si>
    <t>6221100017</t>
  </si>
  <si>
    <t>BonCierre pliego obr</t>
  </si>
  <si>
    <t>6221100018</t>
  </si>
  <si>
    <t>Otras remuneraciones</t>
  </si>
  <si>
    <t>6221100019</t>
  </si>
  <si>
    <t>Sub. econ. practi</t>
  </si>
  <si>
    <t>0000002440</t>
  </si>
  <si>
    <t>5500000427</t>
  </si>
  <si>
    <t>PP0000002378</t>
  </si>
  <si>
    <t>6231100006</t>
  </si>
  <si>
    <t>IndPers-VacNoGoz obr</t>
  </si>
  <si>
    <t>6271100001</t>
  </si>
  <si>
    <t>RégPrestacSalud emp</t>
  </si>
  <si>
    <t>6271100002</t>
  </si>
  <si>
    <t>RégPrestacSalud obr</t>
  </si>
  <si>
    <t>0000002425</t>
  </si>
  <si>
    <t>5500000420</t>
  </si>
  <si>
    <t>PP0000002363</t>
  </si>
  <si>
    <t>0000002423</t>
  </si>
  <si>
    <t>5500000419</t>
  </si>
  <si>
    <t>PP0000002361</t>
  </si>
  <si>
    <t>0000002427</t>
  </si>
  <si>
    <t>5500000421</t>
  </si>
  <si>
    <t>PP0000002365</t>
  </si>
  <si>
    <t>6273100001</t>
  </si>
  <si>
    <t>SCTR empleados</t>
  </si>
  <si>
    <t>6273100002</t>
  </si>
  <si>
    <t>SCTR obreros</t>
  </si>
  <si>
    <t>6274100001</t>
  </si>
  <si>
    <t>Seguro vida ley empl</t>
  </si>
  <si>
    <t>6274100002</t>
  </si>
  <si>
    <t>Seguro vida ley obre</t>
  </si>
  <si>
    <t>6277100001</t>
  </si>
  <si>
    <t>Cont SENATI empleado</t>
  </si>
  <si>
    <t>6277100002</t>
  </si>
  <si>
    <t>Cont SENATI obreros</t>
  </si>
  <si>
    <t>6291100001</t>
  </si>
  <si>
    <t>CTS empleados</t>
  </si>
  <si>
    <t>6291100002</t>
  </si>
  <si>
    <t>CTS obreros</t>
  </si>
  <si>
    <t>6231100004</t>
  </si>
  <si>
    <t>Ind Sumas grac obrer</t>
  </si>
  <si>
    <t>Tabla intermedia</t>
  </si>
  <si>
    <t>SAP</t>
  </si>
  <si>
    <t>Diferencia</t>
  </si>
  <si>
    <t>Bono cierre pliego</t>
  </si>
  <si>
    <t>Codigo</t>
  </si>
  <si>
    <t>Bono Cierre de Pliego</t>
  </si>
  <si>
    <t>Cód. CeCo</t>
  </si>
  <si>
    <t>Descrip. CeCo</t>
  </si>
  <si>
    <t>Cta.mayor</t>
  </si>
  <si>
    <t>Texto breve</t>
  </si>
  <si>
    <t>Ord - Man de aguas</t>
  </si>
  <si>
    <t>AD - Cultivo y fert</t>
  </si>
  <si>
    <t>Aco - Carg y transp</t>
  </si>
  <si>
    <t>OIA - Corte semilla</t>
  </si>
  <si>
    <t>Mtto - Jefatura</t>
  </si>
  <si>
    <t>Lab de campo cosecha</t>
  </si>
  <si>
    <t>AD-Inf riego goteo</t>
  </si>
  <si>
    <t>Aco - Admin cosecha</t>
  </si>
  <si>
    <t>OIA - Ing civil</t>
  </si>
  <si>
    <t>Of zona riego tecnif</t>
  </si>
  <si>
    <t>Ctl fitosani y madur</t>
  </si>
  <si>
    <t>Of ctl técnico agron</t>
  </si>
  <si>
    <t>Of zona riego grav</t>
  </si>
  <si>
    <t>Py piloto gan lech</t>
  </si>
  <si>
    <t>Fte agua y reforest</t>
  </si>
  <si>
    <t>OIA - Prep y cultivo</t>
  </si>
  <si>
    <t>Of riego y drenaje</t>
  </si>
  <si>
    <t>Lab entomológico</t>
  </si>
  <si>
    <t>VL_TOTAL1</t>
  </si>
  <si>
    <t>B.cierre</t>
  </si>
  <si>
    <t>VL_TOTAL2</t>
  </si>
  <si>
    <t>Cta. Ctble</t>
  </si>
  <si>
    <t>Descripción</t>
  </si>
  <si>
    <t>S/</t>
  </si>
  <si>
    <t>$</t>
  </si>
  <si>
    <t>Ce. Co.</t>
  </si>
  <si>
    <t>Glosa</t>
  </si>
  <si>
    <t>Bono cierre pliego 2025</t>
  </si>
  <si>
    <t>Dif. Bono cierre de piego 2025</t>
  </si>
  <si>
    <t>Asiento</t>
  </si>
  <si>
    <t>Valor de moneda de documento 1</t>
  </si>
  <si>
    <t>Valor de moneda de sociedad 1</t>
  </si>
  <si>
    <t>Valor de moneda fuerte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</si>
</sst>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rgb="FFFF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2" fontId="0" fillId="0" borderId="0" xfId="0" applyNumberFormat="1"/>
    <xf numFmtId="4" fontId="0" fillId="0" borderId="0" xfId="0" applyNumberFormat="1"/>
    <xf numFmtId="0" fontId="0" fillId="33" borderId="10" xfId="0" applyFill="1" applyBorder="1" applyAlignment="1">
      <alignment vertical="top"/>
    </xf>
    <xf numFmtId="0" fontId="0" fillId="33" borderId="10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 applyAlignment="1">
      <alignment vertical="top"/>
    </xf>
    <xf numFmtId="0" fontId="18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  <xf numFmtId="4" fontId="18" fillId="0" borderId="0" xfId="0" applyNumberFormat="1" applyFont="1" applyAlignment="1">
      <alignment vertical="top"/>
    </xf>
    <xf numFmtId="0" fontId="0" fillId="34" borderId="0" xfId="0" applyFill="1"/>
    <xf numFmtId="4" fontId="0" fillId="34" borderId="0" xfId="0" applyNumberFormat="1" applyFill="1"/>
    <xf numFmtId="4" fontId="16" fillId="0" borderId="0" xfId="0" applyNumberFormat="1" applyFont="1"/>
    <xf numFmtId="4" fontId="0" fillId="35" borderId="0" xfId="0" applyNumberFormat="1" applyFill="1"/>
    <xf numFmtId="0" fontId="0" fillId="36" borderId="0" xfId="0" applyFill="1"/>
    <xf numFmtId="4" fontId="16" fillId="37" borderId="0" xfId="0" applyNumberFormat="1" applyFont="1" applyFill="1"/>
    <xf numFmtId="4" fontId="0" fillId="37" borderId="0" xfId="0" applyNumberFormat="1" applyFill="1" applyAlignment="1">
      <alignment vertical="top"/>
    </xf>
    <xf numFmtId="4" fontId="0" fillId="33" borderId="10" xfId="0" applyNumberFormat="1" applyFill="1" applyBorder="1" applyAlignment="1">
      <alignment vertical="top" wrapText="1"/>
    </xf>
    <xf numFmtId="0" fontId="0" fillId="37" borderId="10" xfId="0" applyFill="1" applyBorder="1" applyAlignment="1">
      <alignment vertical="top" wrapText="1"/>
    </xf>
    <xf numFmtId="0" fontId="0" fillId="37" borderId="0" xfId="0" applyFill="1" applyAlignment="1">
      <alignment vertical="top"/>
    </xf>
    <xf numFmtId="4" fontId="20" fillId="37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7528-478D-427C-9BC0-ED04469F5E7D}">
  <sheetPr>
    <tabColor theme="5" tint="0.39997558519241921"/>
  </sheetPr>
  <dimension ref="A1:M1278"/>
  <sheetViews>
    <sheetView tabSelected="1" workbookViewId="0">
      <pane ySplit="1" topLeftCell="A2" activePane="bottomLeft" state="frozen"/>
      <selection pane="bottomLeft" activeCell="M1" sqref="M1"/>
    </sheetView>
  </sheetViews>
  <sheetFormatPr baseColWidth="10" defaultRowHeight="15" x14ac:dyDescent="0.25"/>
  <cols>
    <col min="3" max="3" width="15.42578125" bestFit="1" customWidth="1"/>
    <col min="6" max="6" width="11.7109375" style="2" bestFit="1" customWidth="1"/>
    <col min="7" max="7" width="14.42578125" bestFit="1" customWidth="1"/>
    <col min="9" max="9" width="16.85546875" bestFit="1" customWidth="1"/>
    <col min="10" max="10" width="17" bestFit="1" customWidth="1"/>
    <col min="12" max="12" width="11.7109375" bestFit="1" customWidth="1"/>
    <col min="13" max="13" width="13.85546875" bestFit="1" customWidth="1"/>
  </cols>
  <sheetData>
    <row r="1" spans="1:13" ht="18.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13" t="s">
        <v>234</v>
      </c>
      <c r="K1" s="16" t="s">
        <v>259</v>
      </c>
      <c r="L1" s="17" t="s">
        <v>260</v>
      </c>
      <c r="M1" s="23" t="s">
        <v>261</v>
      </c>
    </row>
    <row r="2" spans="1:13" x14ac:dyDescent="0.25">
      <c r="A2">
        <v>1000</v>
      </c>
      <c r="B2">
        <v>1000</v>
      </c>
      <c r="C2" s="1">
        <v>45961</v>
      </c>
      <c r="D2">
        <v>91391</v>
      </c>
      <c r="E2">
        <v>240</v>
      </c>
      <c r="F2" s="2">
        <v>4419.29</v>
      </c>
      <c r="G2" s="1">
        <v>45965</v>
      </c>
      <c r="I2" t="s">
        <v>9</v>
      </c>
      <c r="J2" s="14">
        <f>IFERROR(VLOOKUP(D2,'INf. RRHH'!$A:$B,2,0),0)</f>
        <v>2900</v>
      </c>
      <c r="K2" s="16">
        <f>+F2-J2</f>
        <v>1519.29</v>
      </c>
      <c r="L2" s="17">
        <f>ROUND(J2/3,2)</f>
        <v>966.67</v>
      </c>
      <c r="M2" s="18">
        <f>+K2+L2</f>
        <v>2485.96</v>
      </c>
    </row>
    <row r="3" spans="1:13" x14ac:dyDescent="0.25">
      <c r="A3">
        <v>1000</v>
      </c>
      <c r="B3">
        <v>1000</v>
      </c>
      <c r="C3" s="1">
        <v>45961</v>
      </c>
      <c r="D3">
        <v>91588</v>
      </c>
      <c r="E3">
        <v>290.5</v>
      </c>
      <c r="F3" s="2">
        <v>6675.05</v>
      </c>
      <c r="G3" s="1">
        <v>45965</v>
      </c>
      <c r="I3" t="s">
        <v>9</v>
      </c>
      <c r="J3" s="14">
        <f>IFERROR(VLOOKUP(D3,'INf. RRHH'!$A:$B,2,0),0)</f>
        <v>2900</v>
      </c>
      <c r="K3" s="16">
        <f t="shared" ref="K3:K66" si="0">+F3-J3</f>
        <v>3775.05</v>
      </c>
      <c r="L3" s="17">
        <f t="shared" ref="L3:L66" si="1">ROUND(J3/3,2)</f>
        <v>966.67</v>
      </c>
      <c r="M3" s="18">
        <f t="shared" ref="M3:M66" si="2">+K3+L3</f>
        <v>4741.72</v>
      </c>
    </row>
    <row r="4" spans="1:13" x14ac:dyDescent="0.25">
      <c r="A4">
        <v>1000</v>
      </c>
      <c r="B4">
        <v>1000</v>
      </c>
      <c r="C4" s="1">
        <v>45961</v>
      </c>
      <c r="D4">
        <v>91658</v>
      </c>
      <c r="E4">
        <v>402</v>
      </c>
      <c r="F4" s="2">
        <v>6826.27</v>
      </c>
      <c r="G4" s="1">
        <v>45965</v>
      </c>
      <c r="I4" t="s">
        <v>9</v>
      </c>
      <c r="J4" s="14">
        <f>IFERROR(VLOOKUP(D4,'INf. RRHH'!$A:$B,2,0),0)</f>
        <v>2900</v>
      </c>
      <c r="K4" s="16">
        <f t="shared" si="0"/>
        <v>3926.2700000000004</v>
      </c>
      <c r="L4" s="17">
        <f t="shared" si="1"/>
        <v>966.67</v>
      </c>
      <c r="M4" s="18">
        <f t="shared" si="2"/>
        <v>4892.9400000000005</v>
      </c>
    </row>
    <row r="5" spans="1:13" x14ac:dyDescent="0.25">
      <c r="A5">
        <v>1000</v>
      </c>
      <c r="B5">
        <v>1000</v>
      </c>
      <c r="C5" s="1">
        <v>45961</v>
      </c>
      <c r="D5">
        <v>91699</v>
      </c>
      <c r="E5">
        <v>392</v>
      </c>
      <c r="F5" s="2">
        <v>7000.89</v>
      </c>
      <c r="G5" s="1">
        <v>45965</v>
      </c>
      <c r="I5" t="s">
        <v>9</v>
      </c>
      <c r="J5" s="14">
        <f>IFERROR(VLOOKUP(D5,'INf. RRHH'!$A:$B,2,0),0)</f>
        <v>2900</v>
      </c>
      <c r="K5" s="16">
        <f t="shared" si="0"/>
        <v>4100.8900000000003</v>
      </c>
      <c r="L5" s="17">
        <f t="shared" si="1"/>
        <v>966.67</v>
      </c>
      <c r="M5" s="18">
        <f t="shared" si="2"/>
        <v>5067.5600000000004</v>
      </c>
    </row>
    <row r="6" spans="1:13" x14ac:dyDescent="0.25">
      <c r="A6">
        <v>1000</v>
      </c>
      <c r="B6">
        <v>1000</v>
      </c>
      <c r="C6" s="1">
        <v>45961</v>
      </c>
      <c r="D6">
        <v>92145</v>
      </c>
      <c r="E6">
        <v>192</v>
      </c>
      <c r="F6" s="2">
        <v>4686.78</v>
      </c>
      <c r="G6" s="1">
        <v>45965</v>
      </c>
      <c r="I6" t="s">
        <v>9</v>
      </c>
      <c r="J6" s="14">
        <f>IFERROR(VLOOKUP(D6,'INf. RRHH'!$A:$B,2,0),0)</f>
        <v>2900</v>
      </c>
      <c r="K6" s="16">
        <f t="shared" si="0"/>
        <v>1786.7799999999997</v>
      </c>
      <c r="L6" s="17">
        <f t="shared" si="1"/>
        <v>966.67</v>
      </c>
      <c r="M6" s="18">
        <f t="shared" si="2"/>
        <v>2753.45</v>
      </c>
    </row>
    <row r="7" spans="1:13" x14ac:dyDescent="0.25">
      <c r="A7">
        <v>1000</v>
      </c>
      <c r="B7">
        <v>1000</v>
      </c>
      <c r="C7" s="1">
        <v>45961</v>
      </c>
      <c r="D7">
        <v>92364</v>
      </c>
      <c r="E7">
        <v>257</v>
      </c>
      <c r="F7" s="2">
        <v>6420.51</v>
      </c>
      <c r="G7" s="1">
        <v>45965</v>
      </c>
      <c r="I7" t="s">
        <v>9</v>
      </c>
      <c r="J7" s="14">
        <f>IFERROR(VLOOKUP(D7,'INf. RRHH'!$A:$B,2,0),0)</f>
        <v>2900</v>
      </c>
      <c r="K7" s="16">
        <f t="shared" si="0"/>
        <v>3520.51</v>
      </c>
      <c r="L7" s="17">
        <f t="shared" si="1"/>
        <v>966.67</v>
      </c>
      <c r="M7" s="18">
        <f t="shared" si="2"/>
        <v>4487.18</v>
      </c>
    </row>
    <row r="8" spans="1:13" x14ac:dyDescent="0.25">
      <c r="A8">
        <v>1000</v>
      </c>
      <c r="B8">
        <v>1000</v>
      </c>
      <c r="C8" s="1">
        <v>45961</v>
      </c>
      <c r="D8">
        <v>92471</v>
      </c>
      <c r="E8">
        <v>240</v>
      </c>
      <c r="F8" s="2">
        <v>4429.5</v>
      </c>
      <c r="G8" s="1">
        <v>45965</v>
      </c>
      <c r="I8" t="s">
        <v>9</v>
      </c>
      <c r="J8" s="14">
        <f>IFERROR(VLOOKUP(D8,'INf. RRHH'!$A:$B,2,0),0)</f>
        <v>2900</v>
      </c>
      <c r="K8" s="16">
        <f t="shared" si="0"/>
        <v>1529.5</v>
      </c>
      <c r="L8" s="17">
        <f t="shared" si="1"/>
        <v>966.67</v>
      </c>
      <c r="M8" s="18">
        <f t="shared" si="2"/>
        <v>2496.17</v>
      </c>
    </row>
    <row r="9" spans="1:13" x14ac:dyDescent="0.25">
      <c r="A9">
        <v>1000</v>
      </c>
      <c r="B9">
        <v>1000</v>
      </c>
      <c r="C9" s="1">
        <v>45961</v>
      </c>
      <c r="D9">
        <v>92489</v>
      </c>
      <c r="E9">
        <v>255</v>
      </c>
      <c r="F9" s="2">
        <v>4162.09</v>
      </c>
      <c r="G9" s="1">
        <v>45965</v>
      </c>
      <c r="I9" t="s">
        <v>9</v>
      </c>
      <c r="J9" s="14">
        <f>IFERROR(VLOOKUP(D9,'INf. RRHH'!$A:$B,2,0),0)</f>
        <v>2900</v>
      </c>
      <c r="K9" s="16">
        <f t="shared" si="0"/>
        <v>1262.0900000000001</v>
      </c>
      <c r="L9" s="17">
        <f t="shared" si="1"/>
        <v>966.67</v>
      </c>
      <c r="M9" s="18">
        <f t="shared" si="2"/>
        <v>2228.7600000000002</v>
      </c>
    </row>
    <row r="10" spans="1:13" x14ac:dyDescent="0.25">
      <c r="A10">
        <v>1000</v>
      </c>
      <c r="B10">
        <v>1000</v>
      </c>
      <c r="C10" s="1">
        <v>45961</v>
      </c>
      <c r="D10">
        <v>92597</v>
      </c>
      <c r="E10">
        <v>311.5</v>
      </c>
      <c r="F10" s="2">
        <v>6992.51</v>
      </c>
      <c r="G10" s="1">
        <v>45965</v>
      </c>
      <c r="I10" t="s">
        <v>9</v>
      </c>
      <c r="J10" s="14">
        <f>IFERROR(VLOOKUP(D10,'INf. RRHH'!$A:$B,2,0),0)</f>
        <v>2900</v>
      </c>
      <c r="K10" s="16">
        <f t="shared" si="0"/>
        <v>4092.51</v>
      </c>
      <c r="L10" s="17">
        <f t="shared" si="1"/>
        <v>966.67</v>
      </c>
      <c r="M10" s="18">
        <f t="shared" si="2"/>
        <v>5059.18</v>
      </c>
    </row>
    <row r="11" spans="1:13" x14ac:dyDescent="0.25">
      <c r="A11">
        <v>1000</v>
      </c>
      <c r="B11">
        <v>1000</v>
      </c>
      <c r="C11" s="1">
        <v>45961</v>
      </c>
      <c r="D11">
        <v>92696</v>
      </c>
      <c r="E11">
        <v>251</v>
      </c>
      <c r="F11" s="2">
        <v>6307.75</v>
      </c>
      <c r="G11" s="1">
        <v>45965</v>
      </c>
      <c r="I11" t="s">
        <v>9</v>
      </c>
      <c r="J11" s="14">
        <f>IFERROR(VLOOKUP(D11,'INf. RRHH'!$A:$B,2,0),0)</f>
        <v>2900</v>
      </c>
      <c r="K11" s="16">
        <f t="shared" si="0"/>
        <v>3407.75</v>
      </c>
      <c r="L11" s="17">
        <f t="shared" si="1"/>
        <v>966.67</v>
      </c>
      <c r="M11" s="18">
        <f t="shared" si="2"/>
        <v>4374.42</v>
      </c>
    </row>
    <row r="12" spans="1:13" x14ac:dyDescent="0.25">
      <c r="A12">
        <v>1000</v>
      </c>
      <c r="B12">
        <v>1000</v>
      </c>
      <c r="C12" s="1">
        <v>45961</v>
      </c>
      <c r="D12">
        <v>92722</v>
      </c>
      <c r="E12">
        <v>72</v>
      </c>
      <c r="F12" s="2">
        <v>3776.22</v>
      </c>
      <c r="G12" s="1">
        <v>45965</v>
      </c>
      <c r="I12" t="s">
        <v>9</v>
      </c>
      <c r="J12" s="14">
        <f>IFERROR(VLOOKUP(D12,'INf. RRHH'!$A:$B,2,0),0)</f>
        <v>2900</v>
      </c>
      <c r="K12" s="16">
        <f t="shared" si="0"/>
        <v>876.2199999999998</v>
      </c>
      <c r="L12" s="17">
        <f t="shared" si="1"/>
        <v>966.67</v>
      </c>
      <c r="M12" s="18">
        <f t="shared" si="2"/>
        <v>1842.8899999999999</v>
      </c>
    </row>
    <row r="13" spans="1:13" x14ac:dyDescent="0.25">
      <c r="A13">
        <v>1000</v>
      </c>
      <c r="B13">
        <v>1000</v>
      </c>
      <c r="C13" s="1">
        <v>45961</v>
      </c>
      <c r="D13">
        <v>92749</v>
      </c>
      <c r="E13">
        <v>275.5</v>
      </c>
      <c r="F13" s="2">
        <v>5953.77</v>
      </c>
      <c r="G13" s="1">
        <v>45965</v>
      </c>
      <c r="I13" t="s">
        <v>9</v>
      </c>
      <c r="J13" s="14">
        <f>IFERROR(VLOOKUP(D13,'INf. RRHH'!$A:$B,2,0),0)</f>
        <v>2900</v>
      </c>
      <c r="K13" s="16">
        <f t="shared" si="0"/>
        <v>3053.7700000000004</v>
      </c>
      <c r="L13" s="17">
        <f t="shared" si="1"/>
        <v>966.67</v>
      </c>
      <c r="M13" s="18">
        <f t="shared" si="2"/>
        <v>4020.4400000000005</v>
      </c>
    </row>
    <row r="14" spans="1:13" x14ac:dyDescent="0.25">
      <c r="A14">
        <v>1000</v>
      </c>
      <c r="B14">
        <v>1000</v>
      </c>
      <c r="C14" s="1">
        <v>45961</v>
      </c>
      <c r="D14">
        <v>92848</v>
      </c>
      <c r="E14">
        <v>262.5</v>
      </c>
      <c r="F14" s="2">
        <v>5688.05</v>
      </c>
      <c r="G14" s="1">
        <v>45965</v>
      </c>
      <c r="I14" t="s">
        <v>9</v>
      </c>
      <c r="J14" s="14">
        <f>IFERROR(VLOOKUP(D14,'INf. RRHH'!$A:$B,2,0),0)</f>
        <v>2900</v>
      </c>
      <c r="K14" s="16">
        <f t="shared" si="0"/>
        <v>2788.05</v>
      </c>
      <c r="L14" s="17">
        <f t="shared" si="1"/>
        <v>966.67</v>
      </c>
      <c r="M14" s="18">
        <f t="shared" si="2"/>
        <v>3754.7200000000003</v>
      </c>
    </row>
    <row r="15" spans="1:13" x14ac:dyDescent="0.25">
      <c r="A15">
        <v>1000</v>
      </c>
      <c r="B15">
        <v>1000</v>
      </c>
      <c r="C15" s="1">
        <v>45961</v>
      </c>
      <c r="D15">
        <v>92876</v>
      </c>
      <c r="E15">
        <v>221</v>
      </c>
      <c r="F15" s="2">
        <v>5368.69</v>
      </c>
      <c r="G15" s="1">
        <v>45965</v>
      </c>
      <c r="I15" t="s">
        <v>9</v>
      </c>
      <c r="J15" s="14">
        <f>IFERROR(VLOOKUP(D15,'INf. RRHH'!$A:$B,2,0),0)</f>
        <v>2900</v>
      </c>
      <c r="K15" s="16">
        <f t="shared" si="0"/>
        <v>2468.6899999999996</v>
      </c>
      <c r="L15" s="17">
        <f t="shared" si="1"/>
        <v>966.67</v>
      </c>
      <c r="M15" s="18">
        <f t="shared" si="2"/>
        <v>3435.3599999999997</v>
      </c>
    </row>
    <row r="16" spans="1:13" x14ac:dyDescent="0.25">
      <c r="A16">
        <v>1000</v>
      </c>
      <c r="B16">
        <v>1000</v>
      </c>
      <c r="C16" s="1">
        <v>45961</v>
      </c>
      <c r="D16">
        <v>92967</v>
      </c>
      <c r="E16">
        <v>329.35</v>
      </c>
      <c r="F16" s="2">
        <v>6313.83</v>
      </c>
      <c r="G16" s="1">
        <v>45965</v>
      </c>
      <c r="I16" t="s">
        <v>9</v>
      </c>
      <c r="J16" s="14">
        <f>IFERROR(VLOOKUP(D16,'INf. RRHH'!$A:$B,2,0),0)</f>
        <v>2900</v>
      </c>
      <c r="K16" s="16">
        <f t="shared" si="0"/>
        <v>3413.83</v>
      </c>
      <c r="L16" s="17">
        <f t="shared" si="1"/>
        <v>966.67</v>
      </c>
      <c r="M16" s="18">
        <f t="shared" si="2"/>
        <v>4380.5</v>
      </c>
    </row>
    <row r="17" spans="1:13" x14ac:dyDescent="0.25">
      <c r="A17">
        <v>1000</v>
      </c>
      <c r="B17">
        <v>1000</v>
      </c>
      <c r="C17" s="1">
        <v>45961</v>
      </c>
      <c r="D17">
        <v>93171</v>
      </c>
      <c r="E17">
        <v>243</v>
      </c>
      <c r="F17" s="2">
        <v>5419.8</v>
      </c>
      <c r="G17" s="1">
        <v>45965</v>
      </c>
      <c r="I17" t="s">
        <v>9</v>
      </c>
      <c r="J17" s="14">
        <f>IFERROR(VLOOKUP(D17,'INf. RRHH'!$A:$B,2,0),0)</f>
        <v>2900</v>
      </c>
      <c r="K17" s="16">
        <f t="shared" si="0"/>
        <v>2519.8000000000002</v>
      </c>
      <c r="L17" s="17">
        <f t="shared" si="1"/>
        <v>966.67</v>
      </c>
      <c r="M17" s="18">
        <f t="shared" si="2"/>
        <v>3486.4700000000003</v>
      </c>
    </row>
    <row r="18" spans="1:13" x14ac:dyDescent="0.25">
      <c r="A18">
        <v>1000</v>
      </c>
      <c r="B18">
        <v>1000</v>
      </c>
      <c r="C18" s="1">
        <v>45961</v>
      </c>
      <c r="D18">
        <v>93372</v>
      </c>
      <c r="E18">
        <v>16</v>
      </c>
      <c r="F18" s="2">
        <v>4350.49</v>
      </c>
      <c r="G18" s="1">
        <v>45965</v>
      </c>
      <c r="I18" t="s">
        <v>9</v>
      </c>
      <c r="J18" s="14">
        <f>IFERROR(VLOOKUP(D18,'INf. RRHH'!$A:$B,2,0),0)</f>
        <v>2900</v>
      </c>
      <c r="K18" s="16">
        <f t="shared" si="0"/>
        <v>1450.4899999999998</v>
      </c>
      <c r="L18" s="17">
        <f t="shared" si="1"/>
        <v>966.67</v>
      </c>
      <c r="M18" s="18">
        <f t="shared" si="2"/>
        <v>2417.16</v>
      </c>
    </row>
    <row r="19" spans="1:13" x14ac:dyDescent="0.25">
      <c r="A19">
        <v>1000</v>
      </c>
      <c r="B19">
        <v>1000</v>
      </c>
      <c r="C19" s="1">
        <v>45961</v>
      </c>
      <c r="D19">
        <v>93469</v>
      </c>
      <c r="E19">
        <v>169</v>
      </c>
      <c r="F19" s="2">
        <v>5435.72</v>
      </c>
      <c r="G19" s="1">
        <v>45965</v>
      </c>
      <c r="I19" t="s">
        <v>9</v>
      </c>
      <c r="J19" s="14">
        <f>IFERROR(VLOOKUP(D19,'INf. RRHH'!$A:$B,2,0),0)</f>
        <v>2900</v>
      </c>
      <c r="K19" s="16">
        <f t="shared" si="0"/>
        <v>2535.7200000000003</v>
      </c>
      <c r="L19" s="17">
        <f t="shared" si="1"/>
        <v>966.67</v>
      </c>
      <c r="M19" s="18">
        <f t="shared" si="2"/>
        <v>3502.3900000000003</v>
      </c>
    </row>
    <row r="20" spans="1:13" x14ac:dyDescent="0.25">
      <c r="A20">
        <v>1000</v>
      </c>
      <c r="B20">
        <v>1000</v>
      </c>
      <c r="C20" s="1">
        <v>45961</v>
      </c>
      <c r="D20">
        <v>93491</v>
      </c>
      <c r="E20">
        <v>387</v>
      </c>
      <c r="F20" s="2">
        <v>6923.12</v>
      </c>
      <c r="G20" s="1">
        <v>45965</v>
      </c>
      <c r="I20" t="s">
        <v>9</v>
      </c>
      <c r="J20" s="14">
        <f>IFERROR(VLOOKUP(D20,'INf. RRHH'!$A:$B,2,0),0)</f>
        <v>2900</v>
      </c>
      <c r="K20" s="16">
        <f t="shared" si="0"/>
        <v>4023.12</v>
      </c>
      <c r="L20" s="17">
        <f t="shared" si="1"/>
        <v>966.67</v>
      </c>
      <c r="M20" s="18">
        <f t="shared" si="2"/>
        <v>4989.79</v>
      </c>
    </row>
    <row r="21" spans="1:13" x14ac:dyDescent="0.25">
      <c r="A21">
        <v>1000</v>
      </c>
      <c r="B21">
        <v>1000</v>
      </c>
      <c r="C21" s="1">
        <v>45961</v>
      </c>
      <c r="D21">
        <v>93577</v>
      </c>
      <c r="E21">
        <v>273</v>
      </c>
      <c r="F21" s="2">
        <v>6114.29</v>
      </c>
      <c r="G21" s="1">
        <v>45965</v>
      </c>
      <c r="I21" t="s">
        <v>9</v>
      </c>
      <c r="J21" s="14">
        <f>IFERROR(VLOOKUP(D21,'INf. RRHH'!$A:$B,2,0),0)</f>
        <v>2900</v>
      </c>
      <c r="K21" s="16">
        <f t="shared" si="0"/>
        <v>3214.29</v>
      </c>
      <c r="L21" s="17">
        <f t="shared" si="1"/>
        <v>966.67</v>
      </c>
      <c r="M21" s="18">
        <f t="shared" si="2"/>
        <v>4180.96</v>
      </c>
    </row>
    <row r="22" spans="1:13" x14ac:dyDescent="0.25">
      <c r="A22">
        <v>1000</v>
      </c>
      <c r="B22">
        <v>1000</v>
      </c>
      <c r="C22" s="1">
        <v>45961</v>
      </c>
      <c r="D22">
        <v>93578</v>
      </c>
      <c r="E22">
        <v>306</v>
      </c>
      <c r="F22" s="2">
        <v>7002.68</v>
      </c>
      <c r="G22" s="1">
        <v>45965</v>
      </c>
      <c r="I22" t="s">
        <v>9</v>
      </c>
      <c r="J22" s="14">
        <f>IFERROR(VLOOKUP(D22,'INf. RRHH'!$A:$B,2,0),0)</f>
        <v>2900</v>
      </c>
      <c r="K22" s="16">
        <f t="shared" si="0"/>
        <v>4102.68</v>
      </c>
      <c r="L22" s="17">
        <f t="shared" si="1"/>
        <v>966.67</v>
      </c>
      <c r="M22" s="18">
        <f t="shared" si="2"/>
        <v>5069.3500000000004</v>
      </c>
    </row>
    <row r="23" spans="1:13" x14ac:dyDescent="0.25">
      <c r="A23">
        <v>1000</v>
      </c>
      <c r="B23">
        <v>1000</v>
      </c>
      <c r="C23" s="1">
        <v>45961</v>
      </c>
      <c r="D23">
        <v>93659</v>
      </c>
      <c r="E23">
        <v>325</v>
      </c>
      <c r="F23" s="2">
        <v>6683.61</v>
      </c>
      <c r="G23" s="1">
        <v>45965</v>
      </c>
      <c r="I23" t="s">
        <v>9</v>
      </c>
      <c r="J23" s="14">
        <f>IFERROR(VLOOKUP(D23,'INf. RRHH'!$A:$B,2,0),0)</f>
        <v>2900</v>
      </c>
      <c r="K23" s="16">
        <f t="shared" si="0"/>
        <v>3783.6099999999997</v>
      </c>
      <c r="L23" s="17">
        <f t="shared" si="1"/>
        <v>966.67</v>
      </c>
      <c r="M23" s="18">
        <f t="shared" si="2"/>
        <v>4750.28</v>
      </c>
    </row>
    <row r="24" spans="1:13" x14ac:dyDescent="0.25">
      <c r="A24">
        <v>1000</v>
      </c>
      <c r="B24">
        <v>1000</v>
      </c>
      <c r="C24" s="1">
        <v>45961</v>
      </c>
      <c r="D24">
        <v>93740</v>
      </c>
      <c r="E24">
        <v>318</v>
      </c>
      <c r="F24" s="2">
        <v>5820.38</v>
      </c>
      <c r="G24" s="1">
        <v>45965</v>
      </c>
      <c r="I24" t="s">
        <v>9</v>
      </c>
      <c r="J24" s="14">
        <f>IFERROR(VLOOKUP(D24,'INf. RRHH'!$A:$B,2,0),0)</f>
        <v>2900</v>
      </c>
      <c r="K24" s="16">
        <f t="shared" si="0"/>
        <v>2920.38</v>
      </c>
      <c r="L24" s="17">
        <f t="shared" si="1"/>
        <v>966.67</v>
      </c>
      <c r="M24" s="18">
        <f t="shared" si="2"/>
        <v>3887.05</v>
      </c>
    </row>
    <row r="25" spans="1:13" x14ac:dyDescent="0.25">
      <c r="A25">
        <v>1000</v>
      </c>
      <c r="B25">
        <v>1000</v>
      </c>
      <c r="C25" s="1">
        <v>45961</v>
      </c>
      <c r="D25">
        <v>93786</v>
      </c>
      <c r="E25">
        <v>319</v>
      </c>
      <c r="F25" s="2">
        <v>6493.69</v>
      </c>
      <c r="G25" s="1">
        <v>45965</v>
      </c>
      <c r="I25" t="s">
        <v>9</v>
      </c>
      <c r="J25" s="14">
        <f>IFERROR(VLOOKUP(D25,'INf. RRHH'!$A:$B,2,0),0)</f>
        <v>2900</v>
      </c>
      <c r="K25" s="16">
        <f t="shared" si="0"/>
        <v>3593.6899999999996</v>
      </c>
      <c r="L25" s="17">
        <f t="shared" si="1"/>
        <v>966.67</v>
      </c>
      <c r="M25" s="18">
        <f t="shared" si="2"/>
        <v>4560.3599999999997</v>
      </c>
    </row>
    <row r="26" spans="1:13" x14ac:dyDescent="0.25">
      <c r="A26">
        <v>1000</v>
      </c>
      <c r="B26">
        <v>1000</v>
      </c>
      <c r="C26" s="1">
        <v>45961</v>
      </c>
      <c r="D26">
        <v>93812</v>
      </c>
      <c r="E26">
        <v>405</v>
      </c>
      <c r="F26" s="2">
        <v>7239.92</v>
      </c>
      <c r="G26" s="1">
        <v>45965</v>
      </c>
      <c r="I26" t="s">
        <v>9</v>
      </c>
      <c r="J26" s="14">
        <f>IFERROR(VLOOKUP(D26,'INf. RRHH'!$A:$B,2,0),0)</f>
        <v>2900</v>
      </c>
      <c r="K26" s="16">
        <f t="shared" si="0"/>
        <v>4339.92</v>
      </c>
      <c r="L26" s="17">
        <f t="shared" si="1"/>
        <v>966.67</v>
      </c>
      <c r="M26" s="18">
        <f t="shared" si="2"/>
        <v>5306.59</v>
      </c>
    </row>
    <row r="27" spans="1:13" x14ac:dyDescent="0.25">
      <c r="A27">
        <v>1000</v>
      </c>
      <c r="B27">
        <v>1000</v>
      </c>
      <c r="C27" s="1">
        <v>45961</v>
      </c>
      <c r="D27">
        <v>93893</v>
      </c>
      <c r="E27">
        <v>330.5</v>
      </c>
      <c r="F27" s="2">
        <v>5999.11</v>
      </c>
      <c r="G27" s="1">
        <v>45965</v>
      </c>
      <c r="I27" t="s">
        <v>9</v>
      </c>
      <c r="J27" s="14">
        <f>IFERROR(VLOOKUP(D27,'INf. RRHH'!$A:$B,2,0),0)</f>
        <v>2900</v>
      </c>
      <c r="K27" s="16">
        <f t="shared" si="0"/>
        <v>3099.1099999999997</v>
      </c>
      <c r="L27" s="17">
        <f t="shared" si="1"/>
        <v>966.67</v>
      </c>
      <c r="M27" s="18">
        <f t="shared" si="2"/>
        <v>4065.7799999999997</v>
      </c>
    </row>
    <row r="28" spans="1:13" x14ac:dyDescent="0.25">
      <c r="A28">
        <v>1000</v>
      </c>
      <c r="B28">
        <v>1000</v>
      </c>
      <c r="C28" s="1">
        <v>45961</v>
      </c>
      <c r="D28">
        <v>93894</v>
      </c>
      <c r="E28">
        <v>331</v>
      </c>
      <c r="F28" s="2">
        <v>6662.67</v>
      </c>
      <c r="G28" s="1">
        <v>45965</v>
      </c>
      <c r="I28" t="s">
        <v>9</v>
      </c>
      <c r="J28" s="14">
        <f>IFERROR(VLOOKUP(D28,'INf. RRHH'!$A:$B,2,0),0)</f>
        <v>2900</v>
      </c>
      <c r="K28" s="16">
        <f t="shared" si="0"/>
        <v>3762.67</v>
      </c>
      <c r="L28" s="17">
        <f t="shared" si="1"/>
        <v>966.67</v>
      </c>
      <c r="M28" s="18">
        <f t="shared" si="2"/>
        <v>4729.34</v>
      </c>
    </row>
    <row r="29" spans="1:13" x14ac:dyDescent="0.25">
      <c r="A29">
        <v>1000</v>
      </c>
      <c r="B29">
        <v>1000</v>
      </c>
      <c r="C29" s="1">
        <v>45961</v>
      </c>
      <c r="D29">
        <v>93965</v>
      </c>
      <c r="E29">
        <v>48</v>
      </c>
      <c r="F29" s="2">
        <v>6056.77</v>
      </c>
      <c r="G29" s="1">
        <v>45965</v>
      </c>
      <c r="I29" t="s">
        <v>9</v>
      </c>
      <c r="J29" s="14">
        <f>IFERROR(VLOOKUP(D29,'INf. RRHH'!$A:$B,2,0),0)</f>
        <v>2900</v>
      </c>
      <c r="K29" s="16">
        <f t="shared" si="0"/>
        <v>3156.7700000000004</v>
      </c>
      <c r="L29" s="17">
        <f t="shared" si="1"/>
        <v>966.67</v>
      </c>
      <c r="M29" s="18">
        <f t="shared" si="2"/>
        <v>4123.4400000000005</v>
      </c>
    </row>
    <row r="30" spans="1:13" x14ac:dyDescent="0.25">
      <c r="A30">
        <v>1000</v>
      </c>
      <c r="B30">
        <v>1000</v>
      </c>
      <c r="C30" s="1">
        <v>45961</v>
      </c>
      <c r="D30">
        <v>93977</v>
      </c>
      <c r="E30">
        <v>240</v>
      </c>
      <c r="F30" s="2">
        <v>5376.5</v>
      </c>
      <c r="G30" s="1">
        <v>45965</v>
      </c>
      <c r="I30" t="s">
        <v>9</v>
      </c>
      <c r="J30" s="14">
        <f>IFERROR(VLOOKUP(D30,'INf. RRHH'!$A:$B,2,0),0)</f>
        <v>2900</v>
      </c>
      <c r="K30" s="16">
        <f t="shared" si="0"/>
        <v>2476.5</v>
      </c>
      <c r="L30" s="17">
        <f t="shared" si="1"/>
        <v>966.67</v>
      </c>
      <c r="M30" s="18">
        <f t="shared" si="2"/>
        <v>3443.17</v>
      </c>
    </row>
    <row r="31" spans="1:13" x14ac:dyDescent="0.25">
      <c r="A31">
        <v>1000</v>
      </c>
      <c r="B31">
        <v>1000</v>
      </c>
      <c r="C31" s="1">
        <v>45961</v>
      </c>
      <c r="D31">
        <v>94185</v>
      </c>
      <c r="E31">
        <v>240</v>
      </c>
      <c r="F31" s="2">
        <v>5375.46</v>
      </c>
      <c r="G31" s="1">
        <v>45965</v>
      </c>
      <c r="I31" t="s">
        <v>9</v>
      </c>
      <c r="J31" s="14">
        <f>IFERROR(VLOOKUP(D31,'INf. RRHH'!$A:$B,2,0),0)</f>
        <v>2900</v>
      </c>
      <c r="K31" s="16">
        <f t="shared" si="0"/>
        <v>2475.46</v>
      </c>
      <c r="L31" s="17">
        <f t="shared" si="1"/>
        <v>966.67</v>
      </c>
      <c r="M31" s="18">
        <f t="shared" si="2"/>
        <v>3442.13</v>
      </c>
    </row>
    <row r="32" spans="1:13" x14ac:dyDescent="0.25">
      <c r="A32">
        <v>1000</v>
      </c>
      <c r="B32">
        <v>1000</v>
      </c>
      <c r="C32" s="1">
        <v>45961</v>
      </c>
      <c r="D32">
        <v>94425</v>
      </c>
      <c r="E32">
        <v>240</v>
      </c>
      <c r="F32" s="2">
        <v>4011.43</v>
      </c>
      <c r="G32" s="1">
        <v>45965</v>
      </c>
      <c r="I32" t="s">
        <v>9</v>
      </c>
      <c r="J32" s="14">
        <f>IFERROR(VLOOKUP(D32,'INf. RRHH'!$A:$B,2,0),0)</f>
        <v>2900</v>
      </c>
      <c r="K32" s="16">
        <f t="shared" si="0"/>
        <v>1111.4299999999998</v>
      </c>
      <c r="L32" s="17">
        <f t="shared" si="1"/>
        <v>966.67</v>
      </c>
      <c r="M32" s="18">
        <f t="shared" si="2"/>
        <v>2078.1</v>
      </c>
    </row>
    <row r="33" spans="1:13" x14ac:dyDescent="0.25">
      <c r="A33">
        <v>1000</v>
      </c>
      <c r="B33">
        <v>1000</v>
      </c>
      <c r="C33" s="1">
        <v>45961</v>
      </c>
      <c r="D33">
        <v>94469</v>
      </c>
      <c r="E33">
        <v>278</v>
      </c>
      <c r="F33" s="2">
        <v>5607.88</v>
      </c>
      <c r="G33" s="1">
        <v>45965</v>
      </c>
      <c r="I33" t="s">
        <v>9</v>
      </c>
      <c r="J33" s="14">
        <f>IFERROR(VLOOKUP(D33,'INf. RRHH'!$A:$B,2,0),0)</f>
        <v>2900</v>
      </c>
      <c r="K33" s="16">
        <f t="shared" si="0"/>
        <v>2707.88</v>
      </c>
      <c r="L33" s="17">
        <f t="shared" si="1"/>
        <v>966.67</v>
      </c>
      <c r="M33" s="18">
        <f t="shared" si="2"/>
        <v>3674.55</v>
      </c>
    </row>
    <row r="34" spans="1:13" x14ac:dyDescent="0.25">
      <c r="A34">
        <v>1000</v>
      </c>
      <c r="B34">
        <v>1000</v>
      </c>
      <c r="C34" s="1">
        <v>45961</v>
      </c>
      <c r="D34">
        <v>94505</v>
      </c>
      <c r="E34">
        <v>329.5</v>
      </c>
      <c r="F34" s="2">
        <v>6563.13</v>
      </c>
      <c r="G34" s="1">
        <v>45965</v>
      </c>
      <c r="I34" t="s">
        <v>9</v>
      </c>
      <c r="J34" s="14">
        <f>IFERROR(VLOOKUP(D34,'INf. RRHH'!$A:$B,2,0),0)</f>
        <v>2900</v>
      </c>
      <c r="K34" s="16">
        <f t="shared" si="0"/>
        <v>3663.13</v>
      </c>
      <c r="L34" s="17">
        <f t="shared" si="1"/>
        <v>966.67</v>
      </c>
      <c r="M34" s="18">
        <f t="shared" si="2"/>
        <v>4629.8</v>
      </c>
    </row>
    <row r="35" spans="1:13" x14ac:dyDescent="0.25">
      <c r="A35">
        <v>1000</v>
      </c>
      <c r="B35">
        <v>1000</v>
      </c>
      <c r="C35" s="1">
        <v>45961</v>
      </c>
      <c r="D35">
        <v>94813</v>
      </c>
      <c r="E35">
        <v>263.5</v>
      </c>
      <c r="F35" s="2">
        <v>5726.58</v>
      </c>
      <c r="G35" s="1">
        <v>45965</v>
      </c>
      <c r="I35" t="s">
        <v>9</v>
      </c>
      <c r="J35" s="14">
        <f>IFERROR(VLOOKUP(D35,'INf. RRHH'!$A:$B,2,0),0)</f>
        <v>2900</v>
      </c>
      <c r="K35" s="16">
        <f t="shared" si="0"/>
        <v>2826.58</v>
      </c>
      <c r="L35" s="17">
        <f t="shared" si="1"/>
        <v>966.67</v>
      </c>
      <c r="M35" s="18">
        <f t="shared" si="2"/>
        <v>3793.25</v>
      </c>
    </row>
    <row r="36" spans="1:13" x14ac:dyDescent="0.25">
      <c r="A36">
        <v>1000</v>
      </c>
      <c r="B36">
        <v>1000</v>
      </c>
      <c r="C36" s="1">
        <v>45961</v>
      </c>
      <c r="D36">
        <v>94931</v>
      </c>
      <c r="E36">
        <v>281</v>
      </c>
      <c r="F36" s="2">
        <v>6077.4</v>
      </c>
      <c r="G36" s="1">
        <v>45965</v>
      </c>
      <c r="I36" t="s">
        <v>9</v>
      </c>
      <c r="J36" s="14">
        <f>IFERROR(VLOOKUP(D36,'INf. RRHH'!$A:$B,2,0),0)</f>
        <v>2900</v>
      </c>
      <c r="K36" s="16">
        <f t="shared" si="0"/>
        <v>3177.3999999999996</v>
      </c>
      <c r="L36" s="17">
        <f t="shared" si="1"/>
        <v>966.67</v>
      </c>
      <c r="M36" s="18">
        <f t="shared" si="2"/>
        <v>4144.07</v>
      </c>
    </row>
    <row r="37" spans="1:13" x14ac:dyDescent="0.25">
      <c r="A37">
        <v>1000</v>
      </c>
      <c r="B37">
        <v>1000</v>
      </c>
      <c r="C37" s="1">
        <v>45961</v>
      </c>
      <c r="D37">
        <v>95106</v>
      </c>
      <c r="E37">
        <v>178</v>
      </c>
      <c r="F37" s="2">
        <v>5371.92</v>
      </c>
      <c r="G37" s="1">
        <v>45965</v>
      </c>
      <c r="I37" t="s">
        <v>9</v>
      </c>
      <c r="J37" s="14">
        <f>IFERROR(VLOOKUP(D37,'INf. RRHH'!$A:$B,2,0),0)</f>
        <v>2900</v>
      </c>
      <c r="K37" s="16">
        <f t="shared" si="0"/>
        <v>2471.92</v>
      </c>
      <c r="L37" s="17">
        <f t="shared" si="1"/>
        <v>966.67</v>
      </c>
      <c r="M37" s="18">
        <f t="shared" si="2"/>
        <v>3438.59</v>
      </c>
    </row>
    <row r="38" spans="1:13" x14ac:dyDescent="0.25">
      <c r="A38">
        <v>1000</v>
      </c>
      <c r="B38">
        <v>1000</v>
      </c>
      <c r="C38" s="1">
        <v>45961</v>
      </c>
      <c r="D38">
        <v>95202</v>
      </c>
      <c r="E38">
        <v>232</v>
      </c>
      <c r="F38" s="2">
        <v>5062.41</v>
      </c>
      <c r="G38" s="1">
        <v>45965</v>
      </c>
      <c r="I38" t="s">
        <v>9</v>
      </c>
      <c r="J38" s="14">
        <f>IFERROR(VLOOKUP(D38,'INf. RRHH'!$A:$B,2,0),0)</f>
        <v>2900</v>
      </c>
      <c r="K38" s="16">
        <f t="shared" si="0"/>
        <v>2162.41</v>
      </c>
      <c r="L38" s="17">
        <f t="shared" si="1"/>
        <v>966.67</v>
      </c>
      <c r="M38" s="18">
        <f t="shared" si="2"/>
        <v>3129.08</v>
      </c>
    </row>
    <row r="39" spans="1:13" x14ac:dyDescent="0.25">
      <c r="A39">
        <v>1000</v>
      </c>
      <c r="B39">
        <v>1000</v>
      </c>
      <c r="C39" s="1">
        <v>45961</v>
      </c>
      <c r="D39">
        <v>95286</v>
      </c>
      <c r="E39">
        <v>200</v>
      </c>
      <c r="F39" s="2">
        <v>4624.5600000000004</v>
      </c>
      <c r="G39" s="1">
        <v>45965</v>
      </c>
      <c r="I39" t="s">
        <v>9</v>
      </c>
      <c r="J39" s="14">
        <f>IFERROR(VLOOKUP(D39,'INf. RRHH'!$A:$B,2,0),0)</f>
        <v>2900</v>
      </c>
      <c r="K39" s="16">
        <f t="shared" si="0"/>
        <v>1724.5600000000004</v>
      </c>
      <c r="L39" s="17">
        <f t="shared" si="1"/>
        <v>966.67</v>
      </c>
      <c r="M39" s="18">
        <f t="shared" si="2"/>
        <v>2691.2300000000005</v>
      </c>
    </row>
    <row r="40" spans="1:13" x14ac:dyDescent="0.25">
      <c r="A40">
        <v>1000</v>
      </c>
      <c r="B40">
        <v>1000</v>
      </c>
      <c r="C40" s="1">
        <v>45961</v>
      </c>
      <c r="D40">
        <v>95337</v>
      </c>
      <c r="E40">
        <v>240</v>
      </c>
      <c r="F40" s="2">
        <v>5375.74</v>
      </c>
      <c r="G40" s="1">
        <v>45965</v>
      </c>
      <c r="I40" t="s">
        <v>9</v>
      </c>
      <c r="J40" s="14">
        <f>IFERROR(VLOOKUP(D40,'INf. RRHH'!$A:$B,2,0),0)</f>
        <v>2900</v>
      </c>
      <c r="K40" s="16">
        <f t="shared" si="0"/>
        <v>2475.7399999999998</v>
      </c>
      <c r="L40" s="17">
        <f t="shared" si="1"/>
        <v>966.67</v>
      </c>
      <c r="M40" s="18">
        <f t="shared" si="2"/>
        <v>3442.41</v>
      </c>
    </row>
    <row r="41" spans="1:13" x14ac:dyDescent="0.25">
      <c r="A41">
        <v>1000</v>
      </c>
      <c r="B41">
        <v>1000</v>
      </c>
      <c r="C41" s="1">
        <v>45961</v>
      </c>
      <c r="D41">
        <v>95349</v>
      </c>
      <c r="E41">
        <v>260</v>
      </c>
      <c r="F41" s="2">
        <v>5090.4399999999996</v>
      </c>
      <c r="G41" s="1">
        <v>45965</v>
      </c>
      <c r="I41" t="s">
        <v>9</v>
      </c>
      <c r="J41" s="14">
        <f>IFERROR(VLOOKUP(D41,'INf. RRHH'!$A:$B,2,0),0)</f>
        <v>2900</v>
      </c>
      <c r="K41" s="16">
        <f t="shared" si="0"/>
        <v>2190.4399999999996</v>
      </c>
      <c r="L41" s="17">
        <f t="shared" si="1"/>
        <v>966.67</v>
      </c>
      <c r="M41" s="18">
        <f t="shared" si="2"/>
        <v>3157.1099999999997</v>
      </c>
    </row>
    <row r="42" spans="1:13" x14ac:dyDescent="0.25">
      <c r="A42">
        <v>1000</v>
      </c>
      <c r="B42">
        <v>1000</v>
      </c>
      <c r="C42" s="1">
        <v>45961</v>
      </c>
      <c r="D42">
        <v>7256</v>
      </c>
      <c r="E42">
        <v>232</v>
      </c>
      <c r="F42" s="2">
        <v>5895.55</v>
      </c>
      <c r="G42" s="1">
        <v>45965</v>
      </c>
      <c r="I42" t="s">
        <v>9</v>
      </c>
      <c r="J42" s="14">
        <f>IFERROR(VLOOKUP(D42,'INf. RRHH'!$A:$B,2,0),0)</f>
        <v>2900</v>
      </c>
      <c r="K42" s="16">
        <f t="shared" si="0"/>
        <v>2995.55</v>
      </c>
      <c r="L42" s="17">
        <f t="shared" si="1"/>
        <v>966.67</v>
      </c>
      <c r="M42" s="18">
        <f t="shared" si="2"/>
        <v>3962.2200000000003</v>
      </c>
    </row>
    <row r="43" spans="1:13" x14ac:dyDescent="0.25">
      <c r="A43">
        <v>1000</v>
      </c>
      <c r="B43">
        <v>1000</v>
      </c>
      <c r="C43" s="1">
        <v>45961</v>
      </c>
      <c r="D43">
        <v>7365</v>
      </c>
      <c r="E43">
        <v>244</v>
      </c>
      <c r="F43" s="2">
        <v>6196.73</v>
      </c>
      <c r="G43" s="1">
        <v>45965</v>
      </c>
      <c r="I43" t="s">
        <v>9</v>
      </c>
      <c r="J43" s="14">
        <f>IFERROR(VLOOKUP(D43,'INf. RRHH'!$A:$B,2,0),0)</f>
        <v>2900</v>
      </c>
      <c r="K43" s="16">
        <f t="shared" si="0"/>
        <v>3296.7299999999996</v>
      </c>
      <c r="L43" s="17">
        <f t="shared" si="1"/>
        <v>966.67</v>
      </c>
      <c r="M43" s="18">
        <f t="shared" si="2"/>
        <v>4263.3999999999996</v>
      </c>
    </row>
    <row r="44" spans="1:13" x14ac:dyDescent="0.25">
      <c r="A44">
        <v>1000</v>
      </c>
      <c r="B44">
        <v>1000</v>
      </c>
      <c r="C44" s="1">
        <v>45961</v>
      </c>
      <c r="D44">
        <v>90008</v>
      </c>
      <c r="E44">
        <v>274</v>
      </c>
      <c r="F44" s="2">
        <v>6388.39</v>
      </c>
      <c r="G44" s="1">
        <v>45965</v>
      </c>
      <c r="I44" t="s">
        <v>9</v>
      </c>
      <c r="J44" s="14">
        <f>IFERROR(VLOOKUP(D44,'INf. RRHH'!$A:$B,2,0),0)</f>
        <v>2900</v>
      </c>
      <c r="K44" s="16">
        <f t="shared" si="0"/>
        <v>3488.3900000000003</v>
      </c>
      <c r="L44" s="17">
        <f t="shared" si="1"/>
        <v>966.67</v>
      </c>
      <c r="M44" s="18">
        <f t="shared" si="2"/>
        <v>4455.0600000000004</v>
      </c>
    </row>
    <row r="45" spans="1:13" x14ac:dyDescent="0.25">
      <c r="A45">
        <v>1000</v>
      </c>
      <c r="B45">
        <v>1000</v>
      </c>
      <c r="C45" s="1">
        <v>45961</v>
      </c>
      <c r="D45">
        <v>90030</v>
      </c>
      <c r="E45">
        <v>282</v>
      </c>
      <c r="F45" s="2">
        <v>5945.84</v>
      </c>
      <c r="G45" s="1">
        <v>45965</v>
      </c>
      <c r="I45" t="s">
        <v>9</v>
      </c>
      <c r="J45" s="14">
        <f>IFERROR(VLOOKUP(D45,'INf. RRHH'!$A:$B,2,0),0)</f>
        <v>2900</v>
      </c>
      <c r="K45" s="16">
        <f t="shared" si="0"/>
        <v>3045.84</v>
      </c>
      <c r="L45" s="17">
        <f t="shared" si="1"/>
        <v>966.67</v>
      </c>
      <c r="M45" s="18">
        <f t="shared" si="2"/>
        <v>4012.51</v>
      </c>
    </row>
    <row r="46" spans="1:13" x14ac:dyDescent="0.25">
      <c r="A46">
        <v>1000</v>
      </c>
      <c r="B46">
        <v>1000</v>
      </c>
      <c r="C46" s="1">
        <v>45961</v>
      </c>
      <c r="D46">
        <v>90799</v>
      </c>
      <c r="E46">
        <v>337</v>
      </c>
      <c r="F46" s="2">
        <v>6625.89</v>
      </c>
      <c r="G46" s="1">
        <v>45965</v>
      </c>
      <c r="I46" t="s">
        <v>9</v>
      </c>
      <c r="J46" s="14">
        <f>IFERROR(VLOOKUP(D46,'INf. RRHH'!$A:$B,2,0),0)</f>
        <v>2900</v>
      </c>
      <c r="K46" s="16">
        <f t="shared" si="0"/>
        <v>3725.8900000000003</v>
      </c>
      <c r="L46" s="17">
        <f t="shared" si="1"/>
        <v>966.67</v>
      </c>
      <c r="M46" s="18">
        <f t="shared" si="2"/>
        <v>4692.5600000000004</v>
      </c>
    </row>
    <row r="47" spans="1:13" x14ac:dyDescent="0.25">
      <c r="A47">
        <v>1000</v>
      </c>
      <c r="B47">
        <v>1000</v>
      </c>
      <c r="C47" s="1">
        <v>45961</v>
      </c>
      <c r="D47">
        <v>90888</v>
      </c>
      <c r="E47">
        <v>333.5</v>
      </c>
      <c r="F47" s="2">
        <v>7146.41</v>
      </c>
      <c r="G47" s="1">
        <v>45965</v>
      </c>
      <c r="I47" t="s">
        <v>9</v>
      </c>
      <c r="J47" s="14">
        <f>IFERROR(VLOOKUP(D47,'INf. RRHH'!$A:$B,2,0),0)</f>
        <v>2900</v>
      </c>
      <c r="K47" s="16">
        <f t="shared" si="0"/>
        <v>4246.41</v>
      </c>
      <c r="L47" s="17">
        <f t="shared" si="1"/>
        <v>966.67</v>
      </c>
      <c r="M47" s="18">
        <f t="shared" si="2"/>
        <v>5213.08</v>
      </c>
    </row>
    <row r="48" spans="1:13" x14ac:dyDescent="0.25">
      <c r="A48">
        <v>1000</v>
      </c>
      <c r="B48">
        <v>1000</v>
      </c>
      <c r="C48" s="1">
        <v>45961</v>
      </c>
      <c r="D48">
        <v>91356</v>
      </c>
      <c r="E48">
        <v>240</v>
      </c>
      <c r="F48" s="2">
        <v>5296.06</v>
      </c>
      <c r="G48" s="1">
        <v>45965</v>
      </c>
      <c r="I48" t="s">
        <v>9</v>
      </c>
      <c r="J48" s="14">
        <f>IFERROR(VLOOKUP(D48,'INf. RRHH'!$A:$B,2,0),0)</f>
        <v>2900</v>
      </c>
      <c r="K48" s="16">
        <f t="shared" si="0"/>
        <v>2396.0600000000004</v>
      </c>
      <c r="L48" s="17">
        <f t="shared" si="1"/>
        <v>966.67</v>
      </c>
      <c r="M48" s="18">
        <f t="shared" si="2"/>
        <v>3362.7300000000005</v>
      </c>
    </row>
    <row r="49" spans="1:13" x14ac:dyDescent="0.25">
      <c r="A49">
        <v>1000</v>
      </c>
      <c r="B49">
        <v>1000</v>
      </c>
      <c r="C49" s="1">
        <v>45961</v>
      </c>
      <c r="D49">
        <v>91464</v>
      </c>
      <c r="E49">
        <v>172</v>
      </c>
      <c r="F49" s="2">
        <v>4819.4799999999996</v>
      </c>
      <c r="G49" s="1">
        <v>45965</v>
      </c>
      <c r="I49" t="s">
        <v>9</v>
      </c>
      <c r="J49" s="14">
        <f>IFERROR(VLOOKUP(D49,'INf. RRHH'!$A:$B,2,0),0)</f>
        <v>2900</v>
      </c>
      <c r="K49" s="16">
        <f t="shared" si="0"/>
        <v>1919.4799999999996</v>
      </c>
      <c r="L49" s="17">
        <f t="shared" si="1"/>
        <v>966.67</v>
      </c>
      <c r="M49" s="18">
        <f t="shared" si="2"/>
        <v>2886.1499999999996</v>
      </c>
    </row>
    <row r="50" spans="1:13" x14ac:dyDescent="0.25">
      <c r="A50">
        <v>1000</v>
      </c>
      <c r="B50">
        <v>1000</v>
      </c>
      <c r="C50" s="1">
        <v>45961</v>
      </c>
      <c r="D50">
        <v>91779</v>
      </c>
      <c r="E50">
        <v>353</v>
      </c>
      <c r="F50" s="2">
        <v>6519.55</v>
      </c>
      <c r="G50" s="1">
        <v>45965</v>
      </c>
      <c r="I50" t="s">
        <v>9</v>
      </c>
      <c r="J50" s="14">
        <f>IFERROR(VLOOKUP(D50,'INf. RRHH'!$A:$B,2,0),0)</f>
        <v>2900</v>
      </c>
      <c r="K50" s="16">
        <f t="shared" si="0"/>
        <v>3619.55</v>
      </c>
      <c r="L50" s="17">
        <f t="shared" si="1"/>
        <v>966.67</v>
      </c>
      <c r="M50" s="18">
        <f t="shared" si="2"/>
        <v>4586.22</v>
      </c>
    </row>
    <row r="51" spans="1:13" x14ac:dyDescent="0.25">
      <c r="A51">
        <v>1000</v>
      </c>
      <c r="B51">
        <v>1000</v>
      </c>
      <c r="C51" s="1">
        <v>45961</v>
      </c>
      <c r="D51">
        <v>91868</v>
      </c>
      <c r="E51">
        <v>219.5</v>
      </c>
      <c r="F51" s="2">
        <v>5321.24</v>
      </c>
      <c r="G51" s="1">
        <v>45965</v>
      </c>
      <c r="I51" t="s">
        <v>9</v>
      </c>
      <c r="J51" s="14">
        <f>IFERROR(VLOOKUP(D51,'INf. RRHH'!$A:$B,2,0),0)</f>
        <v>2900</v>
      </c>
      <c r="K51" s="16">
        <f t="shared" si="0"/>
        <v>2421.2399999999998</v>
      </c>
      <c r="L51" s="17">
        <f t="shared" si="1"/>
        <v>966.67</v>
      </c>
      <c r="M51" s="18">
        <f t="shared" si="2"/>
        <v>3387.91</v>
      </c>
    </row>
    <row r="52" spans="1:13" x14ac:dyDescent="0.25">
      <c r="A52">
        <v>1000</v>
      </c>
      <c r="B52">
        <v>1000</v>
      </c>
      <c r="C52" s="1">
        <v>45961</v>
      </c>
      <c r="D52">
        <v>91958</v>
      </c>
      <c r="E52">
        <v>81</v>
      </c>
      <c r="F52" s="2">
        <v>5610.72</v>
      </c>
      <c r="G52" s="1">
        <v>45965</v>
      </c>
      <c r="I52" t="s">
        <v>9</v>
      </c>
      <c r="J52" s="14">
        <f>IFERROR(VLOOKUP(D52,'INf. RRHH'!$A:$B,2,0),0)</f>
        <v>2900</v>
      </c>
      <c r="K52" s="16">
        <f t="shared" si="0"/>
        <v>2710.7200000000003</v>
      </c>
      <c r="L52" s="17">
        <f t="shared" si="1"/>
        <v>966.67</v>
      </c>
      <c r="M52" s="18">
        <f t="shared" si="2"/>
        <v>3677.3900000000003</v>
      </c>
    </row>
    <row r="53" spans="1:13" x14ac:dyDescent="0.25">
      <c r="A53">
        <v>1000</v>
      </c>
      <c r="B53">
        <v>1000</v>
      </c>
      <c r="C53" s="1">
        <v>45961</v>
      </c>
      <c r="D53">
        <v>91975</v>
      </c>
      <c r="E53">
        <v>402</v>
      </c>
      <c r="F53" s="2">
        <v>7079.89</v>
      </c>
      <c r="G53" s="1">
        <v>45965</v>
      </c>
      <c r="I53" t="s">
        <v>9</v>
      </c>
      <c r="J53" s="14">
        <f>IFERROR(VLOOKUP(D53,'INf. RRHH'!$A:$B,2,0),0)</f>
        <v>2900</v>
      </c>
      <c r="K53" s="16">
        <f t="shared" si="0"/>
        <v>4179.8900000000003</v>
      </c>
      <c r="L53" s="17">
        <f t="shared" si="1"/>
        <v>966.67</v>
      </c>
      <c r="M53" s="18">
        <f t="shared" si="2"/>
        <v>5146.5600000000004</v>
      </c>
    </row>
    <row r="54" spans="1:13" x14ac:dyDescent="0.25">
      <c r="A54">
        <v>1000</v>
      </c>
      <c r="B54">
        <v>1000</v>
      </c>
      <c r="C54" s="1">
        <v>45961</v>
      </c>
      <c r="D54">
        <v>92095</v>
      </c>
      <c r="E54">
        <v>245.7</v>
      </c>
      <c r="F54" s="2">
        <v>6180.8</v>
      </c>
      <c r="G54" s="1">
        <v>45965</v>
      </c>
      <c r="I54" t="s">
        <v>9</v>
      </c>
      <c r="J54" s="14">
        <f>IFERROR(VLOOKUP(D54,'INf. RRHH'!$A:$B,2,0),0)</f>
        <v>2900</v>
      </c>
      <c r="K54" s="16">
        <f t="shared" si="0"/>
        <v>3280.8</v>
      </c>
      <c r="L54" s="17">
        <f t="shared" si="1"/>
        <v>966.67</v>
      </c>
      <c r="M54" s="18">
        <f t="shared" si="2"/>
        <v>4247.47</v>
      </c>
    </row>
    <row r="55" spans="1:13" x14ac:dyDescent="0.25">
      <c r="A55">
        <v>1000</v>
      </c>
      <c r="B55">
        <v>1000</v>
      </c>
      <c r="C55" s="1">
        <v>45961</v>
      </c>
      <c r="D55">
        <v>92141</v>
      </c>
      <c r="E55">
        <v>226</v>
      </c>
      <c r="F55" s="2">
        <v>5039.12</v>
      </c>
      <c r="G55" s="1">
        <v>45965</v>
      </c>
      <c r="I55" t="s">
        <v>9</v>
      </c>
      <c r="J55" s="14">
        <f>IFERROR(VLOOKUP(D55,'INf. RRHH'!$A:$B,2,0),0)</f>
        <v>2900</v>
      </c>
      <c r="K55" s="16">
        <f t="shared" si="0"/>
        <v>2139.12</v>
      </c>
      <c r="L55" s="17">
        <f t="shared" si="1"/>
        <v>966.67</v>
      </c>
      <c r="M55" s="18">
        <f t="shared" si="2"/>
        <v>3105.79</v>
      </c>
    </row>
    <row r="56" spans="1:13" x14ac:dyDescent="0.25">
      <c r="A56">
        <v>1000</v>
      </c>
      <c r="B56">
        <v>1000</v>
      </c>
      <c r="C56" s="1">
        <v>45961</v>
      </c>
      <c r="D56">
        <v>92229</v>
      </c>
      <c r="E56">
        <v>40</v>
      </c>
      <c r="F56" s="2">
        <v>3454.92</v>
      </c>
      <c r="G56" s="1">
        <v>45965</v>
      </c>
      <c r="I56" t="s">
        <v>9</v>
      </c>
      <c r="J56" s="14">
        <f>IFERROR(VLOOKUP(D56,'INf. RRHH'!$A:$B,2,0),0)</f>
        <v>2900</v>
      </c>
      <c r="K56" s="16">
        <f t="shared" si="0"/>
        <v>554.92000000000007</v>
      </c>
      <c r="L56" s="17">
        <f t="shared" si="1"/>
        <v>966.67</v>
      </c>
      <c r="M56" s="18">
        <f t="shared" si="2"/>
        <v>1521.5900000000001</v>
      </c>
    </row>
    <row r="57" spans="1:13" x14ac:dyDescent="0.25">
      <c r="A57">
        <v>1000</v>
      </c>
      <c r="B57">
        <v>1000</v>
      </c>
      <c r="C57" s="1">
        <v>45961</v>
      </c>
      <c r="D57">
        <v>92472</v>
      </c>
      <c r="E57">
        <v>413</v>
      </c>
      <c r="F57" s="2">
        <v>6907.26</v>
      </c>
      <c r="G57" s="1">
        <v>45965</v>
      </c>
      <c r="I57" t="s">
        <v>9</v>
      </c>
      <c r="J57" s="14">
        <f>IFERROR(VLOOKUP(D57,'INf. RRHH'!$A:$B,2,0),0)</f>
        <v>2900</v>
      </c>
      <c r="K57" s="16">
        <f t="shared" si="0"/>
        <v>4007.26</v>
      </c>
      <c r="L57" s="17">
        <f t="shared" si="1"/>
        <v>966.67</v>
      </c>
      <c r="M57" s="18">
        <f t="shared" si="2"/>
        <v>4973.93</v>
      </c>
    </row>
    <row r="58" spans="1:13" x14ac:dyDescent="0.25">
      <c r="A58">
        <v>1000</v>
      </c>
      <c r="B58">
        <v>1000</v>
      </c>
      <c r="C58" s="1">
        <v>45961</v>
      </c>
      <c r="D58">
        <v>92498</v>
      </c>
      <c r="E58">
        <v>170</v>
      </c>
      <c r="F58" s="2">
        <v>5255.89</v>
      </c>
      <c r="G58" s="1">
        <v>45965</v>
      </c>
      <c r="I58" t="s">
        <v>9</v>
      </c>
      <c r="J58" s="14">
        <f>IFERROR(VLOOKUP(D58,'INf. RRHH'!$A:$B,2,0),0)</f>
        <v>2900</v>
      </c>
      <c r="K58" s="16">
        <f t="shared" si="0"/>
        <v>2355.8900000000003</v>
      </c>
      <c r="L58" s="17">
        <f t="shared" si="1"/>
        <v>966.67</v>
      </c>
      <c r="M58" s="18">
        <f t="shared" si="2"/>
        <v>3322.5600000000004</v>
      </c>
    </row>
    <row r="59" spans="1:13" x14ac:dyDescent="0.25">
      <c r="A59">
        <v>1000</v>
      </c>
      <c r="B59">
        <v>1000</v>
      </c>
      <c r="C59" s="1">
        <v>45961</v>
      </c>
      <c r="D59">
        <v>92580</v>
      </c>
      <c r="E59">
        <v>402</v>
      </c>
      <c r="F59" s="2">
        <v>6968.76</v>
      </c>
      <c r="G59" s="1">
        <v>45965</v>
      </c>
      <c r="I59" t="s">
        <v>9</v>
      </c>
      <c r="J59" s="14">
        <f>IFERROR(VLOOKUP(D59,'INf. RRHH'!$A:$B,2,0),0)</f>
        <v>2900</v>
      </c>
      <c r="K59" s="16">
        <f t="shared" si="0"/>
        <v>4068.76</v>
      </c>
      <c r="L59" s="17">
        <f t="shared" si="1"/>
        <v>966.67</v>
      </c>
      <c r="M59" s="18">
        <f t="shared" si="2"/>
        <v>5035.43</v>
      </c>
    </row>
    <row r="60" spans="1:13" x14ac:dyDescent="0.25">
      <c r="A60">
        <v>1000</v>
      </c>
      <c r="B60">
        <v>1000</v>
      </c>
      <c r="C60" s="1">
        <v>45961</v>
      </c>
      <c r="D60">
        <v>92678</v>
      </c>
      <c r="E60">
        <v>8</v>
      </c>
      <c r="F60" s="2">
        <v>5496.07</v>
      </c>
      <c r="G60" s="1">
        <v>45965</v>
      </c>
      <c r="I60" t="s">
        <v>9</v>
      </c>
      <c r="J60" s="14">
        <f>IFERROR(VLOOKUP(D60,'INf. RRHH'!$A:$B,2,0),0)</f>
        <v>2900</v>
      </c>
      <c r="K60" s="16">
        <f t="shared" si="0"/>
        <v>2596.0699999999997</v>
      </c>
      <c r="L60" s="17">
        <f t="shared" si="1"/>
        <v>966.67</v>
      </c>
      <c r="M60" s="18">
        <f t="shared" si="2"/>
        <v>3562.74</v>
      </c>
    </row>
    <row r="61" spans="1:13" x14ac:dyDescent="0.25">
      <c r="A61">
        <v>1000</v>
      </c>
      <c r="B61">
        <v>1000</v>
      </c>
      <c r="C61" s="1">
        <v>45961</v>
      </c>
      <c r="D61">
        <v>92679</v>
      </c>
      <c r="E61">
        <v>393</v>
      </c>
      <c r="F61" s="2">
        <v>7086.54</v>
      </c>
      <c r="G61" s="1">
        <v>45965</v>
      </c>
      <c r="I61" t="s">
        <v>9</v>
      </c>
      <c r="J61" s="14">
        <f>IFERROR(VLOOKUP(D61,'INf. RRHH'!$A:$B,2,0),0)</f>
        <v>2900</v>
      </c>
      <c r="K61" s="16">
        <f t="shared" si="0"/>
        <v>4186.54</v>
      </c>
      <c r="L61" s="17">
        <f t="shared" si="1"/>
        <v>966.67</v>
      </c>
      <c r="M61" s="18">
        <f t="shared" si="2"/>
        <v>5153.21</v>
      </c>
    </row>
    <row r="62" spans="1:13" x14ac:dyDescent="0.25">
      <c r="A62">
        <v>1000</v>
      </c>
      <c r="B62">
        <v>1000</v>
      </c>
      <c r="C62" s="1">
        <v>45961</v>
      </c>
      <c r="D62">
        <v>92831</v>
      </c>
      <c r="E62">
        <v>227.5</v>
      </c>
      <c r="F62" s="2">
        <v>5566.29</v>
      </c>
      <c r="G62" s="1">
        <v>45965</v>
      </c>
      <c r="I62" t="s">
        <v>9</v>
      </c>
      <c r="J62" s="14">
        <f>IFERROR(VLOOKUP(D62,'INf. RRHH'!$A:$B,2,0),0)</f>
        <v>2900</v>
      </c>
      <c r="K62" s="16">
        <f t="shared" si="0"/>
        <v>2666.29</v>
      </c>
      <c r="L62" s="17">
        <f t="shared" si="1"/>
        <v>966.67</v>
      </c>
      <c r="M62" s="18">
        <f t="shared" si="2"/>
        <v>3632.96</v>
      </c>
    </row>
    <row r="63" spans="1:13" x14ac:dyDescent="0.25">
      <c r="A63">
        <v>1000</v>
      </c>
      <c r="B63">
        <v>1000</v>
      </c>
      <c r="C63" s="1">
        <v>45961</v>
      </c>
      <c r="D63">
        <v>92877</v>
      </c>
      <c r="E63">
        <v>256.5</v>
      </c>
      <c r="F63" s="2">
        <v>5550.08</v>
      </c>
      <c r="G63" s="1">
        <v>45965</v>
      </c>
      <c r="I63" t="s">
        <v>9</v>
      </c>
      <c r="J63" s="14">
        <f>IFERROR(VLOOKUP(D63,'INf. RRHH'!$A:$B,2,0),0)</f>
        <v>2900</v>
      </c>
      <c r="K63" s="16">
        <f t="shared" si="0"/>
        <v>2650.08</v>
      </c>
      <c r="L63" s="17">
        <f t="shared" si="1"/>
        <v>966.67</v>
      </c>
      <c r="M63" s="18">
        <f t="shared" si="2"/>
        <v>3616.75</v>
      </c>
    </row>
    <row r="64" spans="1:13" x14ac:dyDescent="0.25">
      <c r="A64">
        <v>1000</v>
      </c>
      <c r="B64">
        <v>1000</v>
      </c>
      <c r="C64" s="1">
        <v>45961</v>
      </c>
      <c r="D64">
        <v>92878</v>
      </c>
      <c r="E64">
        <v>274.5</v>
      </c>
      <c r="F64" s="2">
        <v>6047.71</v>
      </c>
      <c r="G64" s="1">
        <v>45965</v>
      </c>
      <c r="I64" t="s">
        <v>9</v>
      </c>
      <c r="J64" s="14">
        <f>IFERROR(VLOOKUP(D64,'INf. RRHH'!$A:$B,2,0),0)</f>
        <v>2900</v>
      </c>
      <c r="K64" s="16">
        <f t="shared" si="0"/>
        <v>3147.71</v>
      </c>
      <c r="L64" s="17">
        <f t="shared" si="1"/>
        <v>966.67</v>
      </c>
      <c r="M64" s="18">
        <f t="shared" si="2"/>
        <v>4114.38</v>
      </c>
    </row>
    <row r="65" spans="1:13" x14ac:dyDescent="0.25">
      <c r="A65">
        <v>1000</v>
      </c>
      <c r="B65">
        <v>1000</v>
      </c>
      <c r="C65" s="1">
        <v>45961</v>
      </c>
      <c r="D65">
        <v>92999</v>
      </c>
      <c r="E65">
        <v>232</v>
      </c>
      <c r="F65" s="2">
        <v>5297.69</v>
      </c>
      <c r="G65" s="1">
        <v>45965</v>
      </c>
      <c r="I65" t="s">
        <v>9</v>
      </c>
      <c r="J65" s="14">
        <f>IFERROR(VLOOKUP(D65,'INf. RRHH'!$A:$B,2,0),0)</f>
        <v>2900</v>
      </c>
      <c r="K65" s="16">
        <f t="shared" si="0"/>
        <v>2397.6899999999996</v>
      </c>
      <c r="L65" s="17">
        <f t="shared" si="1"/>
        <v>966.67</v>
      </c>
      <c r="M65" s="18">
        <f t="shared" si="2"/>
        <v>3364.3599999999997</v>
      </c>
    </row>
    <row r="66" spans="1:13" x14ac:dyDescent="0.25">
      <c r="A66">
        <v>1000</v>
      </c>
      <c r="B66">
        <v>1000</v>
      </c>
      <c r="C66" s="1">
        <v>45961</v>
      </c>
      <c r="D66">
        <v>93274</v>
      </c>
      <c r="E66">
        <v>377</v>
      </c>
      <c r="F66" s="2">
        <v>6548.83</v>
      </c>
      <c r="G66" s="1">
        <v>45965</v>
      </c>
      <c r="I66" t="s">
        <v>9</v>
      </c>
      <c r="J66" s="14">
        <f>IFERROR(VLOOKUP(D66,'INf. RRHH'!$A:$B,2,0),0)</f>
        <v>2900</v>
      </c>
      <c r="K66" s="16">
        <f t="shared" si="0"/>
        <v>3648.83</v>
      </c>
      <c r="L66" s="17">
        <f t="shared" si="1"/>
        <v>966.67</v>
      </c>
      <c r="M66" s="18">
        <f t="shared" si="2"/>
        <v>4615.5</v>
      </c>
    </row>
    <row r="67" spans="1:13" x14ac:dyDescent="0.25">
      <c r="A67">
        <v>1000</v>
      </c>
      <c r="B67">
        <v>1000</v>
      </c>
      <c r="C67" s="1">
        <v>45961</v>
      </c>
      <c r="D67">
        <v>93299</v>
      </c>
      <c r="E67">
        <v>178</v>
      </c>
      <c r="F67" s="2">
        <v>5425.84</v>
      </c>
      <c r="G67" s="1">
        <v>45965</v>
      </c>
      <c r="I67" t="s">
        <v>9</v>
      </c>
      <c r="J67" s="14">
        <f>IFERROR(VLOOKUP(D67,'INf. RRHH'!$A:$B,2,0),0)</f>
        <v>2900</v>
      </c>
      <c r="K67" s="16">
        <f t="shared" ref="K67:K130" si="3">+F67-J67</f>
        <v>2525.84</v>
      </c>
      <c r="L67" s="17">
        <f t="shared" ref="L67:L130" si="4">ROUND(J67/3,2)</f>
        <v>966.67</v>
      </c>
      <c r="M67" s="18">
        <f t="shared" ref="M67:M130" si="5">+K67+L67</f>
        <v>3492.51</v>
      </c>
    </row>
    <row r="68" spans="1:13" x14ac:dyDescent="0.25">
      <c r="A68">
        <v>1000</v>
      </c>
      <c r="B68">
        <v>1000</v>
      </c>
      <c r="C68" s="1">
        <v>45961</v>
      </c>
      <c r="D68">
        <v>93713</v>
      </c>
      <c r="E68">
        <v>272</v>
      </c>
      <c r="F68" s="2">
        <v>6262.28</v>
      </c>
      <c r="G68" s="1">
        <v>45965</v>
      </c>
      <c r="I68" t="s">
        <v>9</v>
      </c>
      <c r="J68" s="14">
        <f>IFERROR(VLOOKUP(D68,'INf. RRHH'!$A:$B,2,0),0)</f>
        <v>2900</v>
      </c>
      <c r="K68" s="16">
        <f t="shared" si="3"/>
        <v>3362.2799999999997</v>
      </c>
      <c r="L68" s="17">
        <f t="shared" si="4"/>
        <v>966.67</v>
      </c>
      <c r="M68" s="18">
        <f t="shared" si="5"/>
        <v>4328.95</v>
      </c>
    </row>
    <row r="69" spans="1:13" x14ac:dyDescent="0.25">
      <c r="A69">
        <v>1000</v>
      </c>
      <c r="B69">
        <v>1000</v>
      </c>
      <c r="C69" s="1">
        <v>45961</v>
      </c>
      <c r="D69">
        <v>93818</v>
      </c>
      <c r="E69">
        <v>240</v>
      </c>
      <c r="F69" s="2">
        <v>5377.61</v>
      </c>
      <c r="G69" s="1">
        <v>45965</v>
      </c>
      <c r="I69" t="s">
        <v>9</v>
      </c>
      <c r="J69" s="14">
        <f>IFERROR(VLOOKUP(D69,'INf. RRHH'!$A:$B,2,0),0)</f>
        <v>2900</v>
      </c>
      <c r="K69" s="16">
        <f t="shared" si="3"/>
        <v>2477.6099999999997</v>
      </c>
      <c r="L69" s="17">
        <f t="shared" si="4"/>
        <v>966.67</v>
      </c>
      <c r="M69" s="18">
        <f t="shared" si="5"/>
        <v>3444.2799999999997</v>
      </c>
    </row>
    <row r="70" spans="1:13" x14ac:dyDescent="0.25">
      <c r="A70">
        <v>1000</v>
      </c>
      <c r="B70">
        <v>1000</v>
      </c>
      <c r="C70" s="1">
        <v>45961</v>
      </c>
      <c r="D70">
        <v>93849</v>
      </c>
      <c r="E70">
        <v>122</v>
      </c>
      <c r="F70" s="2">
        <v>5332.6</v>
      </c>
      <c r="G70" s="1">
        <v>45965</v>
      </c>
      <c r="I70" t="s">
        <v>9</v>
      </c>
      <c r="J70" s="14">
        <f>IFERROR(VLOOKUP(D70,'INf. RRHH'!$A:$B,2,0),0)</f>
        <v>2900</v>
      </c>
      <c r="K70" s="16">
        <f t="shared" si="3"/>
        <v>2432.6000000000004</v>
      </c>
      <c r="L70" s="17">
        <f t="shared" si="4"/>
        <v>966.67</v>
      </c>
      <c r="M70" s="18">
        <f t="shared" si="5"/>
        <v>3399.2700000000004</v>
      </c>
    </row>
    <row r="71" spans="1:13" x14ac:dyDescent="0.25">
      <c r="A71">
        <v>1000</v>
      </c>
      <c r="B71">
        <v>1000</v>
      </c>
      <c r="C71" s="1">
        <v>45961</v>
      </c>
      <c r="D71">
        <v>93884</v>
      </c>
      <c r="E71">
        <v>154</v>
      </c>
      <c r="F71" s="2">
        <v>5367.84</v>
      </c>
      <c r="G71" s="1">
        <v>45965</v>
      </c>
      <c r="I71" t="s">
        <v>9</v>
      </c>
      <c r="J71" s="14">
        <f>IFERROR(VLOOKUP(D71,'INf. RRHH'!$A:$B,2,0),0)</f>
        <v>2900</v>
      </c>
      <c r="K71" s="16">
        <f t="shared" si="3"/>
        <v>2467.84</v>
      </c>
      <c r="L71" s="17">
        <f t="shared" si="4"/>
        <v>966.67</v>
      </c>
      <c r="M71" s="18">
        <f t="shared" si="5"/>
        <v>3434.51</v>
      </c>
    </row>
    <row r="72" spans="1:13" x14ac:dyDescent="0.25">
      <c r="A72">
        <v>1000</v>
      </c>
      <c r="B72">
        <v>1000</v>
      </c>
      <c r="C72" s="1">
        <v>45961</v>
      </c>
      <c r="D72">
        <v>93886</v>
      </c>
      <c r="E72">
        <v>304.5</v>
      </c>
      <c r="F72" s="2">
        <v>6351.93</v>
      </c>
      <c r="G72" s="1">
        <v>45965</v>
      </c>
      <c r="I72" t="s">
        <v>9</v>
      </c>
      <c r="J72" s="14">
        <f>IFERROR(VLOOKUP(D72,'INf. RRHH'!$A:$B,2,0),0)</f>
        <v>2900</v>
      </c>
      <c r="K72" s="16">
        <f t="shared" si="3"/>
        <v>3451.9300000000003</v>
      </c>
      <c r="L72" s="17">
        <f t="shared" si="4"/>
        <v>966.67</v>
      </c>
      <c r="M72" s="18">
        <f t="shared" si="5"/>
        <v>4418.6000000000004</v>
      </c>
    </row>
    <row r="73" spans="1:13" x14ac:dyDescent="0.25">
      <c r="A73">
        <v>1000</v>
      </c>
      <c r="B73">
        <v>1000</v>
      </c>
      <c r="C73" s="1">
        <v>45961</v>
      </c>
      <c r="D73">
        <v>94065</v>
      </c>
      <c r="E73">
        <v>232</v>
      </c>
      <c r="F73" s="2">
        <v>5134.4799999999996</v>
      </c>
      <c r="G73" s="1">
        <v>45965</v>
      </c>
      <c r="I73" t="s">
        <v>9</v>
      </c>
      <c r="J73" s="14">
        <f>IFERROR(VLOOKUP(D73,'INf. RRHH'!$A:$B,2,0),0)</f>
        <v>2900</v>
      </c>
      <c r="K73" s="16">
        <f t="shared" si="3"/>
        <v>2234.4799999999996</v>
      </c>
      <c r="L73" s="17">
        <f t="shared" si="4"/>
        <v>966.67</v>
      </c>
      <c r="M73" s="18">
        <f t="shared" si="5"/>
        <v>3201.1499999999996</v>
      </c>
    </row>
    <row r="74" spans="1:13" x14ac:dyDescent="0.25">
      <c r="A74">
        <v>1000</v>
      </c>
      <c r="B74">
        <v>1000</v>
      </c>
      <c r="C74" s="1">
        <v>45961</v>
      </c>
      <c r="D74">
        <v>94103</v>
      </c>
      <c r="E74">
        <v>216</v>
      </c>
      <c r="F74" s="2">
        <v>5283.81</v>
      </c>
      <c r="G74" s="1">
        <v>45965</v>
      </c>
      <c r="I74" t="s">
        <v>9</v>
      </c>
      <c r="J74" s="14">
        <f>IFERROR(VLOOKUP(D74,'INf. RRHH'!$A:$B,2,0),0)</f>
        <v>2900</v>
      </c>
      <c r="K74" s="16">
        <f t="shared" si="3"/>
        <v>2383.8100000000004</v>
      </c>
      <c r="L74" s="17">
        <f t="shared" si="4"/>
        <v>966.67</v>
      </c>
      <c r="M74" s="18">
        <f t="shared" si="5"/>
        <v>3350.4800000000005</v>
      </c>
    </row>
    <row r="75" spans="1:13" x14ac:dyDescent="0.25">
      <c r="A75">
        <v>1000</v>
      </c>
      <c r="B75">
        <v>1000</v>
      </c>
      <c r="C75" s="1">
        <v>45961</v>
      </c>
      <c r="D75">
        <v>94327</v>
      </c>
      <c r="E75">
        <v>368.5</v>
      </c>
      <c r="F75" s="2">
        <v>6723.23</v>
      </c>
      <c r="G75" s="1">
        <v>45965</v>
      </c>
      <c r="I75" t="s">
        <v>9</v>
      </c>
      <c r="J75" s="14">
        <f>IFERROR(VLOOKUP(D75,'INf. RRHH'!$A:$B,2,0),0)</f>
        <v>2900</v>
      </c>
      <c r="K75" s="16">
        <f t="shared" si="3"/>
        <v>3823.2299999999996</v>
      </c>
      <c r="L75" s="17">
        <f t="shared" si="4"/>
        <v>966.67</v>
      </c>
      <c r="M75" s="18">
        <f t="shared" si="5"/>
        <v>4789.8999999999996</v>
      </c>
    </row>
    <row r="76" spans="1:13" x14ac:dyDescent="0.25">
      <c r="A76">
        <v>1000</v>
      </c>
      <c r="B76">
        <v>1000</v>
      </c>
      <c r="C76" s="1">
        <v>45961</v>
      </c>
      <c r="D76">
        <v>94523</v>
      </c>
      <c r="E76">
        <v>240</v>
      </c>
      <c r="F76" s="2">
        <v>5352.69</v>
      </c>
      <c r="G76" s="1">
        <v>45965</v>
      </c>
      <c r="I76" t="s">
        <v>9</v>
      </c>
      <c r="J76" s="14">
        <f>IFERROR(VLOOKUP(D76,'INf. RRHH'!$A:$B,2,0),0)</f>
        <v>2900</v>
      </c>
      <c r="K76" s="16">
        <f t="shared" si="3"/>
        <v>2452.6899999999996</v>
      </c>
      <c r="L76" s="17">
        <f t="shared" si="4"/>
        <v>966.67</v>
      </c>
      <c r="M76" s="18">
        <f t="shared" si="5"/>
        <v>3419.3599999999997</v>
      </c>
    </row>
    <row r="77" spans="1:13" x14ac:dyDescent="0.25">
      <c r="A77">
        <v>1000</v>
      </c>
      <c r="B77">
        <v>1000</v>
      </c>
      <c r="C77" s="1">
        <v>45961</v>
      </c>
      <c r="D77">
        <v>94727</v>
      </c>
      <c r="E77">
        <v>224</v>
      </c>
      <c r="F77" s="2">
        <v>5155.99</v>
      </c>
      <c r="G77" s="1">
        <v>45965</v>
      </c>
      <c r="I77" t="s">
        <v>9</v>
      </c>
      <c r="J77" s="14">
        <f>IFERROR(VLOOKUP(D77,'INf. RRHH'!$A:$B,2,0),0)</f>
        <v>2900</v>
      </c>
      <c r="K77" s="16">
        <f t="shared" si="3"/>
        <v>2255.9899999999998</v>
      </c>
      <c r="L77" s="17">
        <f t="shared" si="4"/>
        <v>966.67</v>
      </c>
      <c r="M77" s="18">
        <f t="shared" si="5"/>
        <v>3222.66</v>
      </c>
    </row>
    <row r="78" spans="1:13" x14ac:dyDescent="0.25">
      <c r="A78">
        <v>1000</v>
      </c>
      <c r="B78">
        <v>1000</v>
      </c>
      <c r="C78" s="1">
        <v>45961</v>
      </c>
      <c r="D78">
        <v>94728</v>
      </c>
      <c r="E78">
        <v>240</v>
      </c>
      <c r="F78" s="2">
        <v>5375.97</v>
      </c>
      <c r="G78" s="1">
        <v>45965</v>
      </c>
      <c r="I78" t="s">
        <v>9</v>
      </c>
      <c r="J78" s="14">
        <f>IFERROR(VLOOKUP(D78,'INf. RRHH'!$A:$B,2,0),0)</f>
        <v>2900</v>
      </c>
      <c r="K78" s="16">
        <f t="shared" si="3"/>
        <v>2475.9700000000003</v>
      </c>
      <c r="L78" s="17">
        <f t="shared" si="4"/>
        <v>966.67</v>
      </c>
      <c r="M78" s="18">
        <f t="shared" si="5"/>
        <v>3442.6400000000003</v>
      </c>
    </row>
    <row r="79" spans="1:13" x14ac:dyDescent="0.25">
      <c r="A79">
        <v>1000</v>
      </c>
      <c r="B79">
        <v>1000</v>
      </c>
      <c r="C79" s="1">
        <v>45961</v>
      </c>
      <c r="D79">
        <v>94883</v>
      </c>
      <c r="E79">
        <v>24</v>
      </c>
      <c r="F79" s="2">
        <v>5618.98</v>
      </c>
      <c r="G79" s="1">
        <v>45965</v>
      </c>
      <c r="I79" t="s">
        <v>9</v>
      </c>
      <c r="J79" s="14">
        <f>IFERROR(VLOOKUP(D79,'INf. RRHH'!$A:$B,2,0),0)</f>
        <v>2900</v>
      </c>
      <c r="K79" s="16">
        <f t="shared" si="3"/>
        <v>2718.9799999999996</v>
      </c>
      <c r="L79" s="17">
        <f t="shared" si="4"/>
        <v>966.67</v>
      </c>
      <c r="M79" s="18">
        <f t="shared" si="5"/>
        <v>3685.6499999999996</v>
      </c>
    </row>
    <row r="80" spans="1:13" x14ac:dyDescent="0.25">
      <c r="A80">
        <v>1000</v>
      </c>
      <c r="B80">
        <v>1000</v>
      </c>
      <c r="C80" s="1">
        <v>45961</v>
      </c>
      <c r="D80">
        <v>94946</v>
      </c>
      <c r="E80">
        <v>248</v>
      </c>
      <c r="F80" s="2">
        <v>3836.43</v>
      </c>
      <c r="G80" s="1">
        <v>45965</v>
      </c>
      <c r="I80" t="s">
        <v>9</v>
      </c>
      <c r="J80" s="14">
        <f>IFERROR(VLOOKUP(D80,'INf. RRHH'!$A:$B,2,0),0)</f>
        <v>2900</v>
      </c>
      <c r="K80" s="16">
        <f t="shared" si="3"/>
        <v>936.42999999999984</v>
      </c>
      <c r="L80" s="17">
        <f t="shared" si="4"/>
        <v>966.67</v>
      </c>
      <c r="M80" s="18">
        <f t="shared" si="5"/>
        <v>1903.1</v>
      </c>
    </row>
    <row r="81" spans="1:13" x14ac:dyDescent="0.25">
      <c r="A81">
        <v>1000</v>
      </c>
      <c r="B81">
        <v>1000</v>
      </c>
      <c r="C81" s="1">
        <v>45961</v>
      </c>
      <c r="D81">
        <v>94955</v>
      </c>
      <c r="E81">
        <v>8</v>
      </c>
      <c r="F81" s="2">
        <v>5752.21</v>
      </c>
      <c r="G81" s="1">
        <v>45965</v>
      </c>
      <c r="I81" t="s">
        <v>9</v>
      </c>
      <c r="J81" s="14">
        <f>IFERROR(VLOOKUP(D81,'INf. RRHH'!$A:$B,2,0),0)</f>
        <v>2900</v>
      </c>
      <c r="K81" s="16">
        <f t="shared" si="3"/>
        <v>2852.21</v>
      </c>
      <c r="L81" s="17">
        <f t="shared" si="4"/>
        <v>966.67</v>
      </c>
      <c r="M81" s="18">
        <f t="shared" si="5"/>
        <v>3818.88</v>
      </c>
    </row>
    <row r="82" spans="1:13" x14ac:dyDescent="0.25">
      <c r="A82">
        <v>1000</v>
      </c>
      <c r="B82">
        <v>1000</v>
      </c>
      <c r="C82" s="1">
        <v>45961</v>
      </c>
      <c r="D82">
        <v>94970</v>
      </c>
      <c r="E82">
        <v>224</v>
      </c>
      <c r="F82" s="2">
        <v>5056.21</v>
      </c>
      <c r="G82" s="1">
        <v>45965</v>
      </c>
      <c r="I82" t="s">
        <v>9</v>
      </c>
      <c r="J82" s="14">
        <f>IFERROR(VLOOKUP(D82,'INf. RRHH'!$A:$B,2,0),0)</f>
        <v>2900</v>
      </c>
      <c r="K82" s="16">
        <f t="shared" si="3"/>
        <v>2156.21</v>
      </c>
      <c r="L82" s="17">
        <f t="shared" si="4"/>
        <v>966.67</v>
      </c>
      <c r="M82" s="18">
        <f t="shared" si="5"/>
        <v>3122.88</v>
      </c>
    </row>
    <row r="83" spans="1:13" x14ac:dyDescent="0.25">
      <c r="A83">
        <v>1000</v>
      </c>
      <c r="B83">
        <v>1000</v>
      </c>
      <c r="C83" s="1">
        <v>45961</v>
      </c>
      <c r="D83">
        <v>95002</v>
      </c>
      <c r="E83">
        <v>235</v>
      </c>
      <c r="F83" s="2">
        <v>5162.71</v>
      </c>
      <c r="G83" s="1">
        <v>45965</v>
      </c>
      <c r="I83" t="s">
        <v>9</v>
      </c>
      <c r="J83" s="14">
        <f>IFERROR(VLOOKUP(D83,'INf. RRHH'!$A:$B,2,0),0)</f>
        <v>2900</v>
      </c>
      <c r="K83" s="16">
        <f t="shared" si="3"/>
        <v>2262.71</v>
      </c>
      <c r="L83" s="17">
        <f t="shared" si="4"/>
        <v>966.67</v>
      </c>
      <c r="M83" s="18">
        <f t="shared" si="5"/>
        <v>3229.38</v>
      </c>
    </row>
    <row r="84" spans="1:13" x14ac:dyDescent="0.25">
      <c r="A84">
        <v>1000</v>
      </c>
      <c r="B84">
        <v>1000</v>
      </c>
      <c r="C84" s="1">
        <v>45961</v>
      </c>
      <c r="D84">
        <v>95030</v>
      </c>
      <c r="E84">
        <v>208</v>
      </c>
      <c r="F84" s="2">
        <v>4654.8900000000003</v>
      </c>
      <c r="G84" s="1">
        <v>45965</v>
      </c>
      <c r="I84" t="s">
        <v>9</v>
      </c>
      <c r="J84" s="14">
        <f>IFERROR(VLOOKUP(D84,'INf. RRHH'!$A:$B,2,0),0)</f>
        <v>2900</v>
      </c>
      <c r="K84" s="16">
        <f t="shared" si="3"/>
        <v>1754.8900000000003</v>
      </c>
      <c r="L84" s="17">
        <f t="shared" si="4"/>
        <v>966.67</v>
      </c>
      <c r="M84" s="18">
        <f t="shared" si="5"/>
        <v>2721.5600000000004</v>
      </c>
    </row>
    <row r="85" spans="1:13" x14ac:dyDescent="0.25">
      <c r="A85">
        <v>1000</v>
      </c>
      <c r="B85">
        <v>1000</v>
      </c>
      <c r="C85" s="1">
        <v>45961</v>
      </c>
      <c r="D85">
        <v>95058</v>
      </c>
      <c r="E85">
        <v>332</v>
      </c>
      <c r="F85" s="2">
        <v>6795.89</v>
      </c>
      <c r="G85" s="1">
        <v>45965</v>
      </c>
      <c r="I85" t="s">
        <v>9</v>
      </c>
      <c r="J85" s="14">
        <f>IFERROR(VLOOKUP(D85,'INf. RRHH'!$A:$B,2,0),0)</f>
        <v>2900</v>
      </c>
      <c r="K85" s="16">
        <f t="shared" si="3"/>
        <v>3895.8900000000003</v>
      </c>
      <c r="L85" s="17">
        <f t="shared" si="4"/>
        <v>966.67</v>
      </c>
      <c r="M85" s="18">
        <f t="shared" si="5"/>
        <v>4862.5600000000004</v>
      </c>
    </row>
    <row r="86" spans="1:13" x14ac:dyDescent="0.25">
      <c r="A86">
        <v>1000</v>
      </c>
      <c r="B86">
        <v>1000</v>
      </c>
      <c r="C86" s="1">
        <v>45961</v>
      </c>
      <c r="D86">
        <v>95060</v>
      </c>
      <c r="E86">
        <v>240</v>
      </c>
      <c r="F86" s="2">
        <v>4923.96</v>
      </c>
      <c r="G86" s="1">
        <v>45965</v>
      </c>
      <c r="I86" t="s">
        <v>9</v>
      </c>
      <c r="J86" s="14">
        <f>IFERROR(VLOOKUP(D86,'INf. RRHH'!$A:$B,2,0),0)</f>
        <v>2900</v>
      </c>
      <c r="K86" s="16">
        <f t="shared" si="3"/>
        <v>2023.96</v>
      </c>
      <c r="L86" s="17">
        <f t="shared" si="4"/>
        <v>966.67</v>
      </c>
      <c r="M86" s="18">
        <f t="shared" si="5"/>
        <v>2990.63</v>
      </c>
    </row>
    <row r="87" spans="1:13" x14ac:dyDescent="0.25">
      <c r="A87">
        <v>1000</v>
      </c>
      <c r="B87">
        <v>1000</v>
      </c>
      <c r="C87" s="1">
        <v>45961</v>
      </c>
      <c r="D87">
        <v>95203</v>
      </c>
      <c r="E87">
        <v>234.24</v>
      </c>
      <c r="F87" s="2">
        <v>5320.74</v>
      </c>
      <c r="G87" s="1">
        <v>45965</v>
      </c>
      <c r="I87" t="s">
        <v>9</v>
      </c>
      <c r="J87" s="14">
        <f>IFERROR(VLOOKUP(D87,'INf. RRHH'!$A:$B,2,0),0)</f>
        <v>2900</v>
      </c>
      <c r="K87" s="16">
        <f t="shared" si="3"/>
        <v>2420.7399999999998</v>
      </c>
      <c r="L87" s="17">
        <f t="shared" si="4"/>
        <v>966.67</v>
      </c>
      <c r="M87" s="18">
        <f t="shared" si="5"/>
        <v>3387.41</v>
      </c>
    </row>
    <row r="88" spans="1:13" x14ac:dyDescent="0.25">
      <c r="A88">
        <v>1000</v>
      </c>
      <c r="B88">
        <v>1000</v>
      </c>
      <c r="C88" s="1">
        <v>45961</v>
      </c>
      <c r="D88">
        <v>95332</v>
      </c>
      <c r="E88">
        <v>240</v>
      </c>
      <c r="F88" s="2">
        <v>5391.73</v>
      </c>
      <c r="G88" s="1">
        <v>45965</v>
      </c>
      <c r="I88" t="s">
        <v>9</v>
      </c>
      <c r="J88" s="14">
        <f>IFERROR(VLOOKUP(D88,'INf. RRHH'!$A:$B,2,0),0)</f>
        <v>2900</v>
      </c>
      <c r="K88" s="16">
        <f t="shared" si="3"/>
        <v>2491.7299999999996</v>
      </c>
      <c r="L88" s="17">
        <f t="shared" si="4"/>
        <v>966.67</v>
      </c>
      <c r="M88" s="18">
        <f t="shared" si="5"/>
        <v>3458.3999999999996</v>
      </c>
    </row>
    <row r="89" spans="1:13" x14ac:dyDescent="0.25">
      <c r="A89">
        <v>1000</v>
      </c>
      <c r="B89">
        <v>1000</v>
      </c>
      <c r="C89" s="1">
        <v>45961</v>
      </c>
      <c r="D89">
        <v>95364</v>
      </c>
      <c r="E89">
        <v>214</v>
      </c>
      <c r="F89" s="2">
        <v>4894.6099999999997</v>
      </c>
      <c r="G89" s="1">
        <v>45965</v>
      </c>
      <c r="I89" t="s">
        <v>9</v>
      </c>
      <c r="J89" s="14">
        <f>IFERROR(VLOOKUP(D89,'INf. RRHH'!$A:$B,2,0),0)</f>
        <v>2900</v>
      </c>
      <c r="K89" s="16">
        <f t="shared" si="3"/>
        <v>1994.6099999999997</v>
      </c>
      <c r="L89" s="17">
        <f t="shared" si="4"/>
        <v>966.67</v>
      </c>
      <c r="M89" s="18">
        <f t="shared" si="5"/>
        <v>2961.2799999999997</v>
      </c>
    </row>
    <row r="90" spans="1:13" x14ac:dyDescent="0.25">
      <c r="A90">
        <v>1000</v>
      </c>
      <c r="B90">
        <v>1000</v>
      </c>
      <c r="C90" s="1">
        <v>45961</v>
      </c>
      <c r="D90">
        <v>95368</v>
      </c>
      <c r="E90">
        <v>240</v>
      </c>
      <c r="F90" s="2">
        <v>5374.53</v>
      </c>
      <c r="G90" s="1">
        <v>45965</v>
      </c>
      <c r="I90" t="s">
        <v>9</v>
      </c>
      <c r="J90" s="14">
        <f>IFERROR(VLOOKUP(D90,'INf. RRHH'!$A:$B,2,0),0)</f>
        <v>2900</v>
      </c>
      <c r="K90" s="16">
        <f t="shared" si="3"/>
        <v>2474.5299999999997</v>
      </c>
      <c r="L90" s="17">
        <f t="shared" si="4"/>
        <v>966.67</v>
      </c>
      <c r="M90" s="18">
        <f t="shared" si="5"/>
        <v>3441.2</v>
      </c>
    </row>
    <row r="91" spans="1:13" x14ac:dyDescent="0.25">
      <c r="A91">
        <v>1000</v>
      </c>
      <c r="B91">
        <v>1000</v>
      </c>
      <c r="C91" s="1">
        <v>45961</v>
      </c>
      <c r="D91">
        <v>95468</v>
      </c>
      <c r="E91">
        <v>296</v>
      </c>
      <c r="F91" s="2">
        <v>2601.85</v>
      </c>
      <c r="G91" s="1">
        <v>45965</v>
      </c>
      <c r="I91" t="s">
        <v>9</v>
      </c>
      <c r="J91" s="14">
        <f>IFERROR(VLOOKUP(D91,'INf. RRHH'!$A:$B,2,0),0)</f>
        <v>0</v>
      </c>
      <c r="K91" s="16">
        <f t="shared" si="3"/>
        <v>2601.85</v>
      </c>
      <c r="L91" s="17">
        <f t="shared" si="4"/>
        <v>0</v>
      </c>
      <c r="M91" s="18">
        <f t="shared" si="5"/>
        <v>2601.85</v>
      </c>
    </row>
    <row r="92" spans="1:13" x14ac:dyDescent="0.25">
      <c r="A92">
        <v>1000</v>
      </c>
      <c r="B92">
        <v>1000</v>
      </c>
      <c r="C92" s="1">
        <v>45961</v>
      </c>
      <c r="D92">
        <v>3131</v>
      </c>
      <c r="E92">
        <v>307</v>
      </c>
      <c r="F92" s="2">
        <v>8221.9599999999991</v>
      </c>
      <c r="G92" s="1">
        <v>45965</v>
      </c>
      <c r="I92" t="s">
        <v>9</v>
      </c>
      <c r="J92" s="14">
        <f>IFERROR(VLOOKUP(D92,'INf. RRHH'!$A:$B,2,0),0)</f>
        <v>2900</v>
      </c>
      <c r="K92" s="16">
        <f t="shared" si="3"/>
        <v>5321.9599999999991</v>
      </c>
      <c r="L92" s="17">
        <f t="shared" si="4"/>
        <v>966.67</v>
      </c>
      <c r="M92" s="18">
        <f t="shared" si="5"/>
        <v>6288.6299999999992</v>
      </c>
    </row>
    <row r="93" spans="1:13" x14ac:dyDescent="0.25">
      <c r="A93">
        <v>1000</v>
      </c>
      <c r="B93">
        <v>1000</v>
      </c>
      <c r="C93" s="1">
        <v>45961</v>
      </c>
      <c r="D93">
        <v>7961</v>
      </c>
      <c r="E93">
        <v>240</v>
      </c>
      <c r="F93" s="2">
        <v>5910.45</v>
      </c>
      <c r="G93" s="1">
        <v>45965</v>
      </c>
      <c r="I93" t="s">
        <v>9</v>
      </c>
      <c r="J93" s="14">
        <f>IFERROR(VLOOKUP(D93,'INf. RRHH'!$A:$B,2,0),0)</f>
        <v>2900</v>
      </c>
      <c r="K93" s="16">
        <f t="shared" si="3"/>
        <v>3010.45</v>
      </c>
      <c r="L93" s="17">
        <f t="shared" si="4"/>
        <v>966.67</v>
      </c>
      <c r="M93" s="18">
        <f t="shared" si="5"/>
        <v>3977.12</v>
      </c>
    </row>
    <row r="94" spans="1:13" x14ac:dyDescent="0.25">
      <c r="A94">
        <v>1000</v>
      </c>
      <c r="B94">
        <v>1000</v>
      </c>
      <c r="C94" s="1">
        <v>45961</v>
      </c>
      <c r="D94">
        <v>91197</v>
      </c>
      <c r="E94">
        <v>240</v>
      </c>
      <c r="F94" s="2">
        <v>5376.23</v>
      </c>
      <c r="G94" s="1">
        <v>45965</v>
      </c>
      <c r="I94" t="s">
        <v>9</v>
      </c>
      <c r="J94" s="14">
        <f>IFERROR(VLOOKUP(D94,'INf. RRHH'!$A:$B,2,0),0)</f>
        <v>2900</v>
      </c>
      <c r="K94" s="16">
        <f t="shared" si="3"/>
        <v>2476.2299999999996</v>
      </c>
      <c r="L94" s="17">
        <f t="shared" si="4"/>
        <v>966.67</v>
      </c>
      <c r="M94" s="18">
        <f t="shared" si="5"/>
        <v>3442.8999999999996</v>
      </c>
    </row>
    <row r="95" spans="1:13" x14ac:dyDescent="0.25">
      <c r="A95">
        <v>1000</v>
      </c>
      <c r="B95">
        <v>1000</v>
      </c>
      <c r="C95" s="1">
        <v>45961</v>
      </c>
      <c r="D95">
        <v>91220</v>
      </c>
      <c r="E95">
        <v>240</v>
      </c>
      <c r="F95" s="2">
        <v>4041.77</v>
      </c>
      <c r="G95" s="1">
        <v>45965</v>
      </c>
      <c r="I95" t="s">
        <v>9</v>
      </c>
      <c r="J95" s="14">
        <f>IFERROR(VLOOKUP(D95,'INf. RRHH'!$A:$B,2,0),0)</f>
        <v>2900</v>
      </c>
      <c r="K95" s="16">
        <f t="shared" si="3"/>
        <v>1141.77</v>
      </c>
      <c r="L95" s="17">
        <f t="shared" si="4"/>
        <v>966.67</v>
      </c>
      <c r="M95" s="18">
        <f t="shared" si="5"/>
        <v>2108.44</v>
      </c>
    </row>
    <row r="96" spans="1:13" x14ac:dyDescent="0.25">
      <c r="A96">
        <v>1000</v>
      </c>
      <c r="B96">
        <v>1000</v>
      </c>
      <c r="C96" s="1">
        <v>45961</v>
      </c>
      <c r="D96">
        <v>91286</v>
      </c>
      <c r="E96">
        <v>384</v>
      </c>
      <c r="F96" s="2">
        <v>6900.04</v>
      </c>
      <c r="G96" s="1">
        <v>45965</v>
      </c>
      <c r="I96" t="s">
        <v>9</v>
      </c>
      <c r="J96" s="14">
        <f>IFERROR(VLOOKUP(D96,'INf. RRHH'!$A:$B,2,0),0)</f>
        <v>2900</v>
      </c>
      <c r="K96" s="16">
        <f t="shared" si="3"/>
        <v>4000.04</v>
      </c>
      <c r="L96" s="17">
        <f t="shared" si="4"/>
        <v>966.67</v>
      </c>
      <c r="M96" s="18">
        <f t="shared" si="5"/>
        <v>4966.71</v>
      </c>
    </row>
    <row r="97" spans="1:13" x14ac:dyDescent="0.25">
      <c r="A97">
        <v>1000</v>
      </c>
      <c r="B97">
        <v>1000</v>
      </c>
      <c r="C97" s="1">
        <v>45961</v>
      </c>
      <c r="D97">
        <v>91704</v>
      </c>
      <c r="E97">
        <v>291</v>
      </c>
      <c r="F97" s="2">
        <v>6137.85</v>
      </c>
      <c r="G97" s="1">
        <v>45965</v>
      </c>
      <c r="I97" t="s">
        <v>9</v>
      </c>
      <c r="J97" s="14">
        <f>IFERROR(VLOOKUP(D97,'INf. RRHH'!$A:$B,2,0),0)</f>
        <v>2900</v>
      </c>
      <c r="K97" s="16">
        <f t="shared" si="3"/>
        <v>3237.8500000000004</v>
      </c>
      <c r="L97" s="17">
        <f t="shared" si="4"/>
        <v>966.67</v>
      </c>
      <c r="M97" s="18">
        <f t="shared" si="5"/>
        <v>4204.5200000000004</v>
      </c>
    </row>
    <row r="98" spans="1:13" x14ac:dyDescent="0.25">
      <c r="A98">
        <v>1000</v>
      </c>
      <c r="B98">
        <v>1000</v>
      </c>
      <c r="C98" s="1">
        <v>45961</v>
      </c>
      <c r="D98">
        <v>91744</v>
      </c>
      <c r="E98">
        <v>216</v>
      </c>
      <c r="F98" s="2">
        <v>4851.1499999999996</v>
      </c>
      <c r="G98" s="1">
        <v>45965</v>
      </c>
      <c r="I98" t="s">
        <v>9</v>
      </c>
      <c r="J98" s="14">
        <f>IFERROR(VLOOKUP(D98,'INf. RRHH'!$A:$B,2,0),0)</f>
        <v>2900</v>
      </c>
      <c r="K98" s="16">
        <f t="shared" si="3"/>
        <v>1951.1499999999996</v>
      </c>
      <c r="L98" s="17">
        <f t="shared" si="4"/>
        <v>966.67</v>
      </c>
      <c r="M98" s="18">
        <f t="shared" si="5"/>
        <v>2917.8199999999997</v>
      </c>
    </row>
    <row r="99" spans="1:13" x14ac:dyDescent="0.25">
      <c r="A99">
        <v>1000</v>
      </c>
      <c r="B99">
        <v>1000</v>
      </c>
      <c r="C99" s="1">
        <v>45961</v>
      </c>
      <c r="D99">
        <v>91771</v>
      </c>
      <c r="E99">
        <v>232</v>
      </c>
      <c r="F99" s="2">
        <v>5298.29</v>
      </c>
      <c r="G99" s="1">
        <v>45965</v>
      </c>
      <c r="I99" t="s">
        <v>9</v>
      </c>
      <c r="J99" s="14">
        <f>IFERROR(VLOOKUP(D99,'INf. RRHH'!$A:$B,2,0),0)</f>
        <v>2900</v>
      </c>
      <c r="K99" s="16">
        <f t="shared" si="3"/>
        <v>2398.29</v>
      </c>
      <c r="L99" s="17">
        <f t="shared" si="4"/>
        <v>966.67</v>
      </c>
      <c r="M99" s="18">
        <f t="shared" si="5"/>
        <v>3364.96</v>
      </c>
    </row>
    <row r="100" spans="1:13" x14ac:dyDescent="0.25">
      <c r="A100">
        <v>1000</v>
      </c>
      <c r="B100">
        <v>1000</v>
      </c>
      <c r="C100" s="1">
        <v>45961</v>
      </c>
      <c r="D100">
        <v>91976</v>
      </c>
      <c r="E100">
        <v>402</v>
      </c>
      <c r="F100" s="2">
        <v>6759.54</v>
      </c>
      <c r="G100" s="1">
        <v>45965</v>
      </c>
      <c r="I100" t="s">
        <v>9</v>
      </c>
      <c r="J100" s="14">
        <f>IFERROR(VLOOKUP(D100,'INf. RRHH'!$A:$B,2,0),0)</f>
        <v>2900</v>
      </c>
      <c r="K100" s="16">
        <f t="shared" si="3"/>
        <v>3859.54</v>
      </c>
      <c r="L100" s="17">
        <f t="shared" si="4"/>
        <v>966.67</v>
      </c>
      <c r="M100" s="18">
        <f t="shared" si="5"/>
        <v>4826.21</v>
      </c>
    </row>
    <row r="101" spans="1:13" x14ac:dyDescent="0.25">
      <c r="A101">
        <v>1000</v>
      </c>
      <c r="B101">
        <v>1000</v>
      </c>
      <c r="C101" s="1">
        <v>45961</v>
      </c>
      <c r="D101">
        <v>92196</v>
      </c>
      <c r="E101">
        <v>244</v>
      </c>
      <c r="F101" s="2">
        <v>5554.62</v>
      </c>
      <c r="G101" s="1">
        <v>45965</v>
      </c>
      <c r="I101" t="s">
        <v>9</v>
      </c>
      <c r="J101" s="14">
        <f>IFERROR(VLOOKUP(D101,'INf. RRHH'!$A:$B,2,0),0)</f>
        <v>2900</v>
      </c>
      <c r="K101" s="16">
        <f t="shared" si="3"/>
        <v>2654.62</v>
      </c>
      <c r="L101" s="17">
        <f t="shared" si="4"/>
        <v>966.67</v>
      </c>
      <c r="M101" s="18">
        <f t="shared" si="5"/>
        <v>3621.29</v>
      </c>
    </row>
    <row r="102" spans="1:13" x14ac:dyDescent="0.25">
      <c r="A102">
        <v>1000</v>
      </c>
      <c r="B102">
        <v>1000</v>
      </c>
      <c r="C102" s="1">
        <v>45961</v>
      </c>
      <c r="D102">
        <v>92474</v>
      </c>
      <c r="E102">
        <v>240</v>
      </c>
      <c r="F102" s="2">
        <v>4153.5200000000004</v>
      </c>
      <c r="G102" s="1">
        <v>45965</v>
      </c>
      <c r="I102" t="s">
        <v>9</v>
      </c>
      <c r="J102" s="14">
        <f>IFERROR(VLOOKUP(D102,'INf. RRHH'!$A:$B,2,0),0)</f>
        <v>2900</v>
      </c>
      <c r="K102" s="16">
        <f t="shared" si="3"/>
        <v>1253.5200000000004</v>
      </c>
      <c r="L102" s="17">
        <f t="shared" si="4"/>
        <v>966.67</v>
      </c>
      <c r="M102" s="18">
        <f t="shared" si="5"/>
        <v>2220.1900000000005</v>
      </c>
    </row>
    <row r="103" spans="1:13" x14ac:dyDescent="0.25">
      <c r="A103">
        <v>1000</v>
      </c>
      <c r="B103">
        <v>1000</v>
      </c>
      <c r="C103" s="1">
        <v>45961</v>
      </c>
      <c r="D103">
        <v>92485</v>
      </c>
      <c r="E103">
        <v>275</v>
      </c>
      <c r="F103" s="2">
        <v>6976.72</v>
      </c>
      <c r="G103" s="1">
        <v>45965</v>
      </c>
      <c r="I103" t="s">
        <v>9</v>
      </c>
      <c r="J103" s="14">
        <f>IFERROR(VLOOKUP(D103,'INf. RRHH'!$A:$B,2,0),0)</f>
        <v>2900</v>
      </c>
      <c r="K103" s="16">
        <f t="shared" si="3"/>
        <v>4076.7200000000003</v>
      </c>
      <c r="L103" s="17">
        <f t="shared" si="4"/>
        <v>966.67</v>
      </c>
      <c r="M103" s="18">
        <f t="shared" si="5"/>
        <v>5043.3900000000003</v>
      </c>
    </row>
    <row r="104" spans="1:13" x14ac:dyDescent="0.25">
      <c r="A104">
        <v>1000</v>
      </c>
      <c r="B104">
        <v>1000</v>
      </c>
      <c r="C104" s="1">
        <v>45961</v>
      </c>
      <c r="D104">
        <v>92575</v>
      </c>
      <c r="E104">
        <v>245.5</v>
      </c>
      <c r="F104" s="2">
        <v>6454.97</v>
      </c>
      <c r="G104" s="1">
        <v>45965</v>
      </c>
      <c r="I104" t="s">
        <v>9</v>
      </c>
      <c r="J104" s="14">
        <f>IFERROR(VLOOKUP(D104,'INf. RRHH'!$A:$B,2,0),0)</f>
        <v>2900</v>
      </c>
      <c r="K104" s="16">
        <f t="shared" si="3"/>
        <v>3554.9700000000003</v>
      </c>
      <c r="L104" s="17">
        <f t="shared" si="4"/>
        <v>966.67</v>
      </c>
      <c r="M104" s="18">
        <f t="shared" si="5"/>
        <v>4521.6400000000003</v>
      </c>
    </row>
    <row r="105" spans="1:13" x14ac:dyDescent="0.25">
      <c r="A105">
        <v>1000</v>
      </c>
      <c r="B105">
        <v>1000</v>
      </c>
      <c r="C105" s="1">
        <v>45961</v>
      </c>
      <c r="D105">
        <v>92699</v>
      </c>
      <c r="E105">
        <v>184</v>
      </c>
      <c r="F105" s="2">
        <v>5451.34</v>
      </c>
      <c r="G105" s="1">
        <v>45965</v>
      </c>
      <c r="I105" t="s">
        <v>9</v>
      </c>
      <c r="J105" s="14">
        <f>IFERROR(VLOOKUP(D105,'INf. RRHH'!$A:$B,2,0),0)</f>
        <v>2900</v>
      </c>
      <c r="K105" s="16">
        <f t="shared" si="3"/>
        <v>2551.34</v>
      </c>
      <c r="L105" s="17">
        <f t="shared" si="4"/>
        <v>966.67</v>
      </c>
      <c r="M105" s="18">
        <f t="shared" si="5"/>
        <v>3518.01</v>
      </c>
    </row>
    <row r="106" spans="1:13" x14ac:dyDescent="0.25">
      <c r="A106">
        <v>1000</v>
      </c>
      <c r="B106">
        <v>1000</v>
      </c>
      <c r="C106" s="1">
        <v>45961</v>
      </c>
      <c r="D106">
        <v>92789</v>
      </c>
      <c r="E106">
        <v>240</v>
      </c>
      <c r="F106" s="2">
        <v>3797.02</v>
      </c>
      <c r="G106" s="1">
        <v>45965</v>
      </c>
      <c r="I106" t="s">
        <v>9</v>
      </c>
      <c r="J106" s="14">
        <f>IFERROR(VLOOKUP(D106,'INf. RRHH'!$A:$B,2,0),0)</f>
        <v>2900</v>
      </c>
      <c r="K106" s="16">
        <f t="shared" si="3"/>
        <v>897.02</v>
      </c>
      <c r="L106" s="17">
        <f t="shared" si="4"/>
        <v>966.67</v>
      </c>
      <c r="M106" s="18">
        <f t="shared" si="5"/>
        <v>1863.69</v>
      </c>
    </row>
    <row r="107" spans="1:13" x14ac:dyDescent="0.25">
      <c r="A107">
        <v>1000</v>
      </c>
      <c r="B107">
        <v>1000</v>
      </c>
      <c r="C107" s="1">
        <v>45961</v>
      </c>
      <c r="D107">
        <v>93248</v>
      </c>
      <c r="E107">
        <v>374</v>
      </c>
      <c r="F107" s="2">
        <v>6748.87</v>
      </c>
      <c r="G107" s="1">
        <v>45965</v>
      </c>
      <c r="I107" t="s">
        <v>9</v>
      </c>
      <c r="J107" s="14">
        <f>IFERROR(VLOOKUP(D107,'INf. RRHH'!$A:$B,2,0),0)</f>
        <v>2900</v>
      </c>
      <c r="K107" s="16">
        <f t="shared" si="3"/>
        <v>3848.87</v>
      </c>
      <c r="L107" s="17">
        <f t="shared" si="4"/>
        <v>966.67</v>
      </c>
      <c r="M107" s="18">
        <f t="shared" si="5"/>
        <v>4815.54</v>
      </c>
    </row>
    <row r="108" spans="1:13" x14ac:dyDescent="0.25">
      <c r="A108">
        <v>1000</v>
      </c>
      <c r="B108">
        <v>1000</v>
      </c>
      <c r="C108" s="1">
        <v>45961</v>
      </c>
      <c r="D108">
        <v>93650</v>
      </c>
      <c r="E108">
        <v>244</v>
      </c>
      <c r="F108" s="2">
        <v>4799.7700000000004</v>
      </c>
      <c r="G108" s="1">
        <v>45965</v>
      </c>
      <c r="I108" t="s">
        <v>9</v>
      </c>
      <c r="J108" s="14">
        <f>IFERROR(VLOOKUP(D108,'INf. RRHH'!$A:$B,2,0),0)</f>
        <v>2900</v>
      </c>
      <c r="K108" s="16">
        <f t="shared" si="3"/>
        <v>1899.7700000000004</v>
      </c>
      <c r="L108" s="17">
        <f t="shared" si="4"/>
        <v>966.67</v>
      </c>
      <c r="M108" s="18">
        <f t="shared" si="5"/>
        <v>2866.4400000000005</v>
      </c>
    </row>
    <row r="109" spans="1:13" x14ac:dyDescent="0.25">
      <c r="A109">
        <v>1000</v>
      </c>
      <c r="B109">
        <v>1000</v>
      </c>
      <c r="C109" s="1">
        <v>45961</v>
      </c>
      <c r="D109">
        <v>93682</v>
      </c>
      <c r="E109">
        <v>240</v>
      </c>
      <c r="F109" s="2">
        <v>5210.99</v>
      </c>
      <c r="G109" s="1">
        <v>45965</v>
      </c>
      <c r="I109" t="s">
        <v>9</v>
      </c>
      <c r="J109" s="14">
        <f>IFERROR(VLOOKUP(D109,'INf. RRHH'!$A:$B,2,0),0)</f>
        <v>2900</v>
      </c>
      <c r="K109" s="16">
        <f t="shared" si="3"/>
        <v>2310.9899999999998</v>
      </c>
      <c r="L109" s="17">
        <f t="shared" si="4"/>
        <v>966.67</v>
      </c>
      <c r="M109" s="18">
        <f t="shared" si="5"/>
        <v>3277.66</v>
      </c>
    </row>
    <row r="110" spans="1:13" x14ac:dyDescent="0.25">
      <c r="A110">
        <v>1000</v>
      </c>
      <c r="B110">
        <v>1000</v>
      </c>
      <c r="C110" s="1">
        <v>45961</v>
      </c>
      <c r="D110">
        <v>93715</v>
      </c>
      <c r="E110">
        <v>240</v>
      </c>
      <c r="F110" s="2">
        <v>5499.09</v>
      </c>
      <c r="G110" s="1">
        <v>45965</v>
      </c>
      <c r="I110" t="s">
        <v>9</v>
      </c>
      <c r="J110" s="14">
        <f>IFERROR(VLOOKUP(D110,'INf. RRHH'!$A:$B,2,0),0)</f>
        <v>2900</v>
      </c>
      <c r="K110" s="16">
        <f t="shared" si="3"/>
        <v>2599.09</v>
      </c>
      <c r="L110" s="17">
        <f t="shared" si="4"/>
        <v>966.67</v>
      </c>
      <c r="M110" s="18">
        <f t="shared" si="5"/>
        <v>3565.76</v>
      </c>
    </row>
    <row r="111" spans="1:13" x14ac:dyDescent="0.25">
      <c r="A111">
        <v>1000</v>
      </c>
      <c r="B111">
        <v>1000</v>
      </c>
      <c r="C111" s="1">
        <v>45961</v>
      </c>
      <c r="D111">
        <v>93716</v>
      </c>
      <c r="E111">
        <v>244</v>
      </c>
      <c r="F111" s="2">
        <v>5533.98</v>
      </c>
      <c r="G111" s="1">
        <v>45965</v>
      </c>
      <c r="I111" t="s">
        <v>9</v>
      </c>
      <c r="J111" s="14">
        <f>IFERROR(VLOOKUP(D111,'INf. RRHH'!$A:$B,2,0),0)</f>
        <v>2900</v>
      </c>
      <c r="K111" s="16">
        <f t="shared" si="3"/>
        <v>2633.9799999999996</v>
      </c>
      <c r="L111" s="17">
        <f t="shared" si="4"/>
        <v>966.67</v>
      </c>
      <c r="M111" s="18">
        <f t="shared" si="5"/>
        <v>3600.6499999999996</v>
      </c>
    </row>
    <row r="112" spans="1:13" x14ac:dyDescent="0.25">
      <c r="A112">
        <v>1000</v>
      </c>
      <c r="B112">
        <v>1000</v>
      </c>
      <c r="C112" s="1">
        <v>45961</v>
      </c>
      <c r="D112">
        <v>93871</v>
      </c>
      <c r="E112">
        <v>240</v>
      </c>
      <c r="F112" s="2">
        <v>3796.24</v>
      </c>
      <c r="G112" s="1">
        <v>45965</v>
      </c>
      <c r="I112" t="s">
        <v>9</v>
      </c>
      <c r="J112" s="14">
        <f>IFERROR(VLOOKUP(D112,'INf. RRHH'!$A:$B,2,0),0)</f>
        <v>2900</v>
      </c>
      <c r="K112" s="16">
        <f t="shared" si="3"/>
        <v>896.23999999999978</v>
      </c>
      <c r="L112" s="17">
        <f t="shared" si="4"/>
        <v>966.67</v>
      </c>
      <c r="M112" s="18">
        <f t="shared" si="5"/>
        <v>1862.9099999999999</v>
      </c>
    </row>
    <row r="113" spans="1:13" x14ac:dyDescent="0.25">
      <c r="A113">
        <v>1000</v>
      </c>
      <c r="B113">
        <v>1000</v>
      </c>
      <c r="C113" s="1">
        <v>45961</v>
      </c>
      <c r="D113">
        <v>93889</v>
      </c>
      <c r="E113">
        <v>303</v>
      </c>
      <c r="F113" s="2">
        <v>6424.26</v>
      </c>
      <c r="G113" s="1">
        <v>45965</v>
      </c>
      <c r="I113" t="s">
        <v>9</v>
      </c>
      <c r="J113" s="14">
        <f>IFERROR(VLOOKUP(D113,'INf. RRHH'!$A:$B,2,0),0)</f>
        <v>2900</v>
      </c>
      <c r="K113" s="16">
        <f t="shared" si="3"/>
        <v>3524.26</v>
      </c>
      <c r="L113" s="17">
        <f t="shared" si="4"/>
        <v>966.67</v>
      </c>
      <c r="M113" s="18">
        <f t="shared" si="5"/>
        <v>4490.93</v>
      </c>
    </row>
    <row r="114" spans="1:13" x14ac:dyDescent="0.25">
      <c r="A114">
        <v>1000</v>
      </c>
      <c r="B114">
        <v>1000</v>
      </c>
      <c r="C114" s="1">
        <v>45961</v>
      </c>
      <c r="D114">
        <v>93897</v>
      </c>
      <c r="E114">
        <v>144</v>
      </c>
      <c r="F114" s="2">
        <v>5340.23</v>
      </c>
      <c r="G114" s="1">
        <v>45965</v>
      </c>
      <c r="I114" t="s">
        <v>9</v>
      </c>
      <c r="J114" s="14">
        <f>IFERROR(VLOOKUP(D114,'INf. RRHH'!$A:$B,2,0),0)</f>
        <v>2900</v>
      </c>
      <c r="K114" s="16">
        <f t="shared" si="3"/>
        <v>2440.2299999999996</v>
      </c>
      <c r="L114" s="17">
        <f t="shared" si="4"/>
        <v>966.67</v>
      </c>
      <c r="M114" s="18">
        <f t="shared" si="5"/>
        <v>3406.8999999999996</v>
      </c>
    </row>
    <row r="115" spans="1:13" x14ac:dyDescent="0.25">
      <c r="A115">
        <v>1000</v>
      </c>
      <c r="B115">
        <v>1000</v>
      </c>
      <c r="C115" s="1">
        <v>45961</v>
      </c>
      <c r="D115">
        <v>93898</v>
      </c>
      <c r="E115">
        <v>216</v>
      </c>
      <c r="F115" s="2">
        <v>4917.29</v>
      </c>
      <c r="G115" s="1">
        <v>45965</v>
      </c>
      <c r="I115" t="s">
        <v>9</v>
      </c>
      <c r="J115" s="14">
        <f>IFERROR(VLOOKUP(D115,'INf. RRHH'!$A:$B,2,0),0)</f>
        <v>2900</v>
      </c>
      <c r="K115" s="16">
        <f t="shared" si="3"/>
        <v>2017.29</v>
      </c>
      <c r="L115" s="17">
        <f t="shared" si="4"/>
        <v>966.67</v>
      </c>
      <c r="M115" s="18">
        <f t="shared" si="5"/>
        <v>2983.96</v>
      </c>
    </row>
    <row r="116" spans="1:13" x14ac:dyDescent="0.25">
      <c r="A116">
        <v>1000</v>
      </c>
      <c r="B116">
        <v>1000</v>
      </c>
      <c r="C116" s="1">
        <v>45961</v>
      </c>
      <c r="D116">
        <v>93924</v>
      </c>
      <c r="E116">
        <v>240</v>
      </c>
      <c r="F116" s="2">
        <v>4057.76</v>
      </c>
      <c r="G116" s="1">
        <v>45965</v>
      </c>
      <c r="I116" t="s">
        <v>9</v>
      </c>
      <c r="J116" s="14">
        <f>IFERROR(VLOOKUP(D116,'INf. RRHH'!$A:$B,2,0),0)</f>
        <v>2900</v>
      </c>
      <c r="K116" s="16">
        <f t="shared" si="3"/>
        <v>1157.7600000000002</v>
      </c>
      <c r="L116" s="17">
        <f t="shared" si="4"/>
        <v>966.67</v>
      </c>
      <c r="M116" s="18">
        <f t="shared" si="5"/>
        <v>2124.4300000000003</v>
      </c>
    </row>
    <row r="117" spans="1:13" x14ac:dyDescent="0.25">
      <c r="A117">
        <v>1000</v>
      </c>
      <c r="B117">
        <v>1000</v>
      </c>
      <c r="C117" s="1">
        <v>45961</v>
      </c>
      <c r="D117">
        <v>93974</v>
      </c>
      <c r="E117">
        <v>240</v>
      </c>
      <c r="F117" s="2">
        <v>5378.33</v>
      </c>
      <c r="G117" s="1">
        <v>45965</v>
      </c>
      <c r="I117" t="s">
        <v>9</v>
      </c>
      <c r="J117" s="14">
        <f>IFERROR(VLOOKUP(D117,'INf. RRHH'!$A:$B,2,0),0)</f>
        <v>2900</v>
      </c>
      <c r="K117" s="16">
        <f t="shared" si="3"/>
        <v>2478.33</v>
      </c>
      <c r="L117" s="17">
        <f t="shared" si="4"/>
        <v>966.67</v>
      </c>
      <c r="M117" s="18">
        <f t="shared" si="5"/>
        <v>3445</v>
      </c>
    </row>
    <row r="118" spans="1:13" x14ac:dyDescent="0.25">
      <c r="A118">
        <v>1000</v>
      </c>
      <c r="B118">
        <v>1000</v>
      </c>
      <c r="C118" s="1">
        <v>45961</v>
      </c>
      <c r="D118">
        <v>94057</v>
      </c>
      <c r="E118">
        <v>200</v>
      </c>
      <c r="F118" s="2">
        <v>4057.99</v>
      </c>
      <c r="G118" s="1">
        <v>45965</v>
      </c>
      <c r="I118" t="s">
        <v>9</v>
      </c>
      <c r="J118" s="14">
        <f>IFERROR(VLOOKUP(D118,'INf. RRHH'!$A:$B,2,0),0)</f>
        <v>2900</v>
      </c>
      <c r="K118" s="16">
        <f t="shared" si="3"/>
        <v>1157.9899999999998</v>
      </c>
      <c r="L118" s="17">
        <f t="shared" si="4"/>
        <v>966.67</v>
      </c>
      <c r="M118" s="18">
        <f t="shared" si="5"/>
        <v>2124.66</v>
      </c>
    </row>
    <row r="119" spans="1:13" x14ac:dyDescent="0.25">
      <c r="A119">
        <v>1000</v>
      </c>
      <c r="B119">
        <v>1000</v>
      </c>
      <c r="C119" s="1">
        <v>45961</v>
      </c>
      <c r="D119">
        <v>94169</v>
      </c>
      <c r="E119">
        <v>239.92</v>
      </c>
      <c r="F119" s="2">
        <v>5419.37</v>
      </c>
      <c r="G119" s="1">
        <v>45965</v>
      </c>
      <c r="I119" t="s">
        <v>9</v>
      </c>
      <c r="J119" s="14">
        <f>IFERROR(VLOOKUP(D119,'INf. RRHH'!$A:$B,2,0),0)</f>
        <v>2900</v>
      </c>
      <c r="K119" s="16">
        <f t="shared" si="3"/>
        <v>2519.37</v>
      </c>
      <c r="L119" s="17">
        <f t="shared" si="4"/>
        <v>966.67</v>
      </c>
      <c r="M119" s="18">
        <f t="shared" si="5"/>
        <v>3486.04</v>
      </c>
    </row>
    <row r="120" spans="1:13" x14ac:dyDescent="0.25">
      <c r="A120">
        <v>1000</v>
      </c>
      <c r="B120">
        <v>1000</v>
      </c>
      <c r="C120" s="1">
        <v>45961</v>
      </c>
      <c r="D120">
        <v>94189</v>
      </c>
      <c r="E120">
        <v>240</v>
      </c>
      <c r="F120" s="2">
        <v>5374.99</v>
      </c>
      <c r="G120" s="1">
        <v>45965</v>
      </c>
      <c r="I120" t="s">
        <v>9</v>
      </c>
      <c r="J120" s="14">
        <f>IFERROR(VLOOKUP(D120,'INf. RRHH'!$A:$B,2,0),0)</f>
        <v>2900</v>
      </c>
      <c r="K120" s="16">
        <f t="shared" si="3"/>
        <v>2474.9899999999998</v>
      </c>
      <c r="L120" s="17">
        <f t="shared" si="4"/>
        <v>966.67</v>
      </c>
      <c r="M120" s="18">
        <f t="shared" si="5"/>
        <v>3441.66</v>
      </c>
    </row>
    <row r="121" spans="1:13" x14ac:dyDescent="0.25">
      <c r="A121">
        <v>1000</v>
      </c>
      <c r="B121">
        <v>1000</v>
      </c>
      <c r="C121" s="1">
        <v>45961</v>
      </c>
      <c r="D121">
        <v>94196</v>
      </c>
      <c r="E121">
        <v>240</v>
      </c>
      <c r="F121" s="2">
        <v>3971.85</v>
      </c>
      <c r="G121" s="1">
        <v>45965</v>
      </c>
      <c r="I121" t="s">
        <v>9</v>
      </c>
      <c r="J121" s="14">
        <f>IFERROR(VLOOKUP(D121,'INf. RRHH'!$A:$B,2,0),0)</f>
        <v>2900</v>
      </c>
      <c r="K121" s="16">
        <f t="shared" si="3"/>
        <v>1071.8499999999999</v>
      </c>
      <c r="L121" s="17">
        <f t="shared" si="4"/>
        <v>966.67</v>
      </c>
      <c r="M121" s="18">
        <f t="shared" si="5"/>
        <v>2038.52</v>
      </c>
    </row>
    <row r="122" spans="1:13" x14ac:dyDescent="0.25">
      <c r="A122">
        <v>1000</v>
      </c>
      <c r="B122">
        <v>1000</v>
      </c>
      <c r="C122" s="1">
        <v>45961</v>
      </c>
      <c r="D122">
        <v>94256</v>
      </c>
      <c r="E122">
        <v>265</v>
      </c>
      <c r="F122" s="2">
        <v>5986.29</v>
      </c>
      <c r="G122" s="1">
        <v>45965</v>
      </c>
      <c r="I122" t="s">
        <v>9</v>
      </c>
      <c r="J122" s="14">
        <f>IFERROR(VLOOKUP(D122,'INf. RRHH'!$A:$B,2,0),0)</f>
        <v>2900</v>
      </c>
      <c r="K122" s="16">
        <f t="shared" si="3"/>
        <v>3086.29</v>
      </c>
      <c r="L122" s="17">
        <f t="shared" si="4"/>
        <v>966.67</v>
      </c>
      <c r="M122" s="18">
        <f t="shared" si="5"/>
        <v>4052.96</v>
      </c>
    </row>
    <row r="123" spans="1:13" x14ac:dyDescent="0.25">
      <c r="A123">
        <v>1000</v>
      </c>
      <c r="B123">
        <v>1000</v>
      </c>
      <c r="C123" s="1">
        <v>45961</v>
      </c>
      <c r="D123">
        <v>94335</v>
      </c>
      <c r="E123">
        <v>176</v>
      </c>
      <c r="F123" s="2">
        <v>4655.74</v>
      </c>
      <c r="G123" s="1">
        <v>45965</v>
      </c>
      <c r="I123" t="s">
        <v>9</v>
      </c>
      <c r="J123" s="14">
        <f>IFERROR(VLOOKUP(D123,'INf. RRHH'!$A:$B,2,0),0)</f>
        <v>2900</v>
      </c>
      <c r="K123" s="16">
        <f t="shared" si="3"/>
        <v>1755.7399999999998</v>
      </c>
      <c r="L123" s="17">
        <f t="shared" si="4"/>
        <v>966.67</v>
      </c>
      <c r="M123" s="18">
        <f t="shared" si="5"/>
        <v>2722.41</v>
      </c>
    </row>
    <row r="124" spans="1:13" x14ac:dyDescent="0.25">
      <c r="A124">
        <v>1000</v>
      </c>
      <c r="B124">
        <v>1000</v>
      </c>
      <c r="C124" s="1">
        <v>45961</v>
      </c>
      <c r="D124">
        <v>94349</v>
      </c>
      <c r="E124">
        <v>235.5</v>
      </c>
      <c r="F124" s="2">
        <v>5472.88</v>
      </c>
      <c r="G124" s="1">
        <v>45965</v>
      </c>
      <c r="I124" t="s">
        <v>9</v>
      </c>
      <c r="J124" s="14">
        <f>IFERROR(VLOOKUP(D124,'INf. RRHH'!$A:$B,2,0),0)</f>
        <v>2900</v>
      </c>
      <c r="K124" s="16">
        <f t="shared" si="3"/>
        <v>2572.88</v>
      </c>
      <c r="L124" s="17">
        <f t="shared" si="4"/>
        <v>966.67</v>
      </c>
      <c r="M124" s="18">
        <f t="shared" si="5"/>
        <v>3539.55</v>
      </c>
    </row>
    <row r="125" spans="1:13" x14ac:dyDescent="0.25">
      <c r="A125">
        <v>1000</v>
      </c>
      <c r="B125">
        <v>1000</v>
      </c>
      <c r="C125" s="1">
        <v>45961</v>
      </c>
      <c r="D125">
        <v>94402</v>
      </c>
      <c r="E125">
        <v>240</v>
      </c>
      <c r="F125" s="2">
        <v>5377.14</v>
      </c>
      <c r="G125" s="1">
        <v>45965</v>
      </c>
      <c r="I125" t="s">
        <v>9</v>
      </c>
      <c r="J125" s="14">
        <f>IFERROR(VLOOKUP(D125,'INf. RRHH'!$A:$B,2,0),0)</f>
        <v>2900</v>
      </c>
      <c r="K125" s="16">
        <f t="shared" si="3"/>
        <v>2477.1400000000003</v>
      </c>
      <c r="L125" s="17">
        <f t="shared" si="4"/>
        <v>966.67</v>
      </c>
      <c r="M125" s="18">
        <f t="shared" si="5"/>
        <v>3443.8100000000004</v>
      </c>
    </row>
    <row r="126" spans="1:13" x14ac:dyDescent="0.25">
      <c r="A126">
        <v>1000</v>
      </c>
      <c r="B126">
        <v>1000</v>
      </c>
      <c r="C126" s="1">
        <v>45961</v>
      </c>
      <c r="D126">
        <v>94600</v>
      </c>
      <c r="E126">
        <v>216</v>
      </c>
      <c r="F126" s="2">
        <v>5223.37</v>
      </c>
      <c r="G126" s="1">
        <v>45965</v>
      </c>
      <c r="I126" t="s">
        <v>9</v>
      </c>
      <c r="J126" s="14">
        <f>IFERROR(VLOOKUP(D126,'INf. RRHH'!$A:$B,2,0),0)</f>
        <v>2900</v>
      </c>
      <c r="K126" s="16">
        <f t="shared" si="3"/>
        <v>2323.37</v>
      </c>
      <c r="L126" s="17">
        <f t="shared" si="4"/>
        <v>966.67</v>
      </c>
      <c r="M126" s="18">
        <f t="shared" si="5"/>
        <v>3290.04</v>
      </c>
    </row>
    <row r="127" spans="1:13" x14ac:dyDescent="0.25">
      <c r="A127">
        <v>1000</v>
      </c>
      <c r="B127">
        <v>1000</v>
      </c>
      <c r="C127" s="1">
        <v>45961</v>
      </c>
      <c r="D127">
        <v>94729</v>
      </c>
      <c r="E127">
        <v>240</v>
      </c>
      <c r="F127" s="2">
        <v>5313.11</v>
      </c>
      <c r="G127" s="1">
        <v>45965</v>
      </c>
      <c r="I127" t="s">
        <v>9</v>
      </c>
      <c r="J127" s="14">
        <f>IFERROR(VLOOKUP(D127,'INf. RRHH'!$A:$B,2,0),0)</f>
        <v>2900</v>
      </c>
      <c r="K127" s="16">
        <f t="shared" si="3"/>
        <v>2413.1099999999997</v>
      </c>
      <c r="L127" s="17">
        <f t="shared" si="4"/>
        <v>966.67</v>
      </c>
      <c r="M127" s="18">
        <f t="shared" si="5"/>
        <v>3379.7799999999997</v>
      </c>
    </row>
    <row r="128" spans="1:13" x14ac:dyDescent="0.25">
      <c r="A128">
        <v>1000</v>
      </c>
      <c r="B128">
        <v>1000</v>
      </c>
      <c r="C128" s="1">
        <v>45961</v>
      </c>
      <c r="D128">
        <v>94831</v>
      </c>
      <c r="E128">
        <v>232</v>
      </c>
      <c r="F128" s="2">
        <v>4745.47</v>
      </c>
      <c r="G128" s="1">
        <v>45965</v>
      </c>
      <c r="I128" t="s">
        <v>9</v>
      </c>
      <c r="J128" s="14">
        <f>IFERROR(VLOOKUP(D128,'INf. RRHH'!$A:$B,2,0),0)</f>
        <v>2900</v>
      </c>
      <c r="K128" s="16">
        <f t="shared" si="3"/>
        <v>1845.4700000000003</v>
      </c>
      <c r="L128" s="17">
        <f t="shared" si="4"/>
        <v>966.67</v>
      </c>
      <c r="M128" s="18">
        <f t="shared" si="5"/>
        <v>2812.1400000000003</v>
      </c>
    </row>
    <row r="129" spans="1:13" x14ac:dyDescent="0.25">
      <c r="A129">
        <v>1000</v>
      </c>
      <c r="B129">
        <v>1000</v>
      </c>
      <c r="C129" s="1">
        <v>45961</v>
      </c>
      <c r="D129">
        <v>94901</v>
      </c>
      <c r="E129">
        <v>240</v>
      </c>
      <c r="F129" s="2">
        <v>3552.86</v>
      </c>
      <c r="G129" s="1">
        <v>45965</v>
      </c>
      <c r="I129" t="s">
        <v>9</v>
      </c>
      <c r="J129" s="14">
        <f>IFERROR(VLOOKUP(D129,'INf. RRHH'!$A:$B,2,0),0)</f>
        <v>2900</v>
      </c>
      <c r="K129" s="16">
        <f t="shared" si="3"/>
        <v>652.86000000000013</v>
      </c>
      <c r="L129" s="17">
        <f t="shared" si="4"/>
        <v>966.67</v>
      </c>
      <c r="M129" s="18">
        <f t="shared" si="5"/>
        <v>1619.5300000000002</v>
      </c>
    </row>
    <row r="130" spans="1:13" x14ac:dyDescent="0.25">
      <c r="A130">
        <v>1000</v>
      </c>
      <c r="B130">
        <v>1000</v>
      </c>
      <c r="C130" s="1">
        <v>45961</v>
      </c>
      <c r="D130">
        <v>94921</v>
      </c>
      <c r="E130">
        <v>256</v>
      </c>
      <c r="F130" s="2">
        <v>5465.78</v>
      </c>
      <c r="G130" s="1">
        <v>45965</v>
      </c>
      <c r="I130" t="s">
        <v>9</v>
      </c>
      <c r="J130" s="14">
        <f>IFERROR(VLOOKUP(D130,'INf. RRHH'!$A:$B,2,0),0)</f>
        <v>2900</v>
      </c>
      <c r="K130" s="16">
        <f t="shared" si="3"/>
        <v>2565.7799999999997</v>
      </c>
      <c r="L130" s="17">
        <f t="shared" si="4"/>
        <v>966.67</v>
      </c>
      <c r="M130" s="18">
        <f t="shared" si="5"/>
        <v>3532.45</v>
      </c>
    </row>
    <row r="131" spans="1:13" x14ac:dyDescent="0.25">
      <c r="A131">
        <v>1000</v>
      </c>
      <c r="B131">
        <v>1000</v>
      </c>
      <c r="C131" s="1">
        <v>45961</v>
      </c>
      <c r="D131">
        <v>94949</v>
      </c>
      <c r="E131">
        <v>169</v>
      </c>
      <c r="F131" s="2">
        <v>5353.09</v>
      </c>
      <c r="G131" s="1">
        <v>45965</v>
      </c>
      <c r="I131" t="s">
        <v>9</v>
      </c>
      <c r="J131" s="14">
        <f>IFERROR(VLOOKUP(D131,'INf. RRHH'!$A:$B,2,0),0)</f>
        <v>2900</v>
      </c>
      <c r="K131" s="16">
        <f t="shared" ref="K131:K194" si="6">+F131-J131</f>
        <v>2453.09</v>
      </c>
      <c r="L131" s="17">
        <f t="shared" ref="L131:L194" si="7">ROUND(J131/3,2)</f>
        <v>966.67</v>
      </c>
      <c r="M131" s="18">
        <f t="shared" ref="M131:M194" si="8">+K131+L131</f>
        <v>3419.76</v>
      </c>
    </row>
    <row r="132" spans="1:13" x14ac:dyDescent="0.25">
      <c r="A132">
        <v>1000</v>
      </c>
      <c r="B132">
        <v>1000</v>
      </c>
      <c r="C132" s="1">
        <v>45961</v>
      </c>
      <c r="D132">
        <v>94972</v>
      </c>
      <c r="E132">
        <v>0</v>
      </c>
      <c r="F132" s="2">
        <v>3528.17</v>
      </c>
      <c r="G132" s="1">
        <v>45965</v>
      </c>
      <c r="I132" t="s">
        <v>9</v>
      </c>
      <c r="J132" s="14">
        <f>IFERROR(VLOOKUP(D132,'INf. RRHH'!$A:$B,2,0),0)</f>
        <v>2900</v>
      </c>
      <c r="K132" s="16">
        <f t="shared" si="6"/>
        <v>628.17000000000007</v>
      </c>
      <c r="L132" s="17">
        <f t="shared" si="7"/>
        <v>966.67</v>
      </c>
      <c r="M132" s="18">
        <f t="shared" si="8"/>
        <v>1594.8400000000001</v>
      </c>
    </row>
    <row r="133" spans="1:13" x14ac:dyDescent="0.25">
      <c r="A133">
        <v>1000</v>
      </c>
      <c r="B133">
        <v>1000</v>
      </c>
      <c r="C133" s="1">
        <v>45961</v>
      </c>
      <c r="D133">
        <v>95031</v>
      </c>
      <c r="E133">
        <v>243</v>
      </c>
      <c r="F133" s="2">
        <v>5416.15</v>
      </c>
      <c r="G133" s="1">
        <v>45965</v>
      </c>
      <c r="I133" t="s">
        <v>9</v>
      </c>
      <c r="J133" s="14">
        <f>IFERROR(VLOOKUP(D133,'INf. RRHH'!$A:$B,2,0),0)</f>
        <v>2900</v>
      </c>
      <c r="K133" s="16">
        <f t="shared" si="6"/>
        <v>2516.1499999999996</v>
      </c>
      <c r="L133" s="17">
        <f t="shared" si="7"/>
        <v>966.67</v>
      </c>
      <c r="M133" s="18">
        <f t="shared" si="8"/>
        <v>3482.8199999999997</v>
      </c>
    </row>
    <row r="134" spans="1:13" x14ac:dyDescent="0.25">
      <c r="A134">
        <v>1000</v>
      </c>
      <c r="B134">
        <v>1000</v>
      </c>
      <c r="C134" s="1">
        <v>45961</v>
      </c>
      <c r="D134">
        <v>95139</v>
      </c>
      <c r="E134">
        <v>240</v>
      </c>
      <c r="F134" s="2">
        <v>5138.63</v>
      </c>
      <c r="G134" s="1">
        <v>45965</v>
      </c>
      <c r="I134" t="s">
        <v>9</v>
      </c>
      <c r="J134" s="14">
        <f>IFERROR(VLOOKUP(D134,'INf. RRHH'!$A:$B,2,0),0)</f>
        <v>2900</v>
      </c>
      <c r="K134" s="16">
        <f t="shared" si="6"/>
        <v>2238.63</v>
      </c>
      <c r="L134" s="17">
        <f t="shared" si="7"/>
        <v>966.67</v>
      </c>
      <c r="M134" s="18">
        <f t="shared" si="8"/>
        <v>3205.3</v>
      </c>
    </row>
    <row r="135" spans="1:13" x14ac:dyDescent="0.25">
      <c r="A135">
        <v>1000</v>
      </c>
      <c r="B135">
        <v>1000</v>
      </c>
      <c r="C135" s="1">
        <v>45961</v>
      </c>
      <c r="D135">
        <v>95144</v>
      </c>
      <c r="E135">
        <v>216</v>
      </c>
      <c r="F135" s="2">
        <v>3485.94</v>
      </c>
      <c r="G135" s="1">
        <v>45965</v>
      </c>
      <c r="I135" t="s">
        <v>9</v>
      </c>
      <c r="J135" s="14">
        <f>IFERROR(VLOOKUP(D135,'INf. RRHH'!$A:$B,2,0),0)</f>
        <v>1450</v>
      </c>
      <c r="K135" s="16">
        <f t="shared" si="6"/>
        <v>2035.94</v>
      </c>
      <c r="L135" s="17">
        <f t="shared" si="7"/>
        <v>483.33</v>
      </c>
      <c r="M135" s="18">
        <f t="shared" si="8"/>
        <v>2519.27</v>
      </c>
    </row>
    <row r="136" spans="1:13" x14ac:dyDescent="0.25">
      <c r="A136">
        <v>1000</v>
      </c>
      <c r="B136">
        <v>1000</v>
      </c>
      <c r="C136" s="1">
        <v>45961</v>
      </c>
      <c r="D136">
        <v>95199</v>
      </c>
      <c r="E136">
        <v>240</v>
      </c>
      <c r="F136" s="2">
        <v>2324.0100000000002</v>
      </c>
      <c r="G136" s="1">
        <v>45965</v>
      </c>
      <c r="I136" t="s">
        <v>9</v>
      </c>
      <c r="J136" s="14">
        <f>IFERROR(VLOOKUP(D136,'INf. RRHH'!$A:$B,2,0),0)</f>
        <v>0</v>
      </c>
      <c r="K136" s="16">
        <f t="shared" si="6"/>
        <v>2324.0100000000002</v>
      </c>
      <c r="L136" s="17">
        <f t="shared" si="7"/>
        <v>0</v>
      </c>
      <c r="M136" s="18">
        <f t="shared" si="8"/>
        <v>2324.0100000000002</v>
      </c>
    </row>
    <row r="137" spans="1:13" x14ac:dyDescent="0.25">
      <c r="A137">
        <v>1000</v>
      </c>
      <c r="B137">
        <v>1000</v>
      </c>
      <c r="C137" s="1">
        <v>45961</v>
      </c>
      <c r="D137">
        <v>95211</v>
      </c>
      <c r="E137">
        <v>232</v>
      </c>
      <c r="F137" s="2">
        <v>4900.4399999999996</v>
      </c>
      <c r="G137" s="1">
        <v>45965</v>
      </c>
      <c r="I137" t="s">
        <v>9</v>
      </c>
      <c r="J137" s="14">
        <f>IFERROR(VLOOKUP(D137,'INf. RRHH'!$A:$B,2,0),0)</f>
        <v>2900</v>
      </c>
      <c r="K137" s="16">
        <f t="shared" si="6"/>
        <v>2000.4399999999996</v>
      </c>
      <c r="L137" s="17">
        <f t="shared" si="7"/>
        <v>966.67</v>
      </c>
      <c r="M137" s="18">
        <f t="shared" si="8"/>
        <v>2967.1099999999997</v>
      </c>
    </row>
    <row r="138" spans="1:13" x14ac:dyDescent="0.25">
      <c r="A138">
        <v>1000</v>
      </c>
      <c r="B138">
        <v>1000</v>
      </c>
      <c r="C138" s="1">
        <v>45961</v>
      </c>
      <c r="D138">
        <v>95230</v>
      </c>
      <c r="E138">
        <v>265.5</v>
      </c>
      <c r="F138" s="2">
        <v>5904.98</v>
      </c>
      <c r="G138" s="1">
        <v>45965</v>
      </c>
      <c r="I138" t="s">
        <v>9</v>
      </c>
      <c r="J138" s="14">
        <f>IFERROR(VLOOKUP(D138,'INf. RRHH'!$A:$B,2,0),0)</f>
        <v>2900</v>
      </c>
      <c r="K138" s="16">
        <f t="shared" si="6"/>
        <v>3004.9799999999996</v>
      </c>
      <c r="L138" s="17">
        <f t="shared" si="7"/>
        <v>966.67</v>
      </c>
      <c r="M138" s="18">
        <f t="shared" si="8"/>
        <v>3971.6499999999996</v>
      </c>
    </row>
    <row r="139" spans="1:13" x14ac:dyDescent="0.25">
      <c r="A139">
        <v>1000</v>
      </c>
      <c r="B139">
        <v>1000</v>
      </c>
      <c r="C139" s="1">
        <v>45961</v>
      </c>
      <c r="D139">
        <v>95292</v>
      </c>
      <c r="E139">
        <v>243</v>
      </c>
      <c r="F139" s="2">
        <v>5182.6400000000003</v>
      </c>
      <c r="G139" s="1">
        <v>45965</v>
      </c>
      <c r="I139" t="s">
        <v>9</v>
      </c>
      <c r="J139" s="14">
        <f>IFERROR(VLOOKUP(D139,'INf. RRHH'!$A:$B,2,0),0)</f>
        <v>2900</v>
      </c>
      <c r="K139" s="16">
        <f t="shared" si="6"/>
        <v>2282.6400000000003</v>
      </c>
      <c r="L139" s="17">
        <f t="shared" si="7"/>
        <v>966.67</v>
      </c>
      <c r="M139" s="18">
        <f t="shared" si="8"/>
        <v>3249.3100000000004</v>
      </c>
    </row>
    <row r="140" spans="1:13" x14ac:dyDescent="0.25">
      <c r="A140">
        <v>1000</v>
      </c>
      <c r="B140">
        <v>1000</v>
      </c>
      <c r="C140" s="1">
        <v>45961</v>
      </c>
      <c r="D140">
        <v>95297</v>
      </c>
      <c r="E140">
        <v>276</v>
      </c>
      <c r="F140" s="2">
        <v>5676.59</v>
      </c>
      <c r="G140" s="1">
        <v>45965</v>
      </c>
      <c r="I140" t="s">
        <v>9</v>
      </c>
      <c r="J140" s="14">
        <f>IFERROR(VLOOKUP(D140,'INf. RRHH'!$A:$B,2,0),0)</f>
        <v>2900</v>
      </c>
      <c r="K140" s="16">
        <f t="shared" si="6"/>
        <v>2776.59</v>
      </c>
      <c r="L140" s="17">
        <f t="shared" si="7"/>
        <v>966.67</v>
      </c>
      <c r="M140" s="18">
        <f t="shared" si="8"/>
        <v>3743.26</v>
      </c>
    </row>
    <row r="141" spans="1:13" x14ac:dyDescent="0.25">
      <c r="A141">
        <v>1000</v>
      </c>
      <c r="B141">
        <v>1000</v>
      </c>
      <c r="C141" s="1">
        <v>45961</v>
      </c>
      <c r="D141">
        <v>95346</v>
      </c>
      <c r="E141">
        <v>252</v>
      </c>
      <c r="F141" s="2">
        <v>5592.93</v>
      </c>
      <c r="G141" s="1">
        <v>45965</v>
      </c>
      <c r="I141" t="s">
        <v>9</v>
      </c>
      <c r="J141" s="14">
        <f>IFERROR(VLOOKUP(D141,'INf. RRHH'!$A:$B,2,0),0)</f>
        <v>2900</v>
      </c>
      <c r="K141" s="16">
        <f t="shared" si="6"/>
        <v>2692.9300000000003</v>
      </c>
      <c r="L141" s="17">
        <f t="shared" si="7"/>
        <v>966.67</v>
      </c>
      <c r="M141" s="18">
        <f t="shared" si="8"/>
        <v>3659.6000000000004</v>
      </c>
    </row>
    <row r="142" spans="1:13" x14ac:dyDescent="0.25">
      <c r="A142">
        <v>1000</v>
      </c>
      <c r="B142">
        <v>1000</v>
      </c>
      <c r="C142" s="1">
        <v>45961</v>
      </c>
      <c r="D142">
        <v>7242</v>
      </c>
      <c r="E142">
        <v>356</v>
      </c>
      <c r="F142" s="2">
        <v>7077.28</v>
      </c>
      <c r="G142" s="1">
        <v>45965</v>
      </c>
      <c r="I142" t="s">
        <v>9</v>
      </c>
      <c r="J142" s="14">
        <f>IFERROR(VLOOKUP(D142,'INf. RRHH'!$A:$B,2,0),0)</f>
        <v>2900</v>
      </c>
      <c r="K142" s="16">
        <f t="shared" si="6"/>
        <v>4177.28</v>
      </c>
      <c r="L142" s="17">
        <f t="shared" si="7"/>
        <v>966.67</v>
      </c>
      <c r="M142" s="18">
        <f t="shared" si="8"/>
        <v>5143.95</v>
      </c>
    </row>
    <row r="143" spans="1:13" x14ac:dyDescent="0.25">
      <c r="A143">
        <v>1000</v>
      </c>
      <c r="B143">
        <v>1000</v>
      </c>
      <c r="C143" s="1">
        <v>45961</v>
      </c>
      <c r="D143">
        <v>7305</v>
      </c>
      <c r="E143">
        <v>321</v>
      </c>
      <c r="F143" s="2">
        <v>6276.53</v>
      </c>
      <c r="G143" s="1">
        <v>45965</v>
      </c>
      <c r="I143" t="s">
        <v>9</v>
      </c>
      <c r="J143" s="14">
        <f>IFERROR(VLOOKUP(D143,'INf. RRHH'!$A:$B,2,0),0)</f>
        <v>2900</v>
      </c>
      <c r="K143" s="16">
        <f t="shared" si="6"/>
        <v>3376.5299999999997</v>
      </c>
      <c r="L143" s="17">
        <f t="shared" si="7"/>
        <v>966.67</v>
      </c>
      <c r="M143" s="18">
        <f t="shared" si="8"/>
        <v>4343.2</v>
      </c>
    </row>
    <row r="144" spans="1:13" x14ac:dyDescent="0.25">
      <c r="A144">
        <v>1000</v>
      </c>
      <c r="B144">
        <v>1000</v>
      </c>
      <c r="C144" s="1">
        <v>45961</v>
      </c>
      <c r="D144">
        <v>7949</v>
      </c>
      <c r="E144">
        <v>232</v>
      </c>
      <c r="F144" s="2">
        <v>5756.36</v>
      </c>
      <c r="G144" s="1">
        <v>45965</v>
      </c>
      <c r="I144" t="s">
        <v>9</v>
      </c>
      <c r="J144" s="14">
        <f>IFERROR(VLOOKUP(D144,'INf. RRHH'!$A:$B,2,0),0)</f>
        <v>2900</v>
      </c>
      <c r="K144" s="16">
        <f t="shared" si="6"/>
        <v>2856.3599999999997</v>
      </c>
      <c r="L144" s="17">
        <f t="shared" si="7"/>
        <v>966.67</v>
      </c>
      <c r="M144" s="18">
        <f t="shared" si="8"/>
        <v>3823.0299999999997</v>
      </c>
    </row>
    <row r="145" spans="1:13" x14ac:dyDescent="0.25">
      <c r="A145">
        <v>1000</v>
      </c>
      <c r="B145">
        <v>1000</v>
      </c>
      <c r="C145" s="1">
        <v>45961</v>
      </c>
      <c r="D145">
        <v>7990</v>
      </c>
      <c r="E145">
        <v>236.5</v>
      </c>
      <c r="F145" s="2">
        <v>5997.44</v>
      </c>
      <c r="G145" s="1">
        <v>45965</v>
      </c>
      <c r="I145" t="s">
        <v>9</v>
      </c>
      <c r="J145" s="14">
        <f>IFERROR(VLOOKUP(D145,'INf. RRHH'!$A:$B,2,0),0)</f>
        <v>2900</v>
      </c>
      <c r="K145" s="16">
        <f t="shared" si="6"/>
        <v>3097.4399999999996</v>
      </c>
      <c r="L145" s="17">
        <f t="shared" si="7"/>
        <v>966.67</v>
      </c>
      <c r="M145" s="18">
        <f t="shared" si="8"/>
        <v>4064.1099999999997</v>
      </c>
    </row>
    <row r="146" spans="1:13" x14ac:dyDescent="0.25">
      <c r="A146">
        <v>1000</v>
      </c>
      <c r="B146">
        <v>1000</v>
      </c>
      <c r="C146" s="1">
        <v>45961</v>
      </c>
      <c r="D146">
        <v>9258</v>
      </c>
      <c r="E146">
        <v>8</v>
      </c>
      <c r="F146" s="2">
        <v>8632.5400000000009</v>
      </c>
      <c r="G146" s="1">
        <v>45965</v>
      </c>
      <c r="I146" t="s">
        <v>9</v>
      </c>
      <c r="J146" s="14">
        <f>IFERROR(VLOOKUP(D146,'INf. RRHH'!$A:$B,2,0),0)</f>
        <v>0</v>
      </c>
      <c r="K146" s="16">
        <f t="shared" si="6"/>
        <v>8632.5400000000009</v>
      </c>
      <c r="L146" s="17">
        <f t="shared" si="7"/>
        <v>0</v>
      </c>
      <c r="M146" s="18">
        <f t="shared" si="8"/>
        <v>8632.5400000000009</v>
      </c>
    </row>
    <row r="147" spans="1:13" x14ac:dyDescent="0.25">
      <c r="A147">
        <v>1000</v>
      </c>
      <c r="B147">
        <v>1000</v>
      </c>
      <c r="C147" s="1">
        <v>45961</v>
      </c>
      <c r="D147">
        <v>90942</v>
      </c>
      <c r="E147">
        <v>307</v>
      </c>
      <c r="F147" s="2">
        <v>7428.72</v>
      </c>
      <c r="G147" s="1">
        <v>45965</v>
      </c>
      <c r="I147" t="s">
        <v>9</v>
      </c>
      <c r="J147" s="14">
        <f>IFERROR(VLOOKUP(D147,'INf. RRHH'!$A:$B,2,0),0)</f>
        <v>2900</v>
      </c>
      <c r="K147" s="16">
        <f t="shared" si="6"/>
        <v>4528.72</v>
      </c>
      <c r="L147" s="17">
        <f t="shared" si="7"/>
        <v>966.67</v>
      </c>
      <c r="M147" s="18">
        <f t="shared" si="8"/>
        <v>5495.39</v>
      </c>
    </row>
    <row r="148" spans="1:13" x14ac:dyDescent="0.25">
      <c r="A148">
        <v>1000</v>
      </c>
      <c r="B148">
        <v>1000</v>
      </c>
      <c r="C148" s="1">
        <v>45961</v>
      </c>
      <c r="D148">
        <v>91455</v>
      </c>
      <c r="E148">
        <v>324.5</v>
      </c>
      <c r="F148" s="2">
        <v>7271.99</v>
      </c>
      <c r="G148" s="1">
        <v>45965</v>
      </c>
      <c r="I148" t="s">
        <v>9</v>
      </c>
      <c r="J148" s="14">
        <f>IFERROR(VLOOKUP(D148,'INf. RRHH'!$A:$B,2,0),0)</f>
        <v>2900</v>
      </c>
      <c r="K148" s="16">
        <f t="shared" si="6"/>
        <v>4371.99</v>
      </c>
      <c r="L148" s="17">
        <f t="shared" si="7"/>
        <v>966.67</v>
      </c>
      <c r="M148" s="18">
        <f t="shared" si="8"/>
        <v>5338.66</v>
      </c>
    </row>
    <row r="149" spans="1:13" x14ac:dyDescent="0.25">
      <c r="A149">
        <v>1000</v>
      </c>
      <c r="B149">
        <v>1000</v>
      </c>
      <c r="C149" s="1">
        <v>45961</v>
      </c>
      <c r="D149">
        <v>91555</v>
      </c>
      <c r="E149">
        <v>232</v>
      </c>
      <c r="F149" s="2">
        <v>5318.51</v>
      </c>
      <c r="G149" s="1">
        <v>45965</v>
      </c>
      <c r="I149" t="s">
        <v>9</v>
      </c>
      <c r="J149" s="14">
        <f>IFERROR(VLOOKUP(D149,'INf. RRHH'!$A:$B,2,0),0)</f>
        <v>2900</v>
      </c>
      <c r="K149" s="16">
        <f t="shared" si="6"/>
        <v>2418.5100000000002</v>
      </c>
      <c r="L149" s="17">
        <f t="shared" si="7"/>
        <v>966.67</v>
      </c>
      <c r="M149" s="18">
        <f t="shared" si="8"/>
        <v>3385.1800000000003</v>
      </c>
    </row>
    <row r="150" spans="1:13" x14ac:dyDescent="0.25">
      <c r="A150">
        <v>1000</v>
      </c>
      <c r="B150">
        <v>1000</v>
      </c>
      <c r="C150" s="1">
        <v>45961</v>
      </c>
      <c r="D150">
        <v>92476</v>
      </c>
      <c r="E150">
        <v>370</v>
      </c>
      <c r="F150" s="2">
        <v>6548.31</v>
      </c>
      <c r="G150" s="1">
        <v>45965</v>
      </c>
      <c r="I150" t="s">
        <v>9</v>
      </c>
      <c r="J150" s="14">
        <f>IFERROR(VLOOKUP(D150,'INf. RRHH'!$A:$B,2,0),0)</f>
        <v>2900</v>
      </c>
      <c r="K150" s="16">
        <f t="shared" si="6"/>
        <v>3648.3100000000004</v>
      </c>
      <c r="L150" s="17">
        <f t="shared" si="7"/>
        <v>966.67</v>
      </c>
      <c r="M150" s="18">
        <f t="shared" si="8"/>
        <v>4614.9800000000005</v>
      </c>
    </row>
    <row r="151" spans="1:13" x14ac:dyDescent="0.25">
      <c r="A151">
        <v>1000</v>
      </c>
      <c r="B151">
        <v>1000</v>
      </c>
      <c r="C151" s="1">
        <v>45961</v>
      </c>
      <c r="D151">
        <v>92520</v>
      </c>
      <c r="E151">
        <v>257</v>
      </c>
      <c r="F151" s="2">
        <v>5468.43</v>
      </c>
      <c r="G151" s="1">
        <v>45965</v>
      </c>
      <c r="I151" t="s">
        <v>9</v>
      </c>
      <c r="J151" s="14">
        <f>IFERROR(VLOOKUP(D151,'INf. RRHH'!$A:$B,2,0),0)</f>
        <v>2900</v>
      </c>
      <c r="K151" s="16">
        <f t="shared" si="6"/>
        <v>2568.4300000000003</v>
      </c>
      <c r="L151" s="17">
        <f t="shared" si="7"/>
        <v>966.67</v>
      </c>
      <c r="M151" s="18">
        <f t="shared" si="8"/>
        <v>3535.1000000000004</v>
      </c>
    </row>
    <row r="152" spans="1:13" x14ac:dyDescent="0.25">
      <c r="A152">
        <v>1000</v>
      </c>
      <c r="B152">
        <v>1000</v>
      </c>
      <c r="C152" s="1">
        <v>45961</v>
      </c>
      <c r="D152">
        <v>92577</v>
      </c>
      <c r="E152">
        <v>391</v>
      </c>
      <c r="F152" s="2">
        <v>6719.29</v>
      </c>
      <c r="G152" s="1">
        <v>45965</v>
      </c>
      <c r="I152" t="s">
        <v>9</v>
      </c>
      <c r="J152" s="14">
        <f>IFERROR(VLOOKUP(D152,'INf. RRHH'!$A:$B,2,0),0)</f>
        <v>2900</v>
      </c>
      <c r="K152" s="16">
        <f t="shared" si="6"/>
        <v>3819.29</v>
      </c>
      <c r="L152" s="17">
        <f t="shared" si="7"/>
        <v>966.67</v>
      </c>
      <c r="M152" s="18">
        <f t="shared" si="8"/>
        <v>4785.96</v>
      </c>
    </row>
    <row r="153" spans="1:13" x14ac:dyDescent="0.25">
      <c r="A153">
        <v>1000</v>
      </c>
      <c r="B153">
        <v>1000</v>
      </c>
      <c r="C153" s="1">
        <v>45961</v>
      </c>
      <c r="D153">
        <v>92598</v>
      </c>
      <c r="E153">
        <v>240</v>
      </c>
      <c r="F153" s="2">
        <v>5376.1</v>
      </c>
      <c r="G153" s="1">
        <v>45965</v>
      </c>
      <c r="I153" t="s">
        <v>9</v>
      </c>
      <c r="J153" s="14">
        <f>IFERROR(VLOOKUP(D153,'INf. RRHH'!$A:$B,2,0),0)</f>
        <v>2900</v>
      </c>
      <c r="K153" s="16">
        <f t="shared" si="6"/>
        <v>2476.1000000000004</v>
      </c>
      <c r="L153" s="17">
        <f t="shared" si="7"/>
        <v>966.67</v>
      </c>
      <c r="M153" s="18">
        <f t="shared" si="8"/>
        <v>3442.7700000000004</v>
      </c>
    </row>
    <row r="154" spans="1:13" x14ac:dyDescent="0.25">
      <c r="A154">
        <v>1000</v>
      </c>
      <c r="B154">
        <v>1000</v>
      </c>
      <c r="C154" s="1">
        <v>45961</v>
      </c>
      <c r="D154">
        <v>92928</v>
      </c>
      <c r="E154">
        <v>230</v>
      </c>
      <c r="F154" s="2">
        <v>5046.6099999999997</v>
      </c>
      <c r="G154" s="1">
        <v>45965</v>
      </c>
      <c r="I154" t="s">
        <v>9</v>
      </c>
      <c r="J154" s="14">
        <f>IFERROR(VLOOKUP(D154,'INf. RRHH'!$A:$B,2,0),0)</f>
        <v>2900</v>
      </c>
      <c r="K154" s="16">
        <f t="shared" si="6"/>
        <v>2146.6099999999997</v>
      </c>
      <c r="L154" s="17">
        <f t="shared" si="7"/>
        <v>966.67</v>
      </c>
      <c r="M154" s="18">
        <f t="shared" si="8"/>
        <v>3113.2799999999997</v>
      </c>
    </row>
    <row r="155" spans="1:13" x14ac:dyDescent="0.25">
      <c r="A155">
        <v>1000</v>
      </c>
      <c r="B155">
        <v>1000</v>
      </c>
      <c r="C155" s="1">
        <v>45961</v>
      </c>
      <c r="D155">
        <v>92954</v>
      </c>
      <c r="E155">
        <v>250</v>
      </c>
      <c r="F155" s="2">
        <v>5235.1000000000004</v>
      </c>
      <c r="G155" s="1">
        <v>45965</v>
      </c>
      <c r="I155" t="s">
        <v>9</v>
      </c>
      <c r="J155" s="14">
        <f>IFERROR(VLOOKUP(D155,'INf. RRHH'!$A:$B,2,0),0)</f>
        <v>2900</v>
      </c>
      <c r="K155" s="16">
        <f t="shared" si="6"/>
        <v>2335.1000000000004</v>
      </c>
      <c r="L155" s="17">
        <f t="shared" si="7"/>
        <v>966.67</v>
      </c>
      <c r="M155" s="18">
        <f t="shared" si="8"/>
        <v>3301.7700000000004</v>
      </c>
    </row>
    <row r="156" spans="1:13" x14ac:dyDescent="0.25">
      <c r="A156">
        <v>1000</v>
      </c>
      <c r="B156">
        <v>1000</v>
      </c>
      <c r="C156" s="1">
        <v>45961</v>
      </c>
      <c r="D156">
        <v>92960</v>
      </c>
      <c r="E156">
        <v>160</v>
      </c>
      <c r="F156" s="2">
        <v>5425.82</v>
      </c>
      <c r="G156" s="1">
        <v>45965</v>
      </c>
      <c r="I156" t="s">
        <v>9</v>
      </c>
      <c r="J156" s="14">
        <f>IFERROR(VLOOKUP(D156,'INf. RRHH'!$A:$B,2,0),0)</f>
        <v>2900</v>
      </c>
      <c r="K156" s="16">
        <f t="shared" si="6"/>
        <v>2525.8199999999997</v>
      </c>
      <c r="L156" s="17">
        <f t="shared" si="7"/>
        <v>966.67</v>
      </c>
      <c r="M156" s="18">
        <f t="shared" si="8"/>
        <v>3492.49</v>
      </c>
    </row>
    <row r="157" spans="1:13" x14ac:dyDescent="0.25">
      <c r="A157">
        <v>1000</v>
      </c>
      <c r="B157">
        <v>1000</v>
      </c>
      <c r="C157" s="1">
        <v>45961</v>
      </c>
      <c r="D157">
        <v>93014</v>
      </c>
      <c r="E157">
        <v>240</v>
      </c>
      <c r="F157" s="2">
        <v>3773.58</v>
      </c>
      <c r="G157" s="1">
        <v>45965</v>
      </c>
      <c r="I157" t="s">
        <v>9</v>
      </c>
      <c r="J157" s="14">
        <f>IFERROR(VLOOKUP(D157,'INf. RRHH'!$A:$B,2,0),0)</f>
        <v>2900</v>
      </c>
      <c r="K157" s="16">
        <f t="shared" si="6"/>
        <v>873.57999999999993</v>
      </c>
      <c r="L157" s="17">
        <f t="shared" si="7"/>
        <v>966.67</v>
      </c>
      <c r="M157" s="18">
        <f t="shared" si="8"/>
        <v>1840.25</v>
      </c>
    </row>
    <row r="158" spans="1:13" x14ac:dyDescent="0.25">
      <c r="A158">
        <v>1000</v>
      </c>
      <c r="B158">
        <v>1000</v>
      </c>
      <c r="C158" s="1">
        <v>45961</v>
      </c>
      <c r="D158">
        <v>93015</v>
      </c>
      <c r="E158">
        <v>240</v>
      </c>
      <c r="F158" s="2">
        <v>3821.04</v>
      </c>
      <c r="G158" s="1">
        <v>45965</v>
      </c>
      <c r="I158" t="s">
        <v>9</v>
      </c>
      <c r="J158" s="14">
        <f>IFERROR(VLOOKUP(D158,'INf. RRHH'!$A:$B,2,0),0)</f>
        <v>2900</v>
      </c>
      <c r="K158" s="16">
        <f t="shared" si="6"/>
        <v>921.04</v>
      </c>
      <c r="L158" s="17">
        <f t="shared" si="7"/>
        <v>966.67</v>
      </c>
      <c r="M158" s="18">
        <f t="shared" si="8"/>
        <v>1887.71</v>
      </c>
    </row>
    <row r="159" spans="1:13" x14ac:dyDescent="0.25">
      <c r="A159">
        <v>1000</v>
      </c>
      <c r="B159">
        <v>1000</v>
      </c>
      <c r="C159" s="1">
        <v>45961</v>
      </c>
      <c r="D159">
        <v>93259</v>
      </c>
      <c r="E159">
        <v>337</v>
      </c>
      <c r="F159" s="2">
        <v>6467</v>
      </c>
      <c r="G159" s="1">
        <v>45965</v>
      </c>
      <c r="I159" t="s">
        <v>9</v>
      </c>
      <c r="J159" s="14">
        <f>IFERROR(VLOOKUP(D159,'INf. RRHH'!$A:$B,2,0),0)</f>
        <v>2900</v>
      </c>
      <c r="K159" s="16">
        <f t="shared" si="6"/>
        <v>3567</v>
      </c>
      <c r="L159" s="17">
        <f t="shared" si="7"/>
        <v>966.67</v>
      </c>
      <c r="M159" s="18">
        <f t="shared" si="8"/>
        <v>4533.67</v>
      </c>
    </row>
    <row r="160" spans="1:13" x14ac:dyDescent="0.25">
      <c r="A160">
        <v>1000</v>
      </c>
      <c r="B160">
        <v>1000</v>
      </c>
      <c r="C160" s="1">
        <v>45961</v>
      </c>
      <c r="D160">
        <v>93278</v>
      </c>
      <c r="E160">
        <v>236</v>
      </c>
      <c r="F160" s="2">
        <v>5297.74</v>
      </c>
      <c r="G160" s="1">
        <v>45965</v>
      </c>
      <c r="I160" t="s">
        <v>9</v>
      </c>
      <c r="J160" s="14">
        <f>IFERROR(VLOOKUP(D160,'INf. RRHH'!$A:$B,2,0),0)</f>
        <v>2900</v>
      </c>
      <c r="K160" s="16">
        <f t="shared" si="6"/>
        <v>2397.7399999999998</v>
      </c>
      <c r="L160" s="17">
        <f t="shared" si="7"/>
        <v>966.67</v>
      </c>
      <c r="M160" s="18">
        <f t="shared" si="8"/>
        <v>3364.41</v>
      </c>
    </row>
    <row r="161" spans="1:13" x14ac:dyDescent="0.25">
      <c r="A161">
        <v>1000</v>
      </c>
      <c r="B161">
        <v>1000</v>
      </c>
      <c r="C161" s="1">
        <v>45961</v>
      </c>
      <c r="D161">
        <v>93438</v>
      </c>
      <c r="E161">
        <v>256</v>
      </c>
      <c r="F161" s="2">
        <v>5365.18</v>
      </c>
      <c r="G161" s="1">
        <v>45965</v>
      </c>
      <c r="I161" t="s">
        <v>9</v>
      </c>
      <c r="J161" s="14">
        <f>IFERROR(VLOOKUP(D161,'INf. RRHH'!$A:$B,2,0),0)</f>
        <v>2900</v>
      </c>
      <c r="K161" s="16">
        <f t="shared" si="6"/>
        <v>2465.1800000000003</v>
      </c>
      <c r="L161" s="17">
        <f t="shared" si="7"/>
        <v>966.67</v>
      </c>
      <c r="M161" s="18">
        <f t="shared" si="8"/>
        <v>3431.8500000000004</v>
      </c>
    </row>
    <row r="162" spans="1:13" x14ac:dyDescent="0.25">
      <c r="A162">
        <v>1000</v>
      </c>
      <c r="B162">
        <v>1000</v>
      </c>
      <c r="C162" s="1">
        <v>45961</v>
      </c>
      <c r="D162">
        <v>93603</v>
      </c>
      <c r="E162">
        <v>240</v>
      </c>
      <c r="F162" s="2">
        <v>4424.5200000000004</v>
      </c>
      <c r="G162" s="1">
        <v>45965</v>
      </c>
      <c r="I162" t="s">
        <v>9</v>
      </c>
      <c r="J162" s="14">
        <f>IFERROR(VLOOKUP(D162,'INf. RRHH'!$A:$B,2,0),0)</f>
        <v>2900</v>
      </c>
      <c r="K162" s="16">
        <f t="shared" si="6"/>
        <v>1524.5200000000004</v>
      </c>
      <c r="L162" s="17">
        <f t="shared" si="7"/>
        <v>966.67</v>
      </c>
      <c r="M162" s="18">
        <f t="shared" si="8"/>
        <v>2491.1900000000005</v>
      </c>
    </row>
    <row r="163" spans="1:13" x14ac:dyDescent="0.25">
      <c r="A163">
        <v>1000</v>
      </c>
      <c r="B163">
        <v>1000</v>
      </c>
      <c r="C163" s="1">
        <v>45961</v>
      </c>
      <c r="D163">
        <v>93775</v>
      </c>
      <c r="E163">
        <v>374</v>
      </c>
      <c r="F163" s="2">
        <v>6732.34</v>
      </c>
      <c r="G163" s="1">
        <v>45965</v>
      </c>
      <c r="I163" t="s">
        <v>9</v>
      </c>
      <c r="J163" s="14">
        <f>IFERROR(VLOOKUP(D163,'INf. RRHH'!$A:$B,2,0),0)</f>
        <v>2900</v>
      </c>
      <c r="K163" s="16">
        <f t="shared" si="6"/>
        <v>3832.34</v>
      </c>
      <c r="L163" s="17">
        <f t="shared" si="7"/>
        <v>966.67</v>
      </c>
      <c r="M163" s="18">
        <f t="shared" si="8"/>
        <v>4799.01</v>
      </c>
    </row>
    <row r="164" spans="1:13" x14ac:dyDescent="0.25">
      <c r="A164">
        <v>1000</v>
      </c>
      <c r="B164">
        <v>1000</v>
      </c>
      <c r="C164" s="1">
        <v>45961</v>
      </c>
      <c r="D164">
        <v>93845</v>
      </c>
      <c r="E164">
        <v>267</v>
      </c>
      <c r="F164" s="2">
        <v>5489.91</v>
      </c>
      <c r="G164" s="1">
        <v>45965</v>
      </c>
      <c r="I164" t="s">
        <v>9</v>
      </c>
      <c r="J164" s="14">
        <f>IFERROR(VLOOKUP(D164,'INf. RRHH'!$A:$B,2,0),0)</f>
        <v>2900</v>
      </c>
      <c r="K164" s="16">
        <f t="shared" si="6"/>
        <v>2589.91</v>
      </c>
      <c r="L164" s="17">
        <f t="shared" si="7"/>
        <v>966.67</v>
      </c>
      <c r="M164" s="18">
        <f t="shared" si="8"/>
        <v>3556.58</v>
      </c>
    </row>
    <row r="165" spans="1:13" x14ac:dyDescent="0.25">
      <c r="A165">
        <v>1000</v>
      </c>
      <c r="B165">
        <v>1000</v>
      </c>
      <c r="C165" s="1">
        <v>45961</v>
      </c>
      <c r="D165">
        <v>93851</v>
      </c>
      <c r="E165">
        <v>240</v>
      </c>
      <c r="F165" s="2">
        <v>4035.86</v>
      </c>
      <c r="G165" s="1">
        <v>45965</v>
      </c>
      <c r="I165" t="s">
        <v>9</v>
      </c>
      <c r="J165" s="14">
        <f>IFERROR(VLOOKUP(D165,'INf. RRHH'!$A:$B,2,0),0)</f>
        <v>2900</v>
      </c>
      <c r="K165" s="16">
        <f t="shared" si="6"/>
        <v>1135.8600000000001</v>
      </c>
      <c r="L165" s="17">
        <f t="shared" si="7"/>
        <v>966.67</v>
      </c>
      <c r="M165" s="18">
        <f t="shared" si="8"/>
        <v>2102.5300000000002</v>
      </c>
    </row>
    <row r="166" spans="1:13" x14ac:dyDescent="0.25">
      <c r="A166">
        <v>1000</v>
      </c>
      <c r="B166">
        <v>1000</v>
      </c>
      <c r="C166" s="1">
        <v>45961</v>
      </c>
      <c r="D166">
        <v>93901</v>
      </c>
      <c r="E166">
        <v>208</v>
      </c>
      <c r="F166" s="2">
        <v>3544.04</v>
      </c>
      <c r="G166" s="1">
        <v>45965</v>
      </c>
      <c r="I166" t="s">
        <v>9</v>
      </c>
      <c r="J166" s="14">
        <f>IFERROR(VLOOKUP(D166,'INf. RRHH'!$A:$B,2,0),0)</f>
        <v>1450</v>
      </c>
      <c r="K166" s="16">
        <f t="shared" si="6"/>
        <v>2094.04</v>
      </c>
      <c r="L166" s="17">
        <f t="shared" si="7"/>
        <v>483.33</v>
      </c>
      <c r="M166" s="18">
        <f t="shared" si="8"/>
        <v>2577.37</v>
      </c>
    </row>
    <row r="167" spans="1:13" x14ac:dyDescent="0.25">
      <c r="A167">
        <v>1000</v>
      </c>
      <c r="B167">
        <v>1000</v>
      </c>
      <c r="C167" s="1">
        <v>45961</v>
      </c>
      <c r="D167">
        <v>93937</v>
      </c>
      <c r="E167">
        <v>313</v>
      </c>
      <c r="F167" s="2">
        <v>6053.19</v>
      </c>
      <c r="G167" s="1">
        <v>45965</v>
      </c>
      <c r="I167" t="s">
        <v>9</v>
      </c>
      <c r="J167" s="14">
        <f>IFERROR(VLOOKUP(D167,'INf. RRHH'!$A:$B,2,0),0)</f>
        <v>2900</v>
      </c>
      <c r="K167" s="16">
        <f t="shared" si="6"/>
        <v>3153.1899999999996</v>
      </c>
      <c r="L167" s="17">
        <f t="shared" si="7"/>
        <v>966.67</v>
      </c>
      <c r="M167" s="18">
        <f t="shared" si="8"/>
        <v>4119.8599999999997</v>
      </c>
    </row>
    <row r="168" spans="1:13" x14ac:dyDescent="0.25">
      <c r="A168">
        <v>1000</v>
      </c>
      <c r="B168">
        <v>1000</v>
      </c>
      <c r="C168" s="1">
        <v>45961</v>
      </c>
      <c r="D168">
        <v>94096</v>
      </c>
      <c r="E168">
        <v>380</v>
      </c>
      <c r="F168" s="2">
        <v>6456.81</v>
      </c>
      <c r="G168" s="1">
        <v>45965</v>
      </c>
      <c r="I168" t="s">
        <v>9</v>
      </c>
      <c r="J168" s="14">
        <f>IFERROR(VLOOKUP(D168,'INf. RRHH'!$A:$B,2,0),0)</f>
        <v>2900</v>
      </c>
      <c r="K168" s="16">
        <f t="shared" si="6"/>
        <v>3556.8100000000004</v>
      </c>
      <c r="L168" s="17">
        <f t="shared" si="7"/>
        <v>966.67</v>
      </c>
      <c r="M168" s="18">
        <f t="shared" si="8"/>
        <v>4523.4800000000005</v>
      </c>
    </row>
    <row r="169" spans="1:13" x14ac:dyDescent="0.25">
      <c r="A169">
        <v>1000</v>
      </c>
      <c r="B169">
        <v>1000</v>
      </c>
      <c r="C169" s="1">
        <v>45961</v>
      </c>
      <c r="D169">
        <v>94448</v>
      </c>
      <c r="E169">
        <v>383</v>
      </c>
      <c r="F169" s="2">
        <v>6601.36</v>
      </c>
      <c r="G169" s="1">
        <v>45965</v>
      </c>
      <c r="I169" t="s">
        <v>9</v>
      </c>
      <c r="J169" s="14">
        <f>IFERROR(VLOOKUP(D169,'INf. RRHH'!$A:$B,2,0),0)</f>
        <v>2900</v>
      </c>
      <c r="K169" s="16">
        <f t="shared" si="6"/>
        <v>3701.3599999999997</v>
      </c>
      <c r="L169" s="17">
        <f t="shared" si="7"/>
        <v>966.67</v>
      </c>
      <c r="M169" s="18">
        <f t="shared" si="8"/>
        <v>4668.03</v>
      </c>
    </row>
    <row r="170" spans="1:13" x14ac:dyDescent="0.25">
      <c r="A170">
        <v>1000</v>
      </c>
      <c r="B170">
        <v>1000</v>
      </c>
      <c r="C170" s="1">
        <v>45961</v>
      </c>
      <c r="D170">
        <v>94519</v>
      </c>
      <c r="E170">
        <v>240</v>
      </c>
      <c r="F170" s="2">
        <v>5376.51</v>
      </c>
      <c r="G170" s="1">
        <v>45965</v>
      </c>
      <c r="I170" t="s">
        <v>9</v>
      </c>
      <c r="J170" s="14">
        <f>IFERROR(VLOOKUP(D170,'INf. RRHH'!$A:$B,2,0),0)</f>
        <v>2900</v>
      </c>
      <c r="K170" s="16">
        <f t="shared" si="6"/>
        <v>2476.5100000000002</v>
      </c>
      <c r="L170" s="17">
        <f t="shared" si="7"/>
        <v>966.67</v>
      </c>
      <c r="M170" s="18">
        <f t="shared" si="8"/>
        <v>3443.1800000000003</v>
      </c>
    </row>
    <row r="171" spans="1:13" x14ac:dyDescent="0.25">
      <c r="A171">
        <v>1000</v>
      </c>
      <c r="B171">
        <v>1000</v>
      </c>
      <c r="C171" s="1">
        <v>45961</v>
      </c>
      <c r="D171">
        <v>94541</v>
      </c>
      <c r="E171">
        <v>273</v>
      </c>
      <c r="F171" s="2">
        <v>6113.15</v>
      </c>
      <c r="G171" s="1">
        <v>45965</v>
      </c>
      <c r="I171" t="s">
        <v>9</v>
      </c>
      <c r="J171" s="14">
        <f>IFERROR(VLOOKUP(D171,'INf. RRHH'!$A:$B,2,0),0)</f>
        <v>2900</v>
      </c>
      <c r="K171" s="16">
        <f t="shared" si="6"/>
        <v>3213.1499999999996</v>
      </c>
      <c r="L171" s="17">
        <f t="shared" si="7"/>
        <v>966.67</v>
      </c>
      <c r="M171" s="18">
        <f t="shared" si="8"/>
        <v>4179.82</v>
      </c>
    </row>
    <row r="172" spans="1:13" x14ac:dyDescent="0.25">
      <c r="A172">
        <v>1000</v>
      </c>
      <c r="B172">
        <v>1000</v>
      </c>
      <c r="C172" s="1">
        <v>45961</v>
      </c>
      <c r="D172">
        <v>94556</v>
      </c>
      <c r="E172">
        <v>272</v>
      </c>
      <c r="F172" s="2">
        <v>6304.69</v>
      </c>
      <c r="G172" s="1">
        <v>45965</v>
      </c>
      <c r="I172" t="s">
        <v>9</v>
      </c>
      <c r="J172" s="14">
        <f>IFERROR(VLOOKUP(D172,'INf. RRHH'!$A:$B,2,0),0)</f>
        <v>2900</v>
      </c>
      <c r="K172" s="16">
        <f t="shared" si="6"/>
        <v>3404.6899999999996</v>
      </c>
      <c r="L172" s="17">
        <f t="shared" si="7"/>
        <v>966.67</v>
      </c>
      <c r="M172" s="18">
        <f t="shared" si="8"/>
        <v>4371.3599999999997</v>
      </c>
    </row>
    <row r="173" spans="1:13" x14ac:dyDescent="0.25">
      <c r="A173">
        <v>1000</v>
      </c>
      <c r="B173">
        <v>1000</v>
      </c>
      <c r="C173" s="1">
        <v>45961</v>
      </c>
      <c r="D173">
        <v>94581</v>
      </c>
      <c r="E173">
        <v>240</v>
      </c>
      <c r="F173" s="2">
        <v>5211.2</v>
      </c>
      <c r="G173" s="1">
        <v>45965</v>
      </c>
      <c r="I173" t="s">
        <v>9</v>
      </c>
      <c r="J173" s="14">
        <f>IFERROR(VLOOKUP(D173,'INf. RRHH'!$A:$B,2,0),0)</f>
        <v>2900</v>
      </c>
      <c r="K173" s="16">
        <f t="shared" si="6"/>
        <v>2311.1999999999998</v>
      </c>
      <c r="L173" s="17">
        <f t="shared" si="7"/>
        <v>966.67</v>
      </c>
      <c r="M173" s="18">
        <f t="shared" si="8"/>
        <v>3277.87</v>
      </c>
    </row>
    <row r="174" spans="1:13" x14ac:dyDescent="0.25">
      <c r="A174">
        <v>1000</v>
      </c>
      <c r="B174">
        <v>1000</v>
      </c>
      <c r="C174" s="1">
        <v>45961</v>
      </c>
      <c r="D174">
        <v>94601</v>
      </c>
      <c r="E174">
        <v>210.92</v>
      </c>
      <c r="F174" s="2">
        <v>4903.16</v>
      </c>
      <c r="G174" s="1">
        <v>45965</v>
      </c>
      <c r="I174" t="s">
        <v>9</v>
      </c>
      <c r="J174" s="14">
        <f>IFERROR(VLOOKUP(D174,'INf. RRHH'!$A:$B,2,0),0)</f>
        <v>2900</v>
      </c>
      <c r="K174" s="16">
        <f t="shared" si="6"/>
        <v>2003.1599999999999</v>
      </c>
      <c r="L174" s="17">
        <f t="shared" si="7"/>
        <v>966.67</v>
      </c>
      <c r="M174" s="18">
        <f t="shared" si="8"/>
        <v>2969.83</v>
      </c>
    </row>
    <row r="175" spans="1:13" x14ac:dyDescent="0.25">
      <c r="A175">
        <v>1000</v>
      </c>
      <c r="B175">
        <v>1000</v>
      </c>
      <c r="C175" s="1">
        <v>45961</v>
      </c>
      <c r="D175">
        <v>94602</v>
      </c>
      <c r="E175">
        <v>232</v>
      </c>
      <c r="F175" s="2">
        <v>5298.29</v>
      </c>
      <c r="G175" s="1">
        <v>45965</v>
      </c>
      <c r="I175" t="s">
        <v>9</v>
      </c>
      <c r="J175" s="14">
        <f>IFERROR(VLOOKUP(D175,'INf. RRHH'!$A:$B,2,0),0)</f>
        <v>2900</v>
      </c>
      <c r="K175" s="16">
        <f t="shared" si="6"/>
        <v>2398.29</v>
      </c>
      <c r="L175" s="17">
        <f t="shared" si="7"/>
        <v>966.67</v>
      </c>
      <c r="M175" s="18">
        <f t="shared" si="8"/>
        <v>3364.96</v>
      </c>
    </row>
    <row r="176" spans="1:13" x14ac:dyDescent="0.25">
      <c r="A176">
        <v>1000</v>
      </c>
      <c r="B176">
        <v>1000</v>
      </c>
      <c r="C176" s="1">
        <v>45961</v>
      </c>
      <c r="D176">
        <v>94603</v>
      </c>
      <c r="E176">
        <v>240</v>
      </c>
      <c r="F176" s="2">
        <v>5314.77</v>
      </c>
      <c r="G176" s="1">
        <v>45965</v>
      </c>
      <c r="I176" t="s">
        <v>9</v>
      </c>
      <c r="J176" s="14">
        <f>IFERROR(VLOOKUP(D176,'INf. RRHH'!$A:$B,2,0),0)</f>
        <v>2900</v>
      </c>
      <c r="K176" s="16">
        <f t="shared" si="6"/>
        <v>2414.7700000000004</v>
      </c>
      <c r="L176" s="17">
        <f t="shared" si="7"/>
        <v>966.67</v>
      </c>
      <c r="M176" s="18">
        <f t="shared" si="8"/>
        <v>3381.4400000000005</v>
      </c>
    </row>
    <row r="177" spans="1:13" x14ac:dyDescent="0.25">
      <c r="A177">
        <v>1000</v>
      </c>
      <c r="B177">
        <v>1000</v>
      </c>
      <c r="C177" s="1">
        <v>45961</v>
      </c>
      <c r="D177">
        <v>94701</v>
      </c>
      <c r="E177">
        <v>240</v>
      </c>
      <c r="F177" s="2">
        <v>5377.83</v>
      </c>
      <c r="G177" s="1">
        <v>45965</v>
      </c>
      <c r="I177" t="s">
        <v>9</v>
      </c>
      <c r="J177" s="14">
        <f>IFERROR(VLOOKUP(D177,'INf. RRHH'!$A:$B,2,0),0)</f>
        <v>2900</v>
      </c>
      <c r="K177" s="16">
        <f t="shared" si="6"/>
        <v>2477.83</v>
      </c>
      <c r="L177" s="17">
        <f t="shared" si="7"/>
        <v>966.67</v>
      </c>
      <c r="M177" s="18">
        <f t="shared" si="8"/>
        <v>3444.5</v>
      </c>
    </row>
    <row r="178" spans="1:13" x14ac:dyDescent="0.25">
      <c r="A178">
        <v>1000</v>
      </c>
      <c r="B178">
        <v>1000</v>
      </c>
      <c r="C178" s="1">
        <v>45961</v>
      </c>
      <c r="D178">
        <v>94702</v>
      </c>
      <c r="E178">
        <v>224</v>
      </c>
      <c r="F178" s="2">
        <v>4966.5</v>
      </c>
      <c r="G178" s="1">
        <v>45965</v>
      </c>
      <c r="I178" t="s">
        <v>9</v>
      </c>
      <c r="J178" s="14">
        <f>IFERROR(VLOOKUP(D178,'INf. RRHH'!$A:$B,2,0),0)</f>
        <v>2900</v>
      </c>
      <c r="K178" s="16">
        <f t="shared" si="6"/>
        <v>2066.5</v>
      </c>
      <c r="L178" s="17">
        <f t="shared" si="7"/>
        <v>966.67</v>
      </c>
      <c r="M178" s="18">
        <f t="shared" si="8"/>
        <v>3033.17</v>
      </c>
    </row>
    <row r="179" spans="1:13" x14ac:dyDescent="0.25">
      <c r="A179">
        <v>1000</v>
      </c>
      <c r="B179">
        <v>1000</v>
      </c>
      <c r="C179" s="1">
        <v>45961</v>
      </c>
      <c r="D179">
        <v>94703</v>
      </c>
      <c r="E179">
        <v>258</v>
      </c>
      <c r="F179" s="2">
        <v>5490.07</v>
      </c>
      <c r="G179" s="1">
        <v>45965</v>
      </c>
      <c r="I179" t="s">
        <v>9</v>
      </c>
      <c r="J179" s="14">
        <f>IFERROR(VLOOKUP(D179,'INf. RRHH'!$A:$B,2,0),0)</f>
        <v>2900</v>
      </c>
      <c r="K179" s="16">
        <f t="shared" si="6"/>
        <v>2590.0699999999997</v>
      </c>
      <c r="L179" s="17">
        <f t="shared" si="7"/>
        <v>966.67</v>
      </c>
      <c r="M179" s="18">
        <f t="shared" si="8"/>
        <v>3556.74</v>
      </c>
    </row>
    <row r="180" spans="1:13" x14ac:dyDescent="0.25">
      <c r="A180">
        <v>1000</v>
      </c>
      <c r="B180">
        <v>1000</v>
      </c>
      <c r="C180" s="1">
        <v>45961</v>
      </c>
      <c r="D180">
        <v>94855</v>
      </c>
      <c r="E180">
        <v>264</v>
      </c>
      <c r="F180" s="2">
        <v>5812.39</v>
      </c>
      <c r="G180" s="1">
        <v>45965</v>
      </c>
      <c r="I180" t="s">
        <v>9</v>
      </c>
      <c r="J180" s="14">
        <f>IFERROR(VLOOKUP(D180,'INf. RRHH'!$A:$B,2,0),0)</f>
        <v>2900</v>
      </c>
      <c r="K180" s="16">
        <f t="shared" si="6"/>
        <v>2912.3900000000003</v>
      </c>
      <c r="L180" s="17">
        <f t="shared" si="7"/>
        <v>966.67</v>
      </c>
      <c r="M180" s="18">
        <f t="shared" si="8"/>
        <v>3879.0600000000004</v>
      </c>
    </row>
    <row r="181" spans="1:13" x14ac:dyDescent="0.25">
      <c r="A181">
        <v>1000</v>
      </c>
      <c r="B181">
        <v>1000</v>
      </c>
      <c r="C181" s="1">
        <v>45961</v>
      </c>
      <c r="D181">
        <v>94905</v>
      </c>
      <c r="E181">
        <v>216</v>
      </c>
      <c r="F181" s="2">
        <v>5002.8500000000004</v>
      </c>
      <c r="G181" s="1">
        <v>45965</v>
      </c>
      <c r="I181" t="s">
        <v>9</v>
      </c>
      <c r="J181" s="14">
        <f>IFERROR(VLOOKUP(D181,'INf. RRHH'!$A:$B,2,0),0)</f>
        <v>2900</v>
      </c>
      <c r="K181" s="16">
        <f t="shared" si="6"/>
        <v>2102.8500000000004</v>
      </c>
      <c r="L181" s="17">
        <f t="shared" si="7"/>
        <v>966.67</v>
      </c>
      <c r="M181" s="18">
        <f t="shared" si="8"/>
        <v>3069.5200000000004</v>
      </c>
    </row>
    <row r="182" spans="1:13" x14ac:dyDescent="0.25">
      <c r="A182">
        <v>1000</v>
      </c>
      <c r="B182">
        <v>1000</v>
      </c>
      <c r="C182" s="1">
        <v>45961</v>
      </c>
      <c r="D182">
        <v>94906</v>
      </c>
      <c r="E182">
        <v>240</v>
      </c>
      <c r="F182" s="2">
        <v>4087.45</v>
      </c>
      <c r="G182" s="1">
        <v>45965</v>
      </c>
      <c r="I182" t="s">
        <v>9</v>
      </c>
      <c r="J182" s="14">
        <f>IFERROR(VLOOKUP(D182,'INf. RRHH'!$A:$B,2,0),0)</f>
        <v>2900</v>
      </c>
      <c r="K182" s="16">
        <f t="shared" si="6"/>
        <v>1187.4499999999998</v>
      </c>
      <c r="L182" s="17">
        <f t="shared" si="7"/>
        <v>966.67</v>
      </c>
      <c r="M182" s="18">
        <f t="shared" si="8"/>
        <v>2154.12</v>
      </c>
    </row>
    <row r="183" spans="1:13" x14ac:dyDescent="0.25">
      <c r="A183">
        <v>1000</v>
      </c>
      <c r="B183">
        <v>1000</v>
      </c>
      <c r="C183" s="1">
        <v>45961</v>
      </c>
      <c r="D183">
        <v>94944</v>
      </c>
      <c r="E183">
        <v>252.2</v>
      </c>
      <c r="F183" s="2">
        <v>5724.93</v>
      </c>
      <c r="G183" s="1">
        <v>45965</v>
      </c>
      <c r="I183" t="s">
        <v>9</v>
      </c>
      <c r="J183" s="14">
        <f>IFERROR(VLOOKUP(D183,'INf. RRHH'!$A:$B,2,0),0)</f>
        <v>2900</v>
      </c>
      <c r="K183" s="16">
        <f t="shared" si="6"/>
        <v>2824.9300000000003</v>
      </c>
      <c r="L183" s="17">
        <f t="shared" si="7"/>
        <v>966.67</v>
      </c>
      <c r="M183" s="18">
        <f t="shared" si="8"/>
        <v>3791.6000000000004</v>
      </c>
    </row>
    <row r="184" spans="1:13" x14ac:dyDescent="0.25">
      <c r="A184">
        <v>1000</v>
      </c>
      <c r="B184">
        <v>1000</v>
      </c>
      <c r="C184" s="1">
        <v>45961</v>
      </c>
      <c r="D184">
        <v>94960</v>
      </c>
      <c r="E184">
        <v>240</v>
      </c>
      <c r="F184" s="2">
        <v>5079.7</v>
      </c>
      <c r="G184" s="1">
        <v>45965</v>
      </c>
      <c r="I184" t="s">
        <v>9</v>
      </c>
      <c r="J184" s="14">
        <f>IFERROR(VLOOKUP(D184,'INf. RRHH'!$A:$B,2,0),0)</f>
        <v>2900</v>
      </c>
      <c r="K184" s="16">
        <f t="shared" si="6"/>
        <v>2179.6999999999998</v>
      </c>
      <c r="L184" s="17">
        <f t="shared" si="7"/>
        <v>966.67</v>
      </c>
      <c r="M184" s="18">
        <f t="shared" si="8"/>
        <v>3146.37</v>
      </c>
    </row>
    <row r="185" spans="1:13" x14ac:dyDescent="0.25">
      <c r="A185">
        <v>1000</v>
      </c>
      <c r="B185">
        <v>1000</v>
      </c>
      <c r="C185" s="1">
        <v>45961</v>
      </c>
      <c r="D185">
        <v>94997</v>
      </c>
      <c r="E185">
        <v>282</v>
      </c>
      <c r="F185" s="2">
        <v>6071.45</v>
      </c>
      <c r="G185" s="1">
        <v>45965</v>
      </c>
      <c r="I185" t="s">
        <v>9</v>
      </c>
      <c r="J185" s="14">
        <f>IFERROR(VLOOKUP(D185,'INf. RRHH'!$A:$B,2,0),0)</f>
        <v>2900</v>
      </c>
      <c r="K185" s="16">
        <f t="shared" si="6"/>
        <v>3171.45</v>
      </c>
      <c r="L185" s="17">
        <f t="shared" si="7"/>
        <v>966.67</v>
      </c>
      <c r="M185" s="18">
        <f t="shared" si="8"/>
        <v>4138.12</v>
      </c>
    </row>
    <row r="186" spans="1:13" x14ac:dyDescent="0.25">
      <c r="A186">
        <v>1000</v>
      </c>
      <c r="B186">
        <v>1000</v>
      </c>
      <c r="C186" s="1">
        <v>45961</v>
      </c>
      <c r="D186">
        <v>95052</v>
      </c>
      <c r="E186">
        <v>251</v>
      </c>
      <c r="F186" s="2">
        <v>5842.7</v>
      </c>
      <c r="G186" s="1">
        <v>45965</v>
      </c>
      <c r="I186" t="s">
        <v>9</v>
      </c>
      <c r="J186" s="14">
        <f>IFERROR(VLOOKUP(D186,'INf. RRHH'!$A:$B,2,0),0)</f>
        <v>2900</v>
      </c>
      <c r="K186" s="16">
        <f t="shared" si="6"/>
        <v>2942.7</v>
      </c>
      <c r="L186" s="17">
        <f t="shared" si="7"/>
        <v>966.67</v>
      </c>
      <c r="M186" s="18">
        <f t="shared" si="8"/>
        <v>3909.37</v>
      </c>
    </row>
    <row r="187" spans="1:13" x14ac:dyDescent="0.25">
      <c r="A187">
        <v>1000</v>
      </c>
      <c r="B187">
        <v>1000</v>
      </c>
      <c r="C187" s="1">
        <v>45961</v>
      </c>
      <c r="D187">
        <v>95056</v>
      </c>
      <c r="E187">
        <v>88</v>
      </c>
      <c r="F187" s="2">
        <v>4214.03</v>
      </c>
      <c r="G187" s="1">
        <v>45965</v>
      </c>
      <c r="I187" t="s">
        <v>9</v>
      </c>
      <c r="J187" s="14">
        <f>IFERROR(VLOOKUP(D187,'INf. RRHH'!$A:$B,2,0),0)</f>
        <v>2900</v>
      </c>
      <c r="K187" s="16">
        <f t="shared" si="6"/>
        <v>1314.0299999999997</v>
      </c>
      <c r="L187" s="17">
        <f t="shared" si="7"/>
        <v>966.67</v>
      </c>
      <c r="M187" s="18">
        <f t="shared" si="8"/>
        <v>2280.6999999999998</v>
      </c>
    </row>
    <row r="188" spans="1:13" x14ac:dyDescent="0.25">
      <c r="A188">
        <v>1000</v>
      </c>
      <c r="B188">
        <v>1000</v>
      </c>
      <c r="C188" s="1">
        <v>45961</v>
      </c>
      <c r="D188">
        <v>95237</v>
      </c>
      <c r="E188">
        <v>232</v>
      </c>
      <c r="F188" s="2">
        <v>5170.68</v>
      </c>
      <c r="G188" s="1">
        <v>45965</v>
      </c>
      <c r="I188" t="s">
        <v>9</v>
      </c>
      <c r="J188" s="14">
        <f>IFERROR(VLOOKUP(D188,'INf. RRHH'!$A:$B,2,0),0)</f>
        <v>2900</v>
      </c>
      <c r="K188" s="16">
        <f t="shared" si="6"/>
        <v>2270.6800000000003</v>
      </c>
      <c r="L188" s="17">
        <f t="shared" si="7"/>
        <v>966.67</v>
      </c>
      <c r="M188" s="18">
        <f t="shared" si="8"/>
        <v>3237.3500000000004</v>
      </c>
    </row>
    <row r="189" spans="1:13" x14ac:dyDescent="0.25">
      <c r="A189">
        <v>1000</v>
      </c>
      <c r="B189">
        <v>1000</v>
      </c>
      <c r="C189" s="1">
        <v>45961</v>
      </c>
      <c r="D189">
        <v>95280</v>
      </c>
      <c r="E189">
        <v>240</v>
      </c>
      <c r="F189" s="2">
        <v>5133.68</v>
      </c>
      <c r="G189" s="1">
        <v>45965</v>
      </c>
      <c r="I189" t="s">
        <v>9</v>
      </c>
      <c r="J189" s="14">
        <f>IFERROR(VLOOKUP(D189,'INf. RRHH'!$A:$B,2,0),0)</f>
        <v>2900</v>
      </c>
      <c r="K189" s="16">
        <f t="shared" si="6"/>
        <v>2233.6800000000003</v>
      </c>
      <c r="L189" s="17">
        <f t="shared" si="7"/>
        <v>966.67</v>
      </c>
      <c r="M189" s="18">
        <f t="shared" si="8"/>
        <v>3200.3500000000004</v>
      </c>
    </row>
    <row r="190" spans="1:13" x14ac:dyDescent="0.25">
      <c r="A190">
        <v>1000</v>
      </c>
      <c r="B190">
        <v>1000</v>
      </c>
      <c r="C190" s="1">
        <v>45961</v>
      </c>
      <c r="D190">
        <v>95335</v>
      </c>
      <c r="E190">
        <v>297</v>
      </c>
      <c r="F190" s="2">
        <v>5779.16</v>
      </c>
      <c r="G190" s="1">
        <v>45965</v>
      </c>
      <c r="I190" t="s">
        <v>9</v>
      </c>
      <c r="J190" s="14">
        <f>IFERROR(VLOOKUP(D190,'INf. RRHH'!$A:$B,2,0),0)</f>
        <v>2900</v>
      </c>
      <c r="K190" s="16">
        <f t="shared" si="6"/>
        <v>2879.16</v>
      </c>
      <c r="L190" s="17">
        <f t="shared" si="7"/>
        <v>966.67</v>
      </c>
      <c r="M190" s="18">
        <f t="shared" si="8"/>
        <v>3845.83</v>
      </c>
    </row>
    <row r="191" spans="1:13" x14ac:dyDescent="0.25">
      <c r="A191">
        <v>1000</v>
      </c>
      <c r="B191">
        <v>1000</v>
      </c>
      <c r="C191" s="1">
        <v>45961</v>
      </c>
      <c r="D191">
        <v>95459</v>
      </c>
      <c r="E191">
        <v>240</v>
      </c>
      <c r="F191" s="2">
        <v>2166.79</v>
      </c>
      <c r="G191" s="1">
        <v>45965</v>
      </c>
      <c r="I191" t="s">
        <v>9</v>
      </c>
      <c r="J191" s="14">
        <f>IFERROR(VLOOKUP(D191,'INf. RRHH'!$A:$B,2,0),0)</f>
        <v>0</v>
      </c>
      <c r="K191" s="16">
        <f t="shared" si="6"/>
        <v>2166.79</v>
      </c>
      <c r="L191" s="17">
        <f t="shared" si="7"/>
        <v>0</v>
      </c>
      <c r="M191" s="18">
        <f t="shared" si="8"/>
        <v>2166.79</v>
      </c>
    </row>
    <row r="192" spans="1:13" x14ac:dyDescent="0.25">
      <c r="A192">
        <v>1000</v>
      </c>
      <c r="B192">
        <v>1000</v>
      </c>
      <c r="C192" s="1">
        <v>45961</v>
      </c>
      <c r="D192">
        <v>7758</v>
      </c>
      <c r="E192">
        <v>244</v>
      </c>
      <c r="F192" s="2">
        <v>6277.77</v>
      </c>
      <c r="G192" s="1">
        <v>45965</v>
      </c>
      <c r="I192" t="s">
        <v>9</v>
      </c>
      <c r="J192" s="14">
        <f>IFERROR(VLOOKUP(D192,'INf. RRHH'!$A:$B,2,0),0)</f>
        <v>2900</v>
      </c>
      <c r="K192" s="16">
        <f t="shared" si="6"/>
        <v>3377.7700000000004</v>
      </c>
      <c r="L192" s="17">
        <f t="shared" si="7"/>
        <v>966.67</v>
      </c>
      <c r="M192" s="18">
        <f t="shared" si="8"/>
        <v>4344.4400000000005</v>
      </c>
    </row>
    <row r="193" spans="1:13" x14ac:dyDescent="0.25">
      <c r="A193">
        <v>1000</v>
      </c>
      <c r="B193">
        <v>1000</v>
      </c>
      <c r="C193" s="1">
        <v>45961</v>
      </c>
      <c r="D193">
        <v>90149</v>
      </c>
      <c r="E193">
        <v>261</v>
      </c>
      <c r="F193" s="2">
        <v>4941.72</v>
      </c>
      <c r="G193" s="1">
        <v>45965</v>
      </c>
      <c r="I193" t="s">
        <v>9</v>
      </c>
      <c r="J193" s="14">
        <f>IFERROR(VLOOKUP(D193,'INf. RRHH'!$A:$B,2,0),0)</f>
        <v>2900</v>
      </c>
      <c r="K193" s="16">
        <f t="shared" si="6"/>
        <v>2041.7200000000003</v>
      </c>
      <c r="L193" s="17">
        <f t="shared" si="7"/>
        <v>966.67</v>
      </c>
      <c r="M193" s="18">
        <f t="shared" si="8"/>
        <v>3008.3900000000003</v>
      </c>
    </row>
    <row r="194" spans="1:13" x14ac:dyDescent="0.25">
      <c r="A194">
        <v>1000</v>
      </c>
      <c r="B194">
        <v>1000</v>
      </c>
      <c r="C194" s="1">
        <v>45961</v>
      </c>
      <c r="D194">
        <v>90182</v>
      </c>
      <c r="E194">
        <v>315</v>
      </c>
      <c r="F194" s="2">
        <v>5291.7</v>
      </c>
      <c r="G194" s="1">
        <v>45965</v>
      </c>
      <c r="I194" t="s">
        <v>9</v>
      </c>
      <c r="J194" s="14">
        <f>IFERROR(VLOOKUP(D194,'INf. RRHH'!$A:$B,2,0),0)</f>
        <v>2900</v>
      </c>
      <c r="K194" s="16">
        <f t="shared" si="6"/>
        <v>2391.6999999999998</v>
      </c>
      <c r="L194" s="17">
        <f t="shared" si="7"/>
        <v>966.67</v>
      </c>
      <c r="M194" s="18">
        <f t="shared" si="8"/>
        <v>3358.37</v>
      </c>
    </row>
    <row r="195" spans="1:13" x14ac:dyDescent="0.25">
      <c r="A195">
        <v>1000</v>
      </c>
      <c r="B195">
        <v>1000</v>
      </c>
      <c r="C195" s="1">
        <v>45961</v>
      </c>
      <c r="D195">
        <v>90196</v>
      </c>
      <c r="E195">
        <v>233</v>
      </c>
      <c r="F195" s="2">
        <v>5152.08</v>
      </c>
      <c r="G195" s="1">
        <v>45965</v>
      </c>
      <c r="I195" t="s">
        <v>9</v>
      </c>
      <c r="J195" s="14">
        <f>IFERROR(VLOOKUP(D195,'INf. RRHH'!$A:$B,2,0),0)</f>
        <v>2900</v>
      </c>
      <c r="K195" s="16">
        <f t="shared" ref="K195:K258" si="9">+F195-J195</f>
        <v>2252.08</v>
      </c>
      <c r="L195" s="17">
        <f t="shared" ref="L195:L258" si="10">ROUND(J195/3,2)</f>
        <v>966.67</v>
      </c>
      <c r="M195" s="18">
        <f t="shared" ref="M195:M258" si="11">+K195+L195</f>
        <v>3218.75</v>
      </c>
    </row>
    <row r="196" spans="1:13" x14ac:dyDescent="0.25">
      <c r="A196">
        <v>1000</v>
      </c>
      <c r="B196">
        <v>1000</v>
      </c>
      <c r="C196" s="1">
        <v>45961</v>
      </c>
      <c r="D196">
        <v>90743</v>
      </c>
      <c r="E196">
        <v>373</v>
      </c>
      <c r="F196" s="2">
        <v>6248.5</v>
      </c>
      <c r="G196" s="1">
        <v>45965</v>
      </c>
      <c r="I196" t="s">
        <v>9</v>
      </c>
      <c r="J196" s="14">
        <f>IFERROR(VLOOKUP(D196,'INf. RRHH'!$A:$B,2,0),0)</f>
        <v>2900</v>
      </c>
      <c r="K196" s="16">
        <f t="shared" si="9"/>
        <v>3348.5</v>
      </c>
      <c r="L196" s="17">
        <f t="shared" si="10"/>
        <v>966.67</v>
      </c>
      <c r="M196" s="18">
        <f t="shared" si="11"/>
        <v>4315.17</v>
      </c>
    </row>
    <row r="197" spans="1:13" x14ac:dyDescent="0.25">
      <c r="A197">
        <v>1000</v>
      </c>
      <c r="B197">
        <v>1000</v>
      </c>
      <c r="C197" s="1">
        <v>45961</v>
      </c>
      <c r="D197">
        <v>90828</v>
      </c>
      <c r="E197">
        <v>184</v>
      </c>
      <c r="F197" s="2">
        <v>4933.17</v>
      </c>
      <c r="G197" s="1">
        <v>45965</v>
      </c>
      <c r="I197" t="s">
        <v>9</v>
      </c>
      <c r="J197" s="14">
        <f>IFERROR(VLOOKUP(D197,'INf. RRHH'!$A:$B,2,0),0)</f>
        <v>2900</v>
      </c>
      <c r="K197" s="16">
        <f t="shared" si="9"/>
        <v>2033.17</v>
      </c>
      <c r="L197" s="17">
        <f t="shared" si="10"/>
        <v>966.67</v>
      </c>
      <c r="M197" s="18">
        <f t="shared" si="11"/>
        <v>2999.84</v>
      </c>
    </row>
    <row r="198" spans="1:13" x14ac:dyDescent="0.25">
      <c r="A198">
        <v>1000</v>
      </c>
      <c r="B198">
        <v>1000</v>
      </c>
      <c r="C198" s="1">
        <v>45961</v>
      </c>
      <c r="D198">
        <v>91740</v>
      </c>
      <c r="E198">
        <v>298</v>
      </c>
      <c r="F198" s="2">
        <v>8692.1</v>
      </c>
      <c r="G198" s="1">
        <v>45965</v>
      </c>
      <c r="I198" t="s">
        <v>9</v>
      </c>
      <c r="J198" s="14">
        <f>IFERROR(VLOOKUP(D198,'INf. RRHH'!$A:$B,2,0),0)</f>
        <v>2900</v>
      </c>
      <c r="K198" s="16">
        <f t="shared" si="9"/>
        <v>5792.1</v>
      </c>
      <c r="L198" s="17">
        <f t="shared" si="10"/>
        <v>966.67</v>
      </c>
      <c r="M198" s="18">
        <f t="shared" si="11"/>
        <v>6758.77</v>
      </c>
    </row>
    <row r="199" spans="1:13" x14ac:dyDescent="0.25">
      <c r="A199">
        <v>1000</v>
      </c>
      <c r="B199">
        <v>1000</v>
      </c>
      <c r="C199" s="1">
        <v>45961</v>
      </c>
      <c r="D199">
        <v>91988</v>
      </c>
      <c r="E199">
        <v>317.5</v>
      </c>
      <c r="F199" s="2">
        <v>7205.16</v>
      </c>
      <c r="G199" s="1">
        <v>45965</v>
      </c>
      <c r="I199" t="s">
        <v>9</v>
      </c>
      <c r="J199" s="14">
        <f>IFERROR(VLOOKUP(D199,'INf. RRHH'!$A:$B,2,0),0)</f>
        <v>2900</v>
      </c>
      <c r="K199" s="16">
        <f t="shared" si="9"/>
        <v>4305.16</v>
      </c>
      <c r="L199" s="17">
        <f t="shared" si="10"/>
        <v>966.67</v>
      </c>
      <c r="M199" s="18">
        <f t="shared" si="11"/>
        <v>5271.83</v>
      </c>
    </row>
    <row r="200" spans="1:13" x14ac:dyDescent="0.25">
      <c r="A200">
        <v>1000</v>
      </c>
      <c r="B200">
        <v>1000</v>
      </c>
      <c r="C200" s="1">
        <v>45961</v>
      </c>
      <c r="D200">
        <v>92417</v>
      </c>
      <c r="E200">
        <v>192</v>
      </c>
      <c r="F200" s="2">
        <v>1883.78</v>
      </c>
      <c r="G200" s="1">
        <v>45965</v>
      </c>
      <c r="I200" t="s">
        <v>9</v>
      </c>
      <c r="J200" s="14">
        <f>IFERROR(VLOOKUP(D200,'INf. RRHH'!$A:$B,2,0),0)</f>
        <v>0</v>
      </c>
      <c r="K200" s="16">
        <f t="shared" si="9"/>
        <v>1883.78</v>
      </c>
      <c r="L200" s="17">
        <f t="shared" si="10"/>
        <v>0</v>
      </c>
      <c r="M200" s="18">
        <f t="shared" si="11"/>
        <v>1883.78</v>
      </c>
    </row>
    <row r="201" spans="1:13" x14ac:dyDescent="0.25">
      <c r="A201">
        <v>1000</v>
      </c>
      <c r="B201">
        <v>1000</v>
      </c>
      <c r="C201" s="1">
        <v>45961</v>
      </c>
      <c r="D201">
        <v>92482</v>
      </c>
      <c r="E201">
        <v>238</v>
      </c>
      <c r="F201" s="2">
        <v>5445.99</v>
      </c>
      <c r="G201" s="1">
        <v>45965</v>
      </c>
      <c r="I201" t="s">
        <v>9</v>
      </c>
      <c r="J201" s="14">
        <f>IFERROR(VLOOKUP(D201,'INf. RRHH'!$A:$B,2,0),0)</f>
        <v>2900</v>
      </c>
      <c r="K201" s="16">
        <f t="shared" si="9"/>
        <v>2545.9899999999998</v>
      </c>
      <c r="L201" s="17">
        <f t="shared" si="10"/>
        <v>966.67</v>
      </c>
      <c r="M201" s="18">
        <f t="shared" si="11"/>
        <v>3512.66</v>
      </c>
    </row>
    <row r="202" spans="1:13" x14ac:dyDescent="0.25">
      <c r="A202">
        <v>1000</v>
      </c>
      <c r="B202">
        <v>1000</v>
      </c>
      <c r="C202" s="1">
        <v>45961</v>
      </c>
      <c r="D202">
        <v>92513</v>
      </c>
      <c r="E202">
        <v>312</v>
      </c>
      <c r="F202" s="2">
        <v>5633.93</v>
      </c>
      <c r="G202" s="1">
        <v>45965</v>
      </c>
      <c r="I202" t="s">
        <v>9</v>
      </c>
      <c r="J202" s="14">
        <f>IFERROR(VLOOKUP(D202,'INf. RRHH'!$A:$B,2,0),0)</f>
        <v>2900</v>
      </c>
      <c r="K202" s="16">
        <f t="shared" si="9"/>
        <v>2733.9300000000003</v>
      </c>
      <c r="L202" s="17">
        <f t="shared" si="10"/>
        <v>966.67</v>
      </c>
      <c r="M202" s="18">
        <f t="shared" si="11"/>
        <v>3700.6000000000004</v>
      </c>
    </row>
    <row r="203" spans="1:13" x14ac:dyDescent="0.25">
      <c r="A203">
        <v>1000</v>
      </c>
      <c r="B203">
        <v>1000</v>
      </c>
      <c r="C203" s="1">
        <v>45961</v>
      </c>
      <c r="D203">
        <v>92521</v>
      </c>
      <c r="E203">
        <v>366</v>
      </c>
      <c r="F203" s="2">
        <v>6323.36</v>
      </c>
      <c r="G203" s="1">
        <v>45965</v>
      </c>
      <c r="I203" t="s">
        <v>9</v>
      </c>
      <c r="J203" s="14">
        <f>IFERROR(VLOOKUP(D203,'INf. RRHH'!$A:$B,2,0),0)</f>
        <v>2900</v>
      </c>
      <c r="K203" s="16">
        <f t="shared" si="9"/>
        <v>3423.3599999999997</v>
      </c>
      <c r="L203" s="17">
        <f t="shared" si="10"/>
        <v>966.67</v>
      </c>
      <c r="M203" s="18">
        <f t="shared" si="11"/>
        <v>4390.03</v>
      </c>
    </row>
    <row r="204" spans="1:13" x14ac:dyDescent="0.25">
      <c r="A204">
        <v>1000</v>
      </c>
      <c r="B204">
        <v>1000</v>
      </c>
      <c r="C204" s="1">
        <v>45961</v>
      </c>
      <c r="D204">
        <v>93018</v>
      </c>
      <c r="E204">
        <v>349</v>
      </c>
      <c r="F204" s="2">
        <v>7045.6</v>
      </c>
      <c r="G204" s="1">
        <v>45965</v>
      </c>
      <c r="I204" t="s">
        <v>9</v>
      </c>
      <c r="J204" s="14">
        <f>IFERROR(VLOOKUP(D204,'INf. RRHH'!$A:$B,2,0),0)</f>
        <v>2900</v>
      </c>
      <c r="K204" s="16">
        <f t="shared" si="9"/>
        <v>4145.6000000000004</v>
      </c>
      <c r="L204" s="17">
        <f t="shared" si="10"/>
        <v>966.67</v>
      </c>
      <c r="M204" s="18">
        <f t="shared" si="11"/>
        <v>5112.2700000000004</v>
      </c>
    </row>
    <row r="205" spans="1:13" x14ac:dyDescent="0.25">
      <c r="A205">
        <v>1000</v>
      </c>
      <c r="B205">
        <v>1000</v>
      </c>
      <c r="C205" s="1">
        <v>45961</v>
      </c>
      <c r="D205">
        <v>93029</v>
      </c>
      <c r="E205">
        <v>364</v>
      </c>
      <c r="F205" s="2">
        <v>5708.36</v>
      </c>
      <c r="G205" s="1">
        <v>45965</v>
      </c>
      <c r="I205" t="s">
        <v>9</v>
      </c>
      <c r="J205" s="14">
        <f>IFERROR(VLOOKUP(D205,'INf. RRHH'!$A:$B,2,0),0)</f>
        <v>2900</v>
      </c>
      <c r="K205" s="16">
        <f t="shared" si="9"/>
        <v>2808.3599999999997</v>
      </c>
      <c r="L205" s="17">
        <f t="shared" si="10"/>
        <v>966.67</v>
      </c>
      <c r="M205" s="18">
        <f t="shared" si="11"/>
        <v>3775.0299999999997</v>
      </c>
    </row>
    <row r="206" spans="1:13" x14ac:dyDescent="0.25">
      <c r="A206">
        <v>1000</v>
      </c>
      <c r="B206">
        <v>1000</v>
      </c>
      <c r="C206" s="1">
        <v>45961</v>
      </c>
      <c r="D206">
        <v>93160</v>
      </c>
      <c r="E206">
        <v>301</v>
      </c>
      <c r="F206" s="2">
        <v>7443.8</v>
      </c>
      <c r="G206" s="1">
        <v>45965</v>
      </c>
      <c r="I206" t="s">
        <v>9</v>
      </c>
      <c r="J206" s="14">
        <f>IFERROR(VLOOKUP(D206,'INf. RRHH'!$A:$B,2,0),0)</f>
        <v>2900</v>
      </c>
      <c r="K206" s="16">
        <f t="shared" si="9"/>
        <v>4543.8</v>
      </c>
      <c r="L206" s="17">
        <f t="shared" si="10"/>
        <v>966.67</v>
      </c>
      <c r="M206" s="18">
        <f t="shared" si="11"/>
        <v>5510.47</v>
      </c>
    </row>
    <row r="207" spans="1:13" x14ac:dyDescent="0.25">
      <c r="A207">
        <v>1000</v>
      </c>
      <c r="B207">
        <v>1000</v>
      </c>
      <c r="C207" s="1">
        <v>45961</v>
      </c>
      <c r="D207">
        <v>93181</v>
      </c>
      <c r="E207">
        <v>370</v>
      </c>
      <c r="F207" s="2">
        <v>6137.28</v>
      </c>
      <c r="G207" s="1">
        <v>45965</v>
      </c>
      <c r="I207" t="s">
        <v>9</v>
      </c>
      <c r="J207" s="14">
        <f>IFERROR(VLOOKUP(D207,'INf. RRHH'!$A:$B,2,0),0)</f>
        <v>2900</v>
      </c>
      <c r="K207" s="16">
        <f t="shared" si="9"/>
        <v>3237.2799999999997</v>
      </c>
      <c r="L207" s="17">
        <f t="shared" si="10"/>
        <v>966.67</v>
      </c>
      <c r="M207" s="18">
        <f t="shared" si="11"/>
        <v>4203.95</v>
      </c>
    </row>
    <row r="208" spans="1:13" x14ac:dyDescent="0.25">
      <c r="A208">
        <v>1000</v>
      </c>
      <c r="B208">
        <v>1000</v>
      </c>
      <c r="C208" s="1">
        <v>45961</v>
      </c>
      <c r="D208">
        <v>93328</v>
      </c>
      <c r="E208">
        <v>266.66000000000003</v>
      </c>
      <c r="F208" s="2">
        <v>6354.9</v>
      </c>
      <c r="G208" s="1">
        <v>45965</v>
      </c>
      <c r="I208" t="s">
        <v>9</v>
      </c>
      <c r="J208" s="14">
        <f>IFERROR(VLOOKUP(D208,'INf. RRHH'!$A:$B,2,0),0)</f>
        <v>2900</v>
      </c>
      <c r="K208" s="16">
        <f t="shared" si="9"/>
        <v>3454.8999999999996</v>
      </c>
      <c r="L208" s="17">
        <f t="shared" si="10"/>
        <v>966.67</v>
      </c>
      <c r="M208" s="18">
        <f t="shared" si="11"/>
        <v>4421.57</v>
      </c>
    </row>
    <row r="209" spans="1:13" x14ac:dyDescent="0.25">
      <c r="A209">
        <v>1000</v>
      </c>
      <c r="B209">
        <v>1000</v>
      </c>
      <c r="C209" s="1">
        <v>45961</v>
      </c>
      <c r="D209">
        <v>93373</v>
      </c>
      <c r="E209">
        <v>196</v>
      </c>
      <c r="F209" s="2">
        <v>5010.17</v>
      </c>
      <c r="G209" s="1">
        <v>45965</v>
      </c>
      <c r="I209" t="s">
        <v>9</v>
      </c>
      <c r="J209" s="14">
        <f>IFERROR(VLOOKUP(D209,'INf. RRHH'!$A:$B,2,0),0)</f>
        <v>2900</v>
      </c>
      <c r="K209" s="16">
        <f t="shared" si="9"/>
        <v>2110.17</v>
      </c>
      <c r="L209" s="17">
        <f t="shared" si="10"/>
        <v>966.67</v>
      </c>
      <c r="M209" s="18">
        <f t="shared" si="11"/>
        <v>3076.84</v>
      </c>
    </row>
    <row r="210" spans="1:13" x14ac:dyDescent="0.25">
      <c r="A210">
        <v>1000</v>
      </c>
      <c r="B210">
        <v>1000</v>
      </c>
      <c r="C210" s="1">
        <v>45961</v>
      </c>
      <c r="D210">
        <v>93489</v>
      </c>
      <c r="E210">
        <v>294</v>
      </c>
      <c r="F210" s="2">
        <v>6408.04</v>
      </c>
      <c r="G210" s="1">
        <v>45965</v>
      </c>
      <c r="I210" t="s">
        <v>9</v>
      </c>
      <c r="J210" s="14">
        <f>IFERROR(VLOOKUP(D210,'INf. RRHH'!$A:$B,2,0),0)</f>
        <v>2900</v>
      </c>
      <c r="K210" s="16">
        <f t="shared" si="9"/>
        <v>3508.04</v>
      </c>
      <c r="L210" s="17">
        <f t="shared" si="10"/>
        <v>966.67</v>
      </c>
      <c r="M210" s="18">
        <f t="shared" si="11"/>
        <v>4474.71</v>
      </c>
    </row>
    <row r="211" spans="1:13" x14ac:dyDescent="0.25">
      <c r="A211">
        <v>1000</v>
      </c>
      <c r="B211">
        <v>1000</v>
      </c>
      <c r="C211" s="1">
        <v>45961</v>
      </c>
      <c r="D211">
        <v>93606</v>
      </c>
      <c r="E211">
        <v>262</v>
      </c>
      <c r="F211" s="2">
        <v>5441.66</v>
      </c>
      <c r="G211" s="1">
        <v>45965</v>
      </c>
      <c r="I211" t="s">
        <v>9</v>
      </c>
      <c r="J211" s="14">
        <f>IFERROR(VLOOKUP(D211,'INf. RRHH'!$A:$B,2,0),0)</f>
        <v>2900</v>
      </c>
      <c r="K211" s="16">
        <f t="shared" si="9"/>
        <v>2541.66</v>
      </c>
      <c r="L211" s="17">
        <f t="shared" si="10"/>
        <v>966.67</v>
      </c>
      <c r="M211" s="18">
        <f t="shared" si="11"/>
        <v>3508.33</v>
      </c>
    </row>
    <row r="212" spans="1:13" x14ac:dyDescent="0.25">
      <c r="A212">
        <v>1000</v>
      </c>
      <c r="B212">
        <v>1000</v>
      </c>
      <c r="C212" s="1">
        <v>45961</v>
      </c>
      <c r="D212">
        <v>93679</v>
      </c>
      <c r="E212">
        <v>270</v>
      </c>
      <c r="F212" s="2">
        <v>5868.28</v>
      </c>
      <c r="G212" s="1">
        <v>45965</v>
      </c>
      <c r="I212" t="s">
        <v>9</v>
      </c>
      <c r="J212" s="14">
        <f>IFERROR(VLOOKUP(D212,'INf. RRHH'!$A:$B,2,0),0)</f>
        <v>2900</v>
      </c>
      <c r="K212" s="16">
        <f t="shared" si="9"/>
        <v>2968.2799999999997</v>
      </c>
      <c r="L212" s="17">
        <f t="shared" si="10"/>
        <v>966.67</v>
      </c>
      <c r="M212" s="18">
        <f t="shared" si="11"/>
        <v>3934.95</v>
      </c>
    </row>
    <row r="213" spans="1:13" x14ac:dyDescent="0.25">
      <c r="A213">
        <v>1000</v>
      </c>
      <c r="B213">
        <v>1000</v>
      </c>
      <c r="C213" s="1">
        <v>45961</v>
      </c>
      <c r="D213">
        <v>93759</v>
      </c>
      <c r="E213">
        <v>248</v>
      </c>
      <c r="F213" s="2">
        <v>5500.15</v>
      </c>
      <c r="G213" s="1">
        <v>45965</v>
      </c>
      <c r="I213" t="s">
        <v>9</v>
      </c>
      <c r="J213" s="14">
        <f>IFERROR(VLOOKUP(D213,'INf. RRHH'!$A:$B,2,0),0)</f>
        <v>2900</v>
      </c>
      <c r="K213" s="16">
        <f t="shared" si="9"/>
        <v>2600.1499999999996</v>
      </c>
      <c r="L213" s="17">
        <f t="shared" si="10"/>
        <v>966.67</v>
      </c>
      <c r="M213" s="18">
        <f t="shared" si="11"/>
        <v>3566.8199999999997</v>
      </c>
    </row>
    <row r="214" spans="1:13" x14ac:dyDescent="0.25">
      <c r="A214">
        <v>1000</v>
      </c>
      <c r="B214">
        <v>1000</v>
      </c>
      <c r="C214" s="1">
        <v>45961</v>
      </c>
      <c r="D214">
        <v>93776</v>
      </c>
      <c r="E214">
        <v>379</v>
      </c>
      <c r="F214" s="2">
        <v>6033.66</v>
      </c>
      <c r="G214" s="1">
        <v>45965</v>
      </c>
      <c r="I214" t="s">
        <v>9</v>
      </c>
      <c r="J214" s="14">
        <f>IFERROR(VLOOKUP(D214,'INf. RRHH'!$A:$B,2,0),0)</f>
        <v>2900</v>
      </c>
      <c r="K214" s="16">
        <f t="shared" si="9"/>
        <v>3133.66</v>
      </c>
      <c r="L214" s="17">
        <f t="shared" si="10"/>
        <v>966.67</v>
      </c>
      <c r="M214" s="18">
        <f t="shared" si="11"/>
        <v>4100.33</v>
      </c>
    </row>
    <row r="215" spans="1:13" x14ac:dyDescent="0.25">
      <c r="A215">
        <v>1000</v>
      </c>
      <c r="B215">
        <v>1000</v>
      </c>
      <c r="C215" s="1">
        <v>45961</v>
      </c>
      <c r="D215">
        <v>93859</v>
      </c>
      <c r="E215">
        <v>240</v>
      </c>
      <c r="F215" s="2">
        <v>3796.5</v>
      </c>
      <c r="G215" s="1">
        <v>45965</v>
      </c>
      <c r="I215" t="s">
        <v>9</v>
      </c>
      <c r="J215" s="14">
        <f>IFERROR(VLOOKUP(D215,'INf. RRHH'!$A:$B,2,0),0)</f>
        <v>2900</v>
      </c>
      <c r="K215" s="16">
        <f t="shared" si="9"/>
        <v>896.5</v>
      </c>
      <c r="L215" s="17">
        <f t="shared" si="10"/>
        <v>966.67</v>
      </c>
      <c r="M215" s="18">
        <f t="shared" si="11"/>
        <v>1863.17</v>
      </c>
    </row>
    <row r="216" spans="1:13" x14ac:dyDescent="0.25">
      <c r="A216">
        <v>1000</v>
      </c>
      <c r="B216">
        <v>1000</v>
      </c>
      <c r="C216" s="1">
        <v>45961</v>
      </c>
      <c r="D216">
        <v>93875</v>
      </c>
      <c r="E216">
        <v>385</v>
      </c>
      <c r="F216" s="2">
        <v>6861.97</v>
      </c>
      <c r="G216" s="1">
        <v>45965</v>
      </c>
      <c r="I216" t="s">
        <v>9</v>
      </c>
      <c r="J216" s="14">
        <f>IFERROR(VLOOKUP(D216,'INf. RRHH'!$A:$B,2,0),0)</f>
        <v>2900</v>
      </c>
      <c r="K216" s="16">
        <f t="shared" si="9"/>
        <v>3961.9700000000003</v>
      </c>
      <c r="L216" s="17">
        <f t="shared" si="10"/>
        <v>966.67</v>
      </c>
      <c r="M216" s="18">
        <f t="shared" si="11"/>
        <v>4928.6400000000003</v>
      </c>
    </row>
    <row r="217" spans="1:13" x14ac:dyDescent="0.25">
      <c r="A217">
        <v>1000</v>
      </c>
      <c r="B217">
        <v>1000</v>
      </c>
      <c r="C217" s="1">
        <v>45961</v>
      </c>
      <c r="D217">
        <v>93876</v>
      </c>
      <c r="E217">
        <v>351</v>
      </c>
      <c r="F217" s="2">
        <v>6496.65</v>
      </c>
      <c r="G217" s="1">
        <v>45965</v>
      </c>
      <c r="I217" t="s">
        <v>9</v>
      </c>
      <c r="J217" s="14">
        <f>IFERROR(VLOOKUP(D217,'INf. RRHH'!$A:$B,2,0),0)</f>
        <v>2900</v>
      </c>
      <c r="K217" s="16">
        <f t="shared" si="9"/>
        <v>3596.6499999999996</v>
      </c>
      <c r="L217" s="17">
        <f t="shared" si="10"/>
        <v>966.67</v>
      </c>
      <c r="M217" s="18">
        <f t="shared" si="11"/>
        <v>4563.32</v>
      </c>
    </row>
    <row r="218" spans="1:13" x14ac:dyDescent="0.25">
      <c r="A218">
        <v>1000</v>
      </c>
      <c r="B218">
        <v>1000</v>
      </c>
      <c r="C218" s="1">
        <v>45961</v>
      </c>
      <c r="D218">
        <v>93956</v>
      </c>
      <c r="E218">
        <v>391</v>
      </c>
      <c r="F218" s="2">
        <v>7045.23</v>
      </c>
      <c r="G218" s="1">
        <v>45965</v>
      </c>
      <c r="I218" t="s">
        <v>9</v>
      </c>
      <c r="J218" s="14">
        <f>IFERROR(VLOOKUP(D218,'INf. RRHH'!$A:$B,2,0),0)</f>
        <v>2900</v>
      </c>
      <c r="K218" s="16">
        <f t="shared" si="9"/>
        <v>4145.2299999999996</v>
      </c>
      <c r="L218" s="17">
        <f t="shared" si="10"/>
        <v>966.67</v>
      </c>
      <c r="M218" s="18">
        <f t="shared" si="11"/>
        <v>5111.8999999999996</v>
      </c>
    </row>
    <row r="219" spans="1:13" x14ac:dyDescent="0.25">
      <c r="A219">
        <v>1000</v>
      </c>
      <c r="B219">
        <v>1000</v>
      </c>
      <c r="C219" s="1">
        <v>45961</v>
      </c>
      <c r="D219">
        <v>93957</v>
      </c>
      <c r="E219">
        <v>240</v>
      </c>
      <c r="F219" s="2">
        <v>4987.5200000000004</v>
      </c>
      <c r="G219" s="1">
        <v>45965</v>
      </c>
      <c r="I219" t="s">
        <v>9</v>
      </c>
      <c r="J219" s="14">
        <f>IFERROR(VLOOKUP(D219,'INf. RRHH'!$A:$B,2,0),0)</f>
        <v>2900</v>
      </c>
      <c r="K219" s="16">
        <f t="shared" si="9"/>
        <v>2087.5200000000004</v>
      </c>
      <c r="L219" s="17">
        <f t="shared" si="10"/>
        <v>966.67</v>
      </c>
      <c r="M219" s="18">
        <f t="shared" si="11"/>
        <v>3054.1900000000005</v>
      </c>
    </row>
    <row r="220" spans="1:13" x14ac:dyDescent="0.25">
      <c r="A220">
        <v>1000</v>
      </c>
      <c r="B220">
        <v>1000</v>
      </c>
      <c r="C220" s="1">
        <v>45961</v>
      </c>
      <c r="D220">
        <v>93991</v>
      </c>
      <c r="E220">
        <v>240</v>
      </c>
      <c r="F220" s="2">
        <v>5376.49</v>
      </c>
      <c r="G220" s="1">
        <v>45965</v>
      </c>
      <c r="I220" t="s">
        <v>9</v>
      </c>
      <c r="J220" s="14">
        <f>IFERROR(VLOOKUP(D220,'INf. RRHH'!$A:$B,2,0),0)</f>
        <v>2900</v>
      </c>
      <c r="K220" s="16">
        <f t="shared" si="9"/>
        <v>2476.4899999999998</v>
      </c>
      <c r="L220" s="17">
        <f t="shared" si="10"/>
        <v>966.67</v>
      </c>
      <c r="M220" s="18">
        <f t="shared" si="11"/>
        <v>3443.16</v>
      </c>
    </row>
    <row r="221" spans="1:13" x14ac:dyDescent="0.25">
      <c r="A221">
        <v>1000</v>
      </c>
      <c r="B221">
        <v>1000</v>
      </c>
      <c r="C221" s="1">
        <v>45961</v>
      </c>
      <c r="D221">
        <v>94066</v>
      </c>
      <c r="E221">
        <v>64</v>
      </c>
      <c r="F221" s="2">
        <v>4248.87</v>
      </c>
      <c r="G221" s="1">
        <v>45965</v>
      </c>
      <c r="I221" t="s">
        <v>9</v>
      </c>
      <c r="J221" s="14">
        <f>IFERROR(VLOOKUP(D221,'INf. RRHH'!$A:$B,2,0),0)</f>
        <v>2900</v>
      </c>
      <c r="K221" s="16">
        <f t="shared" si="9"/>
        <v>1348.87</v>
      </c>
      <c r="L221" s="17">
        <f t="shared" si="10"/>
        <v>966.67</v>
      </c>
      <c r="M221" s="18">
        <f t="shared" si="11"/>
        <v>2315.54</v>
      </c>
    </row>
    <row r="222" spans="1:13" x14ac:dyDescent="0.25">
      <c r="A222">
        <v>1000</v>
      </c>
      <c r="B222">
        <v>1000</v>
      </c>
      <c r="C222" s="1">
        <v>45961</v>
      </c>
      <c r="D222">
        <v>94109</v>
      </c>
      <c r="E222">
        <v>240</v>
      </c>
      <c r="F222" s="2">
        <v>5379.94</v>
      </c>
      <c r="G222" s="1">
        <v>45965</v>
      </c>
      <c r="I222" t="s">
        <v>9</v>
      </c>
      <c r="J222" s="14">
        <f>IFERROR(VLOOKUP(D222,'INf. RRHH'!$A:$B,2,0),0)</f>
        <v>2900</v>
      </c>
      <c r="K222" s="16">
        <f t="shared" si="9"/>
        <v>2479.9399999999996</v>
      </c>
      <c r="L222" s="17">
        <f t="shared" si="10"/>
        <v>966.67</v>
      </c>
      <c r="M222" s="18">
        <f t="shared" si="11"/>
        <v>3446.6099999999997</v>
      </c>
    </row>
    <row r="223" spans="1:13" x14ac:dyDescent="0.25">
      <c r="A223">
        <v>1000</v>
      </c>
      <c r="B223">
        <v>1000</v>
      </c>
      <c r="C223" s="1">
        <v>45961</v>
      </c>
      <c r="D223">
        <v>94273</v>
      </c>
      <c r="E223">
        <v>235</v>
      </c>
      <c r="F223" s="2">
        <v>5350.09</v>
      </c>
      <c r="G223" s="1">
        <v>45965</v>
      </c>
      <c r="I223" t="s">
        <v>9</v>
      </c>
      <c r="J223" s="14">
        <f>IFERROR(VLOOKUP(D223,'INf. RRHH'!$A:$B,2,0),0)</f>
        <v>2900</v>
      </c>
      <c r="K223" s="16">
        <f t="shared" si="9"/>
        <v>2450.09</v>
      </c>
      <c r="L223" s="17">
        <f t="shared" si="10"/>
        <v>966.67</v>
      </c>
      <c r="M223" s="18">
        <f t="shared" si="11"/>
        <v>3416.76</v>
      </c>
    </row>
    <row r="224" spans="1:13" x14ac:dyDescent="0.25">
      <c r="A224">
        <v>1000</v>
      </c>
      <c r="B224">
        <v>1000</v>
      </c>
      <c r="C224" s="1">
        <v>45961</v>
      </c>
      <c r="D224">
        <v>94346</v>
      </c>
      <c r="E224">
        <v>232</v>
      </c>
      <c r="F224" s="2">
        <v>5069.03</v>
      </c>
      <c r="G224" s="1">
        <v>45965</v>
      </c>
      <c r="I224" t="s">
        <v>9</v>
      </c>
      <c r="J224" s="14">
        <f>IFERROR(VLOOKUP(D224,'INf. RRHH'!$A:$B,2,0),0)</f>
        <v>2900</v>
      </c>
      <c r="K224" s="16">
        <f t="shared" si="9"/>
        <v>2169.0299999999997</v>
      </c>
      <c r="L224" s="17">
        <f t="shared" si="10"/>
        <v>966.67</v>
      </c>
      <c r="M224" s="18">
        <f t="shared" si="11"/>
        <v>3135.7</v>
      </c>
    </row>
    <row r="225" spans="1:13" x14ac:dyDescent="0.25">
      <c r="A225">
        <v>1000</v>
      </c>
      <c r="B225">
        <v>1000</v>
      </c>
      <c r="C225" s="1">
        <v>45961</v>
      </c>
      <c r="D225">
        <v>94432</v>
      </c>
      <c r="E225">
        <v>240</v>
      </c>
      <c r="F225" s="2">
        <v>3723.9</v>
      </c>
      <c r="G225" s="1">
        <v>45965</v>
      </c>
      <c r="I225" t="s">
        <v>9</v>
      </c>
      <c r="J225" s="14">
        <f>IFERROR(VLOOKUP(D225,'INf. RRHH'!$A:$B,2,0),0)</f>
        <v>2900</v>
      </c>
      <c r="K225" s="16">
        <f t="shared" si="9"/>
        <v>823.90000000000009</v>
      </c>
      <c r="L225" s="17">
        <f t="shared" si="10"/>
        <v>966.67</v>
      </c>
      <c r="M225" s="18">
        <f t="shared" si="11"/>
        <v>1790.5700000000002</v>
      </c>
    </row>
    <row r="226" spans="1:13" x14ac:dyDescent="0.25">
      <c r="A226">
        <v>1000</v>
      </c>
      <c r="B226">
        <v>1000</v>
      </c>
      <c r="C226" s="1">
        <v>45961</v>
      </c>
      <c r="D226">
        <v>94467</v>
      </c>
      <c r="E226">
        <v>259</v>
      </c>
      <c r="F226" s="2">
        <v>5713.27</v>
      </c>
      <c r="G226" s="1">
        <v>45965</v>
      </c>
      <c r="I226" t="s">
        <v>9</v>
      </c>
      <c r="J226" s="14">
        <f>IFERROR(VLOOKUP(D226,'INf. RRHH'!$A:$B,2,0),0)</f>
        <v>2900</v>
      </c>
      <c r="K226" s="16">
        <f t="shared" si="9"/>
        <v>2813.2700000000004</v>
      </c>
      <c r="L226" s="17">
        <f t="shared" si="10"/>
        <v>966.67</v>
      </c>
      <c r="M226" s="18">
        <f t="shared" si="11"/>
        <v>3779.9400000000005</v>
      </c>
    </row>
    <row r="227" spans="1:13" x14ac:dyDescent="0.25">
      <c r="A227">
        <v>1000</v>
      </c>
      <c r="B227">
        <v>1000</v>
      </c>
      <c r="C227" s="1">
        <v>45961</v>
      </c>
      <c r="D227">
        <v>94542</v>
      </c>
      <c r="E227">
        <v>80</v>
      </c>
      <c r="F227" s="2">
        <v>4933.53</v>
      </c>
      <c r="G227" s="1">
        <v>45965</v>
      </c>
      <c r="I227" t="s">
        <v>9</v>
      </c>
      <c r="J227" s="14">
        <f>IFERROR(VLOOKUP(D227,'INf. RRHH'!$A:$B,2,0),0)</f>
        <v>2900</v>
      </c>
      <c r="K227" s="16">
        <f t="shared" si="9"/>
        <v>2033.5299999999997</v>
      </c>
      <c r="L227" s="17">
        <f t="shared" si="10"/>
        <v>966.67</v>
      </c>
      <c r="M227" s="18">
        <f t="shared" si="11"/>
        <v>3000.2</v>
      </c>
    </row>
    <row r="228" spans="1:13" x14ac:dyDescent="0.25">
      <c r="A228">
        <v>1000</v>
      </c>
      <c r="B228">
        <v>1000</v>
      </c>
      <c r="C228" s="1">
        <v>45961</v>
      </c>
      <c r="D228">
        <v>94557</v>
      </c>
      <c r="E228">
        <v>192</v>
      </c>
      <c r="F228" s="2">
        <v>4799.68</v>
      </c>
      <c r="G228" s="1">
        <v>45965</v>
      </c>
      <c r="I228" t="s">
        <v>9</v>
      </c>
      <c r="J228" s="14">
        <f>IFERROR(VLOOKUP(D228,'INf. RRHH'!$A:$B,2,0),0)</f>
        <v>2900</v>
      </c>
      <c r="K228" s="16">
        <f t="shared" si="9"/>
        <v>1899.6800000000003</v>
      </c>
      <c r="L228" s="17">
        <f t="shared" si="10"/>
        <v>966.67</v>
      </c>
      <c r="M228" s="18">
        <f t="shared" si="11"/>
        <v>2866.3500000000004</v>
      </c>
    </row>
    <row r="229" spans="1:13" x14ac:dyDescent="0.25">
      <c r="A229">
        <v>1000</v>
      </c>
      <c r="B229">
        <v>1000</v>
      </c>
      <c r="C229" s="1">
        <v>45961</v>
      </c>
      <c r="D229">
        <v>94576</v>
      </c>
      <c r="E229">
        <v>240</v>
      </c>
      <c r="F229" s="2">
        <v>5375.59</v>
      </c>
      <c r="G229" s="1">
        <v>45965</v>
      </c>
      <c r="I229" t="s">
        <v>9</v>
      </c>
      <c r="J229" s="14">
        <f>IFERROR(VLOOKUP(D229,'INf. RRHH'!$A:$B,2,0),0)</f>
        <v>2900</v>
      </c>
      <c r="K229" s="16">
        <f t="shared" si="9"/>
        <v>2475.59</v>
      </c>
      <c r="L229" s="17">
        <f t="shared" si="10"/>
        <v>966.67</v>
      </c>
      <c r="M229" s="18">
        <f t="shared" si="11"/>
        <v>3442.26</v>
      </c>
    </row>
    <row r="230" spans="1:13" x14ac:dyDescent="0.25">
      <c r="A230">
        <v>1000</v>
      </c>
      <c r="B230">
        <v>1000</v>
      </c>
      <c r="C230" s="1">
        <v>45961</v>
      </c>
      <c r="D230">
        <v>94594</v>
      </c>
      <c r="E230">
        <v>248</v>
      </c>
      <c r="F230" s="2">
        <v>5338.89</v>
      </c>
      <c r="G230" s="1">
        <v>45965</v>
      </c>
      <c r="I230" t="s">
        <v>9</v>
      </c>
      <c r="J230" s="14">
        <f>IFERROR(VLOOKUP(D230,'INf. RRHH'!$A:$B,2,0),0)</f>
        <v>2900</v>
      </c>
      <c r="K230" s="16">
        <f t="shared" si="9"/>
        <v>2438.8900000000003</v>
      </c>
      <c r="L230" s="17">
        <f t="shared" si="10"/>
        <v>966.67</v>
      </c>
      <c r="M230" s="18">
        <f t="shared" si="11"/>
        <v>3405.5600000000004</v>
      </c>
    </row>
    <row r="231" spans="1:13" x14ac:dyDescent="0.25">
      <c r="A231">
        <v>1000</v>
      </c>
      <c r="B231">
        <v>1000</v>
      </c>
      <c r="C231" s="1">
        <v>45961</v>
      </c>
      <c r="D231">
        <v>94596</v>
      </c>
      <c r="E231">
        <v>228</v>
      </c>
      <c r="F231" s="2">
        <v>5345.05</v>
      </c>
      <c r="G231" s="1">
        <v>45965</v>
      </c>
      <c r="I231" t="s">
        <v>9</v>
      </c>
      <c r="J231" s="14">
        <f>IFERROR(VLOOKUP(D231,'INf. RRHH'!$A:$B,2,0),0)</f>
        <v>2900</v>
      </c>
      <c r="K231" s="16">
        <f t="shared" si="9"/>
        <v>2445.0500000000002</v>
      </c>
      <c r="L231" s="17">
        <f t="shared" si="10"/>
        <v>966.67</v>
      </c>
      <c r="M231" s="18">
        <f t="shared" si="11"/>
        <v>3411.7200000000003</v>
      </c>
    </row>
    <row r="232" spans="1:13" x14ac:dyDescent="0.25">
      <c r="A232">
        <v>1000</v>
      </c>
      <c r="B232">
        <v>1000</v>
      </c>
      <c r="C232" s="1">
        <v>45961</v>
      </c>
      <c r="D232">
        <v>94607</v>
      </c>
      <c r="E232">
        <v>218.5</v>
      </c>
      <c r="F232" s="2">
        <v>5093.53</v>
      </c>
      <c r="G232" s="1">
        <v>45965</v>
      </c>
      <c r="I232" t="s">
        <v>9</v>
      </c>
      <c r="J232" s="14">
        <f>IFERROR(VLOOKUP(D232,'INf. RRHH'!$A:$B,2,0),0)</f>
        <v>2900</v>
      </c>
      <c r="K232" s="16">
        <f t="shared" si="9"/>
        <v>2193.5299999999997</v>
      </c>
      <c r="L232" s="17">
        <f t="shared" si="10"/>
        <v>966.67</v>
      </c>
      <c r="M232" s="18">
        <f t="shared" si="11"/>
        <v>3160.2</v>
      </c>
    </row>
    <row r="233" spans="1:13" x14ac:dyDescent="0.25">
      <c r="A233">
        <v>1000</v>
      </c>
      <c r="B233">
        <v>1000</v>
      </c>
      <c r="C233" s="1">
        <v>45961</v>
      </c>
      <c r="D233">
        <v>94608</v>
      </c>
      <c r="E233">
        <v>224</v>
      </c>
      <c r="F233" s="2">
        <v>5218.91</v>
      </c>
      <c r="G233" s="1">
        <v>45965</v>
      </c>
      <c r="I233" t="s">
        <v>9</v>
      </c>
      <c r="J233" s="14">
        <f>IFERROR(VLOOKUP(D233,'INf. RRHH'!$A:$B,2,0),0)</f>
        <v>2900</v>
      </c>
      <c r="K233" s="16">
        <f t="shared" si="9"/>
        <v>2318.91</v>
      </c>
      <c r="L233" s="17">
        <f t="shared" si="10"/>
        <v>966.67</v>
      </c>
      <c r="M233" s="18">
        <f t="shared" si="11"/>
        <v>3285.58</v>
      </c>
    </row>
    <row r="234" spans="1:13" x14ac:dyDescent="0.25">
      <c r="A234">
        <v>1000</v>
      </c>
      <c r="B234">
        <v>1000</v>
      </c>
      <c r="C234" s="1">
        <v>45961</v>
      </c>
      <c r="D234">
        <v>94826</v>
      </c>
      <c r="E234">
        <v>232</v>
      </c>
      <c r="F234" s="2">
        <v>5298.29</v>
      </c>
      <c r="G234" s="1">
        <v>45965</v>
      </c>
      <c r="I234" t="s">
        <v>9</v>
      </c>
      <c r="J234" s="14">
        <f>IFERROR(VLOOKUP(D234,'INf. RRHH'!$A:$B,2,0),0)</f>
        <v>2900</v>
      </c>
      <c r="K234" s="16">
        <f t="shared" si="9"/>
        <v>2398.29</v>
      </c>
      <c r="L234" s="17">
        <f t="shared" si="10"/>
        <v>966.67</v>
      </c>
      <c r="M234" s="18">
        <f t="shared" si="11"/>
        <v>3364.96</v>
      </c>
    </row>
    <row r="235" spans="1:13" x14ac:dyDescent="0.25">
      <c r="A235">
        <v>1000</v>
      </c>
      <c r="B235">
        <v>1000</v>
      </c>
      <c r="C235" s="1">
        <v>45961</v>
      </c>
      <c r="D235">
        <v>94945</v>
      </c>
      <c r="E235">
        <v>176</v>
      </c>
      <c r="F235" s="2">
        <v>4546.05</v>
      </c>
      <c r="G235" s="1">
        <v>45965</v>
      </c>
      <c r="I235" t="s">
        <v>9</v>
      </c>
      <c r="J235" s="14">
        <f>IFERROR(VLOOKUP(D235,'INf. RRHH'!$A:$B,2,0),0)</f>
        <v>2900</v>
      </c>
      <c r="K235" s="16">
        <f t="shared" si="9"/>
        <v>1646.0500000000002</v>
      </c>
      <c r="L235" s="17">
        <f t="shared" si="10"/>
        <v>966.67</v>
      </c>
      <c r="M235" s="18">
        <f t="shared" si="11"/>
        <v>2612.7200000000003</v>
      </c>
    </row>
    <row r="236" spans="1:13" x14ac:dyDescent="0.25">
      <c r="A236">
        <v>1000</v>
      </c>
      <c r="B236">
        <v>1000</v>
      </c>
      <c r="C236" s="1">
        <v>45961</v>
      </c>
      <c r="D236">
        <v>95170</v>
      </c>
      <c r="E236">
        <v>240</v>
      </c>
      <c r="F236" s="2">
        <v>5378.85</v>
      </c>
      <c r="G236" s="1">
        <v>45965</v>
      </c>
      <c r="I236" t="s">
        <v>9</v>
      </c>
      <c r="J236" s="14">
        <f>IFERROR(VLOOKUP(D236,'INf. RRHH'!$A:$B,2,0),0)</f>
        <v>2900</v>
      </c>
      <c r="K236" s="16">
        <f t="shared" si="9"/>
        <v>2478.8500000000004</v>
      </c>
      <c r="L236" s="17">
        <f t="shared" si="10"/>
        <v>966.67</v>
      </c>
      <c r="M236" s="18">
        <f t="shared" si="11"/>
        <v>3445.5200000000004</v>
      </c>
    </row>
    <row r="237" spans="1:13" x14ac:dyDescent="0.25">
      <c r="A237">
        <v>1000</v>
      </c>
      <c r="B237">
        <v>1000</v>
      </c>
      <c r="C237" s="1">
        <v>45961</v>
      </c>
      <c r="D237">
        <v>95275</v>
      </c>
      <c r="E237">
        <v>240</v>
      </c>
      <c r="F237" s="2">
        <v>4968.28</v>
      </c>
      <c r="G237" s="1">
        <v>45965</v>
      </c>
      <c r="I237" t="s">
        <v>9</v>
      </c>
      <c r="J237" s="14">
        <f>IFERROR(VLOOKUP(D237,'INf. RRHH'!$A:$B,2,0),0)</f>
        <v>2900</v>
      </c>
      <c r="K237" s="16">
        <f t="shared" si="9"/>
        <v>2068.2799999999997</v>
      </c>
      <c r="L237" s="17">
        <f t="shared" si="10"/>
        <v>966.67</v>
      </c>
      <c r="M237" s="18">
        <f t="shared" si="11"/>
        <v>3034.95</v>
      </c>
    </row>
    <row r="238" spans="1:13" x14ac:dyDescent="0.25">
      <c r="A238">
        <v>1000</v>
      </c>
      <c r="B238">
        <v>1000</v>
      </c>
      <c r="C238" s="1">
        <v>45961</v>
      </c>
      <c r="D238">
        <v>95277</v>
      </c>
      <c r="E238">
        <v>240</v>
      </c>
      <c r="F238" s="2">
        <v>3610.03</v>
      </c>
      <c r="G238" s="1">
        <v>45965</v>
      </c>
      <c r="I238" t="s">
        <v>9</v>
      </c>
      <c r="J238" s="14">
        <f>IFERROR(VLOOKUP(D238,'INf. RRHH'!$A:$B,2,0),0)</f>
        <v>2900</v>
      </c>
      <c r="K238" s="16">
        <f t="shared" si="9"/>
        <v>710.0300000000002</v>
      </c>
      <c r="L238" s="17">
        <f t="shared" si="10"/>
        <v>966.67</v>
      </c>
      <c r="M238" s="18">
        <f t="shared" si="11"/>
        <v>1676.7000000000003</v>
      </c>
    </row>
    <row r="239" spans="1:13" x14ac:dyDescent="0.25">
      <c r="A239">
        <v>1000</v>
      </c>
      <c r="B239">
        <v>1000</v>
      </c>
      <c r="C239" s="1">
        <v>45961</v>
      </c>
      <c r="D239">
        <v>95299</v>
      </c>
      <c r="E239">
        <v>240</v>
      </c>
      <c r="F239" s="2">
        <v>2049.23</v>
      </c>
      <c r="G239" s="1">
        <v>45965</v>
      </c>
      <c r="I239" t="s">
        <v>9</v>
      </c>
      <c r="J239" s="14">
        <f>IFERROR(VLOOKUP(D239,'INf. RRHH'!$A:$B,2,0),0)</f>
        <v>0</v>
      </c>
      <c r="K239" s="16">
        <f t="shared" si="9"/>
        <v>2049.23</v>
      </c>
      <c r="L239" s="17">
        <f t="shared" si="10"/>
        <v>0</v>
      </c>
      <c r="M239" s="18">
        <f t="shared" si="11"/>
        <v>2049.23</v>
      </c>
    </row>
    <row r="240" spans="1:13" x14ac:dyDescent="0.25">
      <c r="A240">
        <v>1000</v>
      </c>
      <c r="B240">
        <v>1000</v>
      </c>
      <c r="C240" s="1">
        <v>45961</v>
      </c>
      <c r="D240">
        <v>95359</v>
      </c>
      <c r="E240">
        <v>232</v>
      </c>
      <c r="F240" s="2">
        <v>5134.2299999999996</v>
      </c>
      <c r="G240" s="1">
        <v>45965</v>
      </c>
      <c r="I240" t="s">
        <v>9</v>
      </c>
      <c r="J240" s="14">
        <f>IFERROR(VLOOKUP(D240,'INf. RRHH'!$A:$B,2,0),0)</f>
        <v>2900</v>
      </c>
      <c r="K240" s="16">
        <f t="shared" si="9"/>
        <v>2234.2299999999996</v>
      </c>
      <c r="L240" s="17">
        <f t="shared" si="10"/>
        <v>966.67</v>
      </c>
      <c r="M240" s="18">
        <f t="shared" si="11"/>
        <v>3200.8999999999996</v>
      </c>
    </row>
    <row r="241" spans="1:13" x14ac:dyDescent="0.25">
      <c r="A241">
        <v>1000</v>
      </c>
      <c r="B241">
        <v>1000</v>
      </c>
      <c r="C241" s="1">
        <v>45961</v>
      </c>
      <c r="D241">
        <v>95374</v>
      </c>
      <c r="E241">
        <v>224</v>
      </c>
      <c r="F241" s="2">
        <v>4828.67</v>
      </c>
      <c r="G241" s="1">
        <v>45965</v>
      </c>
      <c r="I241" t="s">
        <v>9</v>
      </c>
      <c r="J241" s="14">
        <f>IFERROR(VLOOKUP(D241,'INf. RRHH'!$A:$B,2,0),0)</f>
        <v>2900</v>
      </c>
      <c r="K241" s="16">
        <f t="shared" si="9"/>
        <v>1928.67</v>
      </c>
      <c r="L241" s="17">
        <f t="shared" si="10"/>
        <v>966.67</v>
      </c>
      <c r="M241" s="18">
        <f t="shared" si="11"/>
        <v>2895.34</v>
      </c>
    </row>
    <row r="242" spans="1:13" x14ac:dyDescent="0.25">
      <c r="A242">
        <v>1000</v>
      </c>
      <c r="B242">
        <v>1000</v>
      </c>
      <c r="C242" s="1">
        <v>45961</v>
      </c>
      <c r="D242">
        <v>7018</v>
      </c>
      <c r="E242">
        <v>328.5</v>
      </c>
      <c r="F242" s="2">
        <v>7350.17</v>
      </c>
      <c r="G242" s="1">
        <v>45965</v>
      </c>
      <c r="I242" t="s">
        <v>9</v>
      </c>
      <c r="J242" s="14">
        <f>IFERROR(VLOOKUP(D242,'INf. RRHH'!$A:$B,2,0),0)</f>
        <v>2900</v>
      </c>
      <c r="K242" s="16">
        <f t="shared" si="9"/>
        <v>4450.17</v>
      </c>
      <c r="L242" s="17">
        <f t="shared" si="10"/>
        <v>966.67</v>
      </c>
      <c r="M242" s="18">
        <f t="shared" si="11"/>
        <v>5416.84</v>
      </c>
    </row>
    <row r="243" spans="1:13" x14ac:dyDescent="0.25">
      <c r="A243">
        <v>1000</v>
      </c>
      <c r="B243">
        <v>1000</v>
      </c>
      <c r="C243" s="1">
        <v>45961</v>
      </c>
      <c r="D243">
        <v>7756</v>
      </c>
      <c r="E243">
        <v>314</v>
      </c>
      <c r="F243" s="2">
        <v>6432.88</v>
      </c>
      <c r="G243" s="1">
        <v>45965</v>
      </c>
      <c r="I243" t="s">
        <v>9</v>
      </c>
      <c r="J243" s="14">
        <f>IFERROR(VLOOKUP(D243,'INf. RRHH'!$A:$B,2,0),0)</f>
        <v>2900</v>
      </c>
      <c r="K243" s="16">
        <f t="shared" si="9"/>
        <v>3532.88</v>
      </c>
      <c r="L243" s="17">
        <f t="shared" si="10"/>
        <v>966.67</v>
      </c>
      <c r="M243" s="18">
        <f t="shared" si="11"/>
        <v>4499.55</v>
      </c>
    </row>
    <row r="244" spans="1:13" x14ac:dyDescent="0.25">
      <c r="A244">
        <v>1000</v>
      </c>
      <c r="B244">
        <v>1000</v>
      </c>
      <c r="C244" s="1">
        <v>45961</v>
      </c>
      <c r="D244">
        <v>9394</v>
      </c>
      <c r="E244">
        <v>1920</v>
      </c>
      <c r="F244" s="2">
        <v>8481.07</v>
      </c>
      <c r="G244" s="1">
        <v>45965</v>
      </c>
      <c r="I244" t="s">
        <v>9</v>
      </c>
      <c r="J244" s="14">
        <f>IFERROR(VLOOKUP(D244,'INf. RRHH'!$A:$B,2,0),0)</f>
        <v>0</v>
      </c>
      <c r="K244" s="16">
        <f t="shared" si="9"/>
        <v>8481.07</v>
      </c>
      <c r="L244" s="17">
        <f t="shared" si="10"/>
        <v>0</v>
      </c>
      <c r="M244" s="18">
        <f t="shared" si="11"/>
        <v>8481.07</v>
      </c>
    </row>
    <row r="245" spans="1:13" x14ac:dyDescent="0.25">
      <c r="A245">
        <v>1000</v>
      </c>
      <c r="B245">
        <v>1000</v>
      </c>
      <c r="C245" s="1">
        <v>45961</v>
      </c>
      <c r="D245">
        <v>90574</v>
      </c>
      <c r="E245">
        <v>224</v>
      </c>
      <c r="F245" s="2">
        <v>5242.2299999999996</v>
      </c>
      <c r="G245" s="1">
        <v>45965</v>
      </c>
      <c r="I245" t="s">
        <v>9</v>
      </c>
      <c r="J245" s="14">
        <f>IFERROR(VLOOKUP(D245,'INf. RRHH'!$A:$B,2,0),0)</f>
        <v>2900</v>
      </c>
      <c r="K245" s="16">
        <f t="shared" si="9"/>
        <v>2342.2299999999996</v>
      </c>
      <c r="L245" s="17">
        <f t="shared" si="10"/>
        <v>966.67</v>
      </c>
      <c r="M245" s="18">
        <f t="shared" si="11"/>
        <v>3308.8999999999996</v>
      </c>
    </row>
    <row r="246" spans="1:13" x14ac:dyDescent="0.25">
      <c r="A246">
        <v>1000</v>
      </c>
      <c r="B246">
        <v>1000</v>
      </c>
      <c r="C246" s="1">
        <v>45961</v>
      </c>
      <c r="D246">
        <v>90793</v>
      </c>
      <c r="E246">
        <v>320</v>
      </c>
      <c r="F246" s="2">
        <v>6044.34</v>
      </c>
      <c r="G246" s="1">
        <v>45965</v>
      </c>
      <c r="I246" t="s">
        <v>9</v>
      </c>
      <c r="J246" s="14">
        <f>IFERROR(VLOOKUP(D246,'INf. RRHH'!$A:$B,2,0),0)</f>
        <v>2900</v>
      </c>
      <c r="K246" s="16">
        <f t="shared" si="9"/>
        <v>3144.34</v>
      </c>
      <c r="L246" s="17">
        <f t="shared" si="10"/>
        <v>966.67</v>
      </c>
      <c r="M246" s="18">
        <f t="shared" si="11"/>
        <v>4111.01</v>
      </c>
    </row>
    <row r="247" spans="1:13" x14ac:dyDescent="0.25">
      <c r="A247">
        <v>1000</v>
      </c>
      <c r="B247">
        <v>1000</v>
      </c>
      <c r="C247" s="1">
        <v>45961</v>
      </c>
      <c r="D247">
        <v>90829</v>
      </c>
      <c r="E247">
        <v>335</v>
      </c>
      <c r="F247" s="2">
        <v>5885.06</v>
      </c>
      <c r="G247" s="1">
        <v>45965</v>
      </c>
      <c r="I247" t="s">
        <v>9</v>
      </c>
      <c r="J247" s="14">
        <f>IFERROR(VLOOKUP(D247,'INf. RRHH'!$A:$B,2,0),0)</f>
        <v>2900</v>
      </c>
      <c r="K247" s="16">
        <f t="shared" si="9"/>
        <v>2985.0600000000004</v>
      </c>
      <c r="L247" s="17">
        <f t="shared" si="10"/>
        <v>966.67</v>
      </c>
      <c r="M247" s="18">
        <f t="shared" si="11"/>
        <v>3951.7300000000005</v>
      </c>
    </row>
    <row r="248" spans="1:13" x14ac:dyDescent="0.25">
      <c r="A248">
        <v>1000</v>
      </c>
      <c r="B248">
        <v>1000</v>
      </c>
      <c r="C248" s="1">
        <v>45961</v>
      </c>
      <c r="D248">
        <v>90838</v>
      </c>
      <c r="E248">
        <v>243</v>
      </c>
      <c r="F248" s="2">
        <v>5148.87</v>
      </c>
      <c r="G248" s="1">
        <v>45965</v>
      </c>
      <c r="I248" t="s">
        <v>9</v>
      </c>
      <c r="J248" s="14">
        <f>IFERROR(VLOOKUP(D248,'INf. RRHH'!$A:$B,2,0),0)</f>
        <v>2900</v>
      </c>
      <c r="K248" s="16">
        <f t="shared" si="9"/>
        <v>2248.87</v>
      </c>
      <c r="L248" s="17">
        <f t="shared" si="10"/>
        <v>966.67</v>
      </c>
      <c r="M248" s="18">
        <f t="shared" si="11"/>
        <v>3215.54</v>
      </c>
    </row>
    <row r="249" spans="1:13" x14ac:dyDescent="0.25">
      <c r="A249">
        <v>1000</v>
      </c>
      <c r="B249">
        <v>1000</v>
      </c>
      <c r="C249" s="1">
        <v>45961</v>
      </c>
      <c r="D249">
        <v>90871</v>
      </c>
      <c r="E249">
        <v>80</v>
      </c>
      <c r="F249" s="2">
        <v>4582.07</v>
      </c>
      <c r="G249" s="1">
        <v>45965</v>
      </c>
      <c r="I249" t="s">
        <v>9</v>
      </c>
      <c r="J249" s="14">
        <f>IFERROR(VLOOKUP(D249,'INf. RRHH'!$A:$B,2,0),0)</f>
        <v>2900</v>
      </c>
      <c r="K249" s="16">
        <f t="shared" si="9"/>
        <v>1682.0699999999997</v>
      </c>
      <c r="L249" s="17">
        <f t="shared" si="10"/>
        <v>966.67</v>
      </c>
      <c r="M249" s="18">
        <f t="shared" si="11"/>
        <v>2648.74</v>
      </c>
    </row>
    <row r="250" spans="1:13" x14ac:dyDescent="0.25">
      <c r="A250">
        <v>1000</v>
      </c>
      <c r="B250">
        <v>1000</v>
      </c>
      <c r="C250" s="1">
        <v>45961</v>
      </c>
      <c r="D250">
        <v>90944</v>
      </c>
      <c r="E250">
        <v>272</v>
      </c>
      <c r="F250" s="2">
        <v>6620.87</v>
      </c>
      <c r="G250" s="1">
        <v>45965</v>
      </c>
      <c r="I250" t="s">
        <v>9</v>
      </c>
      <c r="J250" s="14">
        <f>IFERROR(VLOOKUP(D250,'INf. RRHH'!$A:$B,2,0),0)</f>
        <v>2900</v>
      </c>
      <c r="K250" s="16">
        <f t="shared" si="9"/>
        <v>3720.87</v>
      </c>
      <c r="L250" s="17">
        <f t="shared" si="10"/>
        <v>966.67</v>
      </c>
      <c r="M250" s="18">
        <f t="shared" si="11"/>
        <v>4687.54</v>
      </c>
    </row>
    <row r="251" spans="1:13" x14ac:dyDescent="0.25">
      <c r="A251">
        <v>1000</v>
      </c>
      <c r="B251">
        <v>1000</v>
      </c>
      <c r="C251" s="1">
        <v>45961</v>
      </c>
      <c r="D251">
        <v>91737</v>
      </c>
      <c r="E251">
        <v>365</v>
      </c>
      <c r="F251" s="2">
        <v>6042.06</v>
      </c>
      <c r="G251" s="1">
        <v>45965</v>
      </c>
      <c r="I251" t="s">
        <v>9</v>
      </c>
      <c r="J251" s="14">
        <f>IFERROR(VLOOKUP(D251,'INf. RRHH'!$A:$B,2,0),0)</f>
        <v>2900</v>
      </c>
      <c r="K251" s="16">
        <f t="shared" si="9"/>
        <v>3142.0600000000004</v>
      </c>
      <c r="L251" s="17">
        <f t="shared" si="10"/>
        <v>966.67</v>
      </c>
      <c r="M251" s="18">
        <f t="shared" si="11"/>
        <v>4108.7300000000005</v>
      </c>
    </row>
    <row r="252" spans="1:13" x14ac:dyDescent="0.25">
      <c r="A252">
        <v>1000</v>
      </c>
      <c r="B252">
        <v>1000</v>
      </c>
      <c r="C252" s="1">
        <v>45961</v>
      </c>
      <c r="D252">
        <v>91954</v>
      </c>
      <c r="E252">
        <v>291.5</v>
      </c>
      <c r="F252" s="2">
        <v>7330.33</v>
      </c>
      <c r="G252" s="1">
        <v>45965</v>
      </c>
      <c r="I252" t="s">
        <v>9</v>
      </c>
      <c r="J252" s="14">
        <f>IFERROR(VLOOKUP(D252,'INf. RRHH'!$A:$B,2,0),0)</f>
        <v>2900</v>
      </c>
      <c r="K252" s="16">
        <f t="shared" si="9"/>
        <v>4430.33</v>
      </c>
      <c r="L252" s="17">
        <f t="shared" si="10"/>
        <v>966.67</v>
      </c>
      <c r="M252" s="18">
        <f t="shared" si="11"/>
        <v>5397</v>
      </c>
    </row>
    <row r="253" spans="1:13" x14ac:dyDescent="0.25">
      <c r="A253">
        <v>1000</v>
      </c>
      <c r="B253">
        <v>1000</v>
      </c>
      <c r="C253" s="1">
        <v>45961</v>
      </c>
      <c r="D253">
        <v>91959</v>
      </c>
      <c r="E253">
        <v>154</v>
      </c>
      <c r="F253" s="2">
        <v>4866.26</v>
      </c>
      <c r="G253" s="1">
        <v>45965</v>
      </c>
      <c r="I253" t="s">
        <v>9</v>
      </c>
      <c r="J253" s="14">
        <f>IFERROR(VLOOKUP(D253,'INf. RRHH'!$A:$B,2,0),0)</f>
        <v>2900</v>
      </c>
      <c r="K253" s="16">
        <f t="shared" si="9"/>
        <v>1966.2600000000002</v>
      </c>
      <c r="L253" s="17">
        <f t="shared" si="10"/>
        <v>966.67</v>
      </c>
      <c r="M253" s="18">
        <f t="shared" si="11"/>
        <v>2932.9300000000003</v>
      </c>
    </row>
    <row r="254" spans="1:13" x14ac:dyDescent="0.25">
      <c r="A254">
        <v>1000</v>
      </c>
      <c r="B254">
        <v>1000</v>
      </c>
      <c r="C254" s="1">
        <v>45961</v>
      </c>
      <c r="D254">
        <v>92198</v>
      </c>
      <c r="E254">
        <v>348</v>
      </c>
      <c r="F254" s="2">
        <v>6113.38</v>
      </c>
      <c r="G254" s="1">
        <v>45965</v>
      </c>
      <c r="I254" t="s">
        <v>9</v>
      </c>
      <c r="J254" s="14">
        <f>IFERROR(VLOOKUP(D254,'INf. RRHH'!$A:$B,2,0),0)</f>
        <v>2900</v>
      </c>
      <c r="K254" s="16">
        <f t="shared" si="9"/>
        <v>3213.38</v>
      </c>
      <c r="L254" s="17">
        <f t="shared" si="10"/>
        <v>966.67</v>
      </c>
      <c r="M254" s="18">
        <f t="shared" si="11"/>
        <v>4180.05</v>
      </c>
    </row>
    <row r="255" spans="1:13" x14ac:dyDescent="0.25">
      <c r="A255">
        <v>1000</v>
      </c>
      <c r="B255">
        <v>1000</v>
      </c>
      <c r="C255" s="1">
        <v>45961</v>
      </c>
      <c r="D255">
        <v>92827</v>
      </c>
      <c r="E255">
        <v>240</v>
      </c>
      <c r="F255" s="2">
        <v>5378.58</v>
      </c>
      <c r="G255" s="1">
        <v>45965</v>
      </c>
      <c r="I255" t="s">
        <v>9</v>
      </c>
      <c r="J255" s="14">
        <f>IFERROR(VLOOKUP(D255,'INf. RRHH'!$A:$B,2,0),0)</f>
        <v>2900</v>
      </c>
      <c r="K255" s="16">
        <f t="shared" si="9"/>
        <v>2478.58</v>
      </c>
      <c r="L255" s="17">
        <f t="shared" si="10"/>
        <v>966.67</v>
      </c>
      <c r="M255" s="18">
        <f t="shared" si="11"/>
        <v>3445.25</v>
      </c>
    </row>
    <row r="256" spans="1:13" x14ac:dyDescent="0.25">
      <c r="A256">
        <v>1000</v>
      </c>
      <c r="B256">
        <v>1000</v>
      </c>
      <c r="C256" s="1">
        <v>45961</v>
      </c>
      <c r="D256">
        <v>93169</v>
      </c>
      <c r="E256">
        <v>333</v>
      </c>
      <c r="F256" s="2">
        <v>6057.54</v>
      </c>
      <c r="G256" s="1">
        <v>45965</v>
      </c>
      <c r="I256" t="s">
        <v>9</v>
      </c>
      <c r="J256" s="14">
        <f>IFERROR(VLOOKUP(D256,'INf. RRHH'!$A:$B,2,0),0)</f>
        <v>2900</v>
      </c>
      <c r="K256" s="16">
        <f t="shared" si="9"/>
        <v>3157.54</v>
      </c>
      <c r="L256" s="17">
        <f t="shared" si="10"/>
        <v>966.67</v>
      </c>
      <c r="M256" s="18">
        <f t="shared" si="11"/>
        <v>4124.21</v>
      </c>
    </row>
    <row r="257" spans="1:13" x14ac:dyDescent="0.25">
      <c r="A257">
        <v>1000</v>
      </c>
      <c r="B257">
        <v>1000</v>
      </c>
      <c r="C257" s="1">
        <v>45961</v>
      </c>
      <c r="D257">
        <v>93698</v>
      </c>
      <c r="E257">
        <v>279.85000000000002</v>
      </c>
      <c r="F257" s="2">
        <v>5820.17</v>
      </c>
      <c r="G257" s="1">
        <v>45965</v>
      </c>
      <c r="I257" t="s">
        <v>9</v>
      </c>
      <c r="J257" s="14">
        <f>IFERROR(VLOOKUP(D257,'INf. RRHH'!$A:$B,2,0),0)</f>
        <v>2900</v>
      </c>
      <c r="K257" s="16">
        <f t="shared" si="9"/>
        <v>2920.17</v>
      </c>
      <c r="L257" s="17">
        <f t="shared" si="10"/>
        <v>966.67</v>
      </c>
      <c r="M257" s="18">
        <f t="shared" si="11"/>
        <v>3886.84</v>
      </c>
    </row>
    <row r="258" spans="1:13" x14ac:dyDescent="0.25">
      <c r="A258">
        <v>1000</v>
      </c>
      <c r="B258">
        <v>1000</v>
      </c>
      <c r="C258" s="1">
        <v>45961</v>
      </c>
      <c r="D258">
        <v>93699</v>
      </c>
      <c r="E258">
        <v>232.43</v>
      </c>
      <c r="F258" s="2">
        <v>5292.58</v>
      </c>
      <c r="G258" s="1">
        <v>45965</v>
      </c>
      <c r="I258" t="s">
        <v>9</v>
      </c>
      <c r="J258" s="14">
        <f>IFERROR(VLOOKUP(D258,'INf. RRHH'!$A:$B,2,0),0)</f>
        <v>2900</v>
      </c>
      <c r="K258" s="16">
        <f t="shared" si="9"/>
        <v>2392.58</v>
      </c>
      <c r="L258" s="17">
        <f t="shared" si="10"/>
        <v>966.67</v>
      </c>
      <c r="M258" s="18">
        <f t="shared" si="11"/>
        <v>3359.25</v>
      </c>
    </row>
    <row r="259" spans="1:13" x14ac:dyDescent="0.25">
      <c r="A259">
        <v>1000</v>
      </c>
      <c r="B259">
        <v>1000</v>
      </c>
      <c r="C259" s="1">
        <v>45961</v>
      </c>
      <c r="D259">
        <v>93732</v>
      </c>
      <c r="E259">
        <v>350</v>
      </c>
      <c r="F259" s="2">
        <v>5782.08</v>
      </c>
      <c r="G259" s="1">
        <v>45965</v>
      </c>
      <c r="I259" t="s">
        <v>9</v>
      </c>
      <c r="J259" s="14">
        <f>IFERROR(VLOOKUP(D259,'INf. RRHH'!$A:$B,2,0),0)</f>
        <v>2900</v>
      </c>
      <c r="K259" s="16">
        <f t="shared" ref="K259:K322" si="12">+F259-J259</f>
        <v>2882.08</v>
      </c>
      <c r="L259" s="17">
        <f t="shared" ref="L259:L322" si="13">ROUND(J259/3,2)</f>
        <v>966.67</v>
      </c>
      <c r="M259" s="18">
        <f t="shared" ref="M259:M322" si="14">+K259+L259</f>
        <v>3848.75</v>
      </c>
    </row>
    <row r="260" spans="1:13" x14ac:dyDescent="0.25">
      <c r="A260">
        <v>1000</v>
      </c>
      <c r="B260">
        <v>1000</v>
      </c>
      <c r="C260" s="1">
        <v>45961</v>
      </c>
      <c r="D260">
        <v>93795</v>
      </c>
      <c r="E260">
        <v>232</v>
      </c>
      <c r="F260" s="2">
        <v>5258.94</v>
      </c>
      <c r="G260" s="1">
        <v>45965</v>
      </c>
      <c r="I260" t="s">
        <v>9</v>
      </c>
      <c r="J260" s="14">
        <f>IFERROR(VLOOKUP(D260,'INf. RRHH'!$A:$B,2,0),0)</f>
        <v>2900</v>
      </c>
      <c r="K260" s="16">
        <f t="shared" si="12"/>
        <v>2358.9399999999996</v>
      </c>
      <c r="L260" s="17">
        <f t="shared" si="13"/>
        <v>966.67</v>
      </c>
      <c r="M260" s="18">
        <f t="shared" si="14"/>
        <v>3325.6099999999997</v>
      </c>
    </row>
    <row r="261" spans="1:13" x14ac:dyDescent="0.25">
      <c r="A261">
        <v>1000</v>
      </c>
      <c r="B261">
        <v>1000</v>
      </c>
      <c r="C261" s="1">
        <v>45961</v>
      </c>
      <c r="D261">
        <v>93878</v>
      </c>
      <c r="E261">
        <v>200</v>
      </c>
      <c r="F261" s="2">
        <v>4856.1400000000003</v>
      </c>
      <c r="G261" s="1">
        <v>45965</v>
      </c>
      <c r="I261" t="s">
        <v>9</v>
      </c>
      <c r="J261" s="14">
        <f>IFERROR(VLOOKUP(D261,'INf. RRHH'!$A:$B,2,0),0)</f>
        <v>2900</v>
      </c>
      <c r="K261" s="16">
        <f t="shared" si="12"/>
        <v>1956.1400000000003</v>
      </c>
      <c r="L261" s="17">
        <f t="shared" si="13"/>
        <v>966.67</v>
      </c>
      <c r="M261" s="18">
        <f t="shared" si="14"/>
        <v>2922.8100000000004</v>
      </c>
    </row>
    <row r="262" spans="1:13" x14ac:dyDescent="0.25">
      <c r="A262">
        <v>1000</v>
      </c>
      <c r="B262">
        <v>1000</v>
      </c>
      <c r="C262" s="1">
        <v>45961</v>
      </c>
      <c r="D262">
        <v>93993</v>
      </c>
      <c r="E262">
        <v>232</v>
      </c>
      <c r="F262" s="2">
        <v>5298.03</v>
      </c>
      <c r="G262" s="1">
        <v>45965</v>
      </c>
      <c r="I262" t="s">
        <v>9</v>
      </c>
      <c r="J262" s="14">
        <f>IFERROR(VLOOKUP(D262,'INf. RRHH'!$A:$B,2,0),0)</f>
        <v>2900</v>
      </c>
      <c r="K262" s="16">
        <f t="shared" si="12"/>
        <v>2398.0299999999997</v>
      </c>
      <c r="L262" s="17">
        <f t="shared" si="13"/>
        <v>966.67</v>
      </c>
      <c r="M262" s="18">
        <f t="shared" si="14"/>
        <v>3364.7</v>
      </c>
    </row>
    <row r="263" spans="1:13" x14ac:dyDescent="0.25">
      <c r="A263">
        <v>1000</v>
      </c>
      <c r="B263">
        <v>1000</v>
      </c>
      <c r="C263" s="1">
        <v>45961</v>
      </c>
      <c r="D263">
        <v>94127</v>
      </c>
      <c r="E263">
        <v>241</v>
      </c>
      <c r="F263" s="2">
        <v>5403.72</v>
      </c>
      <c r="G263" s="1">
        <v>45965</v>
      </c>
      <c r="I263" t="s">
        <v>9</v>
      </c>
      <c r="J263" s="14">
        <f>IFERROR(VLOOKUP(D263,'INf. RRHH'!$A:$B,2,0),0)</f>
        <v>2900</v>
      </c>
      <c r="K263" s="16">
        <f t="shared" si="12"/>
        <v>2503.7200000000003</v>
      </c>
      <c r="L263" s="17">
        <f t="shared" si="13"/>
        <v>966.67</v>
      </c>
      <c r="M263" s="18">
        <f t="shared" si="14"/>
        <v>3470.3900000000003</v>
      </c>
    </row>
    <row r="264" spans="1:13" x14ac:dyDescent="0.25">
      <c r="A264">
        <v>1000</v>
      </c>
      <c r="B264">
        <v>1000</v>
      </c>
      <c r="C264" s="1">
        <v>45961</v>
      </c>
      <c r="D264">
        <v>94276</v>
      </c>
      <c r="E264">
        <v>232</v>
      </c>
      <c r="F264" s="2">
        <v>5297.81</v>
      </c>
      <c r="G264" s="1">
        <v>45965</v>
      </c>
      <c r="I264" t="s">
        <v>9</v>
      </c>
      <c r="J264" s="14">
        <f>IFERROR(VLOOKUP(D264,'INf. RRHH'!$A:$B,2,0),0)</f>
        <v>2900</v>
      </c>
      <c r="K264" s="16">
        <f t="shared" si="12"/>
        <v>2397.8100000000004</v>
      </c>
      <c r="L264" s="17">
        <f t="shared" si="13"/>
        <v>966.67</v>
      </c>
      <c r="M264" s="18">
        <f t="shared" si="14"/>
        <v>3364.4800000000005</v>
      </c>
    </row>
    <row r="265" spans="1:13" x14ac:dyDescent="0.25">
      <c r="A265">
        <v>1000</v>
      </c>
      <c r="B265">
        <v>1000</v>
      </c>
      <c r="C265" s="1">
        <v>45961</v>
      </c>
      <c r="D265">
        <v>94538</v>
      </c>
      <c r="E265">
        <v>278.17</v>
      </c>
      <c r="F265" s="2">
        <v>5625.04</v>
      </c>
      <c r="G265" s="1">
        <v>45965</v>
      </c>
      <c r="I265" t="s">
        <v>9</v>
      </c>
      <c r="J265" s="14">
        <f>IFERROR(VLOOKUP(D265,'INf. RRHH'!$A:$B,2,0),0)</f>
        <v>2900</v>
      </c>
      <c r="K265" s="16">
        <f t="shared" si="12"/>
        <v>2725.04</v>
      </c>
      <c r="L265" s="17">
        <f t="shared" si="13"/>
        <v>966.67</v>
      </c>
      <c r="M265" s="18">
        <f t="shared" si="14"/>
        <v>3691.71</v>
      </c>
    </row>
    <row r="266" spans="1:13" x14ac:dyDescent="0.25">
      <c r="A266">
        <v>1000</v>
      </c>
      <c r="B266">
        <v>1000</v>
      </c>
      <c r="C266" s="1">
        <v>45961</v>
      </c>
      <c r="D266">
        <v>94559</v>
      </c>
      <c r="E266">
        <v>240</v>
      </c>
      <c r="F266" s="2">
        <v>5375.81</v>
      </c>
      <c r="G266" s="1">
        <v>45965</v>
      </c>
      <c r="I266" t="s">
        <v>9</v>
      </c>
      <c r="J266" s="14">
        <f>IFERROR(VLOOKUP(D266,'INf. RRHH'!$A:$B,2,0),0)</f>
        <v>2900</v>
      </c>
      <c r="K266" s="16">
        <f t="shared" si="12"/>
        <v>2475.8100000000004</v>
      </c>
      <c r="L266" s="17">
        <f t="shared" si="13"/>
        <v>966.67</v>
      </c>
      <c r="M266" s="18">
        <f t="shared" si="14"/>
        <v>3442.4800000000005</v>
      </c>
    </row>
    <row r="267" spans="1:13" x14ac:dyDescent="0.25">
      <c r="A267">
        <v>1000</v>
      </c>
      <c r="B267">
        <v>1000</v>
      </c>
      <c r="C267" s="1">
        <v>45961</v>
      </c>
      <c r="D267">
        <v>94575</v>
      </c>
      <c r="E267">
        <v>216</v>
      </c>
      <c r="F267" s="2">
        <v>4917.04</v>
      </c>
      <c r="G267" s="1">
        <v>45965</v>
      </c>
      <c r="I267" t="s">
        <v>9</v>
      </c>
      <c r="J267" s="14">
        <f>IFERROR(VLOOKUP(D267,'INf. RRHH'!$A:$B,2,0),0)</f>
        <v>2900</v>
      </c>
      <c r="K267" s="16">
        <f t="shared" si="12"/>
        <v>2017.04</v>
      </c>
      <c r="L267" s="17">
        <f t="shared" si="13"/>
        <v>966.67</v>
      </c>
      <c r="M267" s="18">
        <f t="shared" si="14"/>
        <v>2983.71</v>
      </c>
    </row>
    <row r="268" spans="1:13" x14ac:dyDescent="0.25">
      <c r="A268">
        <v>1000</v>
      </c>
      <c r="B268">
        <v>1000</v>
      </c>
      <c r="C268" s="1">
        <v>45961</v>
      </c>
      <c r="D268">
        <v>94756</v>
      </c>
      <c r="E268">
        <v>240</v>
      </c>
      <c r="F268" s="2">
        <v>5379.31</v>
      </c>
      <c r="G268" s="1">
        <v>45965</v>
      </c>
      <c r="I268" t="s">
        <v>9</v>
      </c>
      <c r="J268" s="14">
        <f>IFERROR(VLOOKUP(D268,'INf. RRHH'!$A:$B,2,0),0)</f>
        <v>2900</v>
      </c>
      <c r="K268" s="16">
        <f t="shared" si="12"/>
        <v>2479.3100000000004</v>
      </c>
      <c r="L268" s="17">
        <f t="shared" si="13"/>
        <v>966.67</v>
      </c>
      <c r="M268" s="18">
        <f t="shared" si="14"/>
        <v>3445.9800000000005</v>
      </c>
    </row>
    <row r="269" spans="1:13" x14ac:dyDescent="0.25">
      <c r="A269">
        <v>1000</v>
      </c>
      <c r="B269">
        <v>1000</v>
      </c>
      <c r="C269" s="1">
        <v>45961</v>
      </c>
      <c r="D269">
        <v>94799</v>
      </c>
      <c r="E269">
        <v>224</v>
      </c>
      <c r="F269" s="2">
        <v>5135.74</v>
      </c>
      <c r="G269" s="1">
        <v>45965</v>
      </c>
      <c r="I269" t="s">
        <v>9</v>
      </c>
      <c r="J269" s="14">
        <f>IFERROR(VLOOKUP(D269,'INf. RRHH'!$A:$B,2,0),0)</f>
        <v>2900</v>
      </c>
      <c r="K269" s="16">
        <f t="shared" si="12"/>
        <v>2235.7399999999998</v>
      </c>
      <c r="L269" s="17">
        <f t="shared" si="13"/>
        <v>966.67</v>
      </c>
      <c r="M269" s="18">
        <f t="shared" si="14"/>
        <v>3202.41</v>
      </c>
    </row>
    <row r="270" spans="1:13" x14ac:dyDescent="0.25">
      <c r="A270">
        <v>1000</v>
      </c>
      <c r="B270">
        <v>1000</v>
      </c>
      <c r="C270" s="1">
        <v>45961</v>
      </c>
      <c r="D270">
        <v>94827</v>
      </c>
      <c r="E270">
        <v>304</v>
      </c>
      <c r="F270" s="2">
        <v>5923.29</v>
      </c>
      <c r="G270" s="1">
        <v>45965</v>
      </c>
      <c r="I270" t="s">
        <v>9</v>
      </c>
      <c r="J270" s="14">
        <f>IFERROR(VLOOKUP(D270,'INf. RRHH'!$A:$B,2,0),0)</f>
        <v>2900</v>
      </c>
      <c r="K270" s="16">
        <f t="shared" si="12"/>
        <v>3023.29</v>
      </c>
      <c r="L270" s="17">
        <f t="shared" si="13"/>
        <v>966.67</v>
      </c>
      <c r="M270" s="18">
        <f t="shared" si="14"/>
        <v>3989.96</v>
      </c>
    </row>
    <row r="271" spans="1:13" x14ac:dyDescent="0.25">
      <c r="A271">
        <v>1000</v>
      </c>
      <c r="B271">
        <v>1000</v>
      </c>
      <c r="C271" s="1">
        <v>45961</v>
      </c>
      <c r="D271">
        <v>94834</v>
      </c>
      <c r="E271">
        <v>352</v>
      </c>
      <c r="F271" s="2">
        <v>5590.77</v>
      </c>
      <c r="G271" s="1">
        <v>45965</v>
      </c>
      <c r="I271" t="s">
        <v>9</v>
      </c>
      <c r="J271" s="14">
        <f>IFERROR(VLOOKUP(D271,'INf. RRHH'!$A:$B,2,0),0)</f>
        <v>2900</v>
      </c>
      <c r="K271" s="16">
        <f t="shared" si="12"/>
        <v>2690.7700000000004</v>
      </c>
      <c r="L271" s="17">
        <f t="shared" si="13"/>
        <v>966.67</v>
      </c>
      <c r="M271" s="18">
        <f t="shared" si="14"/>
        <v>3657.4400000000005</v>
      </c>
    </row>
    <row r="272" spans="1:13" x14ac:dyDescent="0.25">
      <c r="A272">
        <v>1000</v>
      </c>
      <c r="B272">
        <v>1000</v>
      </c>
      <c r="C272" s="1">
        <v>45961</v>
      </c>
      <c r="D272">
        <v>94838</v>
      </c>
      <c r="E272">
        <v>232</v>
      </c>
      <c r="F272" s="2">
        <v>2257.4</v>
      </c>
      <c r="G272" s="1">
        <v>45965</v>
      </c>
      <c r="I272" t="s">
        <v>9</v>
      </c>
      <c r="J272" s="14">
        <f>IFERROR(VLOOKUP(D272,'INf. RRHH'!$A:$B,2,0),0)</f>
        <v>0</v>
      </c>
      <c r="K272" s="16">
        <f t="shared" si="12"/>
        <v>2257.4</v>
      </c>
      <c r="L272" s="17">
        <f t="shared" si="13"/>
        <v>0</v>
      </c>
      <c r="M272" s="18">
        <f t="shared" si="14"/>
        <v>2257.4</v>
      </c>
    </row>
    <row r="273" spans="1:13" x14ac:dyDescent="0.25">
      <c r="A273">
        <v>1000</v>
      </c>
      <c r="B273">
        <v>1000</v>
      </c>
      <c r="C273" s="1">
        <v>45961</v>
      </c>
      <c r="D273">
        <v>94859</v>
      </c>
      <c r="E273">
        <v>243</v>
      </c>
      <c r="F273" s="2">
        <v>5220.3</v>
      </c>
      <c r="G273" s="1">
        <v>45965</v>
      </c>
      <c r="I273" t="s">
        <v>9</v>
      </c>
      <c r="J273" s="14">
        <f>IFERROR(VLOOKUP(D273,'INf. RRHH'!$A:$B,2,0),0)</f>
        <v>2900</v>
      </c>
      <c r="K273" s="16">
        <f t="shared" si="12"/>
        <v>2320.3000000000002</v>
      </c>
      <c r="L273" s="17">
        <f t="shared" si="13"/>
        <v>966.67</v>
      </c>
      <c r="M273" s="18">
        <f t="shared" si="14"/>
        <v>3286.9700000000003</v>
      </c>
    </row>
    <row r="274" spans="1:13" x14ac:dyDescent="0.25">
      <c r="A274">
        <v>1000</v>
      </c>
      <c r="B274">
        <v>1000</v>
      </c>
      <c r="C274" s="1">
        <v>45961</v>
      </c>
      <c r="D274">
        <v>94990</v>
      </c>
      <c r="E274">
        <v>245</v>
      </c>
      <c r="F274" s="2">
        <v>5510.04</v>
      </c>
      <c r="G274" s="1">
        <v>45965</v>
      </c>
      <c r="I274" t="s">
        <v>9</v>
      </c>
      <c r="J274" s="14">
        <f>IFERROR(VLOOKUP(D274,'INf. RRHH'!$A:$B,2,0),0)</f>
        <v>2900</v>
      </c>
      <c r="K274" s="16">
        <f t="shared" si="12"/>
        <v>2610.04</v>
      </c>
      <c r="L274" s="17">
        <f t="shared" si="13"/>
        <v>966.67</v>
      </c>
      <c r="M274" s="18">
        <f t="shared" si="14"/>
        <v>3576.71</v>
      </c>
    </row>
    <row r="275" spans="1:13" x14ac:dyDescent="0.25">
      <c r="A275">
        <v>1000</v>
      </c>
      <c r="B275">
        <v>1000</v>
      </c>
      <c r="C275" s="1">
        <v>45961</v>
      </c>
      <c r="D275">
        <v>94999</v>
      </c>
      <c r="E275">
        <v>232</v>
      </c>
      <c r="F275" s="2">
        <v>5298.56</v>
      </c>
      <c r="G275" s="1">
        <v>45965</v>
      </c>
      <c r="I275" t="s">
        <v>9</v>
      </c>
      <c r="J275" s="14">
        <f>IFERROR(VLOOKUP(D275,'INf. RRHH'!$A:$B,2,0),0)</f>
        <v>2900</v>
      </c>
      <c r="K275" s="16">
        <f t="shared" si="12"/>
        <v>2398.5600000000004</v>
      </c>
      <c r="L275" s="17">
        <f t="shared" si="13"/>
        <v>966.67</v>
      </c>
      <c r="M275" s="18">
        <f t="shared" si="14"/>
        <v>3365.2300000000005</v>
      </c>
    </row>
    <row r="276" spans="1:13" x14ac:dyDescent="0.25">
      <c r="A276">
        <v>1000</v>
      </c>
      <c r="B276">
        <v>1000</v>
      </c>
      <c r="C276" s="1">
        <v>45961</v>
      </c>
      <c r="D276">
        <v>95090</v>
      </c>
      <c r="E276">
        <v>240</v>
      </c>
      <c r="F276" s="2">
        <v>5107.87</v>
      </c>
      <c r="G276" s="1">
        <v>45965</v>
      </c>
      <c r="I276" t="s">
        <v>9</v>
      </c>
      <c r="J276" s="14">
        <f>IFERROR(VLOOKUP(D276,'INf. RRHH'!$A:$B,2,0),0)</f>
        <v>2900</v>
      </c>
      <c r="K276" s="16">
        <f t="shared" si="12"/>
        <v>2207.87</v>
      </c>
      <c r="L276" s="17">
        <f t="shared" si="13"/>
        <v>966.67</v>
      </c>
      <c r="M276" s="18">
        <f t="shared" si="14"/>
        <v>3174.54</v>
      </c>
    </row>
    <row r="277" spans="1:13" x14ac:dyDescent="0.25">
      <c r="A277">
        <v>1000</v>
      </c>
      <c r="B277">
        <v>1000</v>
      </c>
      <c r="C277" s="1">
        <v>45961</v>
      </c>
      <c r="D277">
        <v>95092</v>
      </c>
      <c r="E277">
        <v>208</v>
      </c>
      <c r="F277" s="2">
        <v>3787.46</v>
      </c>
      <c r="G277" s="1">
        <v>45965</v>
      </c>
      <c r="I277" t="s">
        <v>9</v>
      </c>
      <c r="J277" s="14">
        <f>IFERROR(VLOOKUP(D277,'INf. RRHH'!$A:$B,2,0),0)</f>
        <v>2900</v>
      </c>
      <c r="K277" s="16">
        <f t="shared" si="12"/>
        <v>887.46</v>
      </c>
      <c r="L277" s="17">
        <f t="shared" si="13"/>
        <v>966.67</v>
      </c>
      <c r="M277" s="18">
        <f t="shared" si="14"/>
        <v>1854.13</v>
      </c>
    </row>
    <row r="278" spans="1:13" x14ac:dyDescent="0.25">
      <c r="A278">
        <v>1000</v>
      </c>
      <c r="B278">
        <v>1000</v>
      </c>
      <c r="C278" s="1">
        <v>45961</v>
      </c>
      <c r="D278">
        <v>95096</v>
      </c>
      <c r="E278">
        <v>261</v>
      </c>
      <c r="F278" s="2">
        <v>5791.02</v>
      </c>
      <c r="G278" s="1">
        <v>45965</v>
      </c>
      <c r="I278" t="s">
        <v>9</v>
      </c>
      <c r="J278" s="14">
        <f>IFERROR(VLOOKUP(D278,'INf. RRHH'!$A:$B,2,0),0)</f>
        <v>2900</v>
      </c>
      <c r="K278" s="16">
        <f t="shared" si="12"/>
        <v>2891.0200000000004</v>
      </c>
      <c r="L278" s="17">
        <f t="shared" si="13"/>
        <v>966.67</v>
      </c>
      <c r="M278" s="18">
        <f t="shared" si="14"/>
        <v>3857.6900000000005</v>
      </c>
    </row>
    <row r="279" spans="1:13" x14ac:dyDescent="0.25">
      <c r="A279">
        <v>1000</v>
      </c>
      <c r="B279">
        <v>1000</v>
      </c>
      <c r="C279" s="1">
        <v>45961</v>
      </c>
      <c r="D279">
        <v>95098</v>
      </c>
      <c r="E279">
        <v>263.83</v>
      </c>
      <c r="F279" s="2">
        <v>5719.22</v>
      </c>
      <c r="G279" s="1">
        <v>45965</v>
      </c>
      <c r="I279" t="s">
        <v>9</v>
      </c>
      <c r="J279" s="14">
        <f>IFERROR(VLOOKUP(D279,'INf. RRHH'!$A:$B,2,0),0)</f>
        <v>2900</v>
      </c>
      <c r="K279" s="16">
        <f t="shared" si="12"/>
        <v>2819.2200000000003</v>
      </c>
      <c r="L279" s="17">
        <f t="shared" si="13"/>
        <v>966.67</v>
      </c>
      <c r="M279" s="18">
        <f t="shared" si="14"/>
        <v>3785.8900000000003</v>
      </c>
    </row>
    <row r="280" spans="1:13" x14ac:dyDescent="0.25">
      <c r="A280">
        <v>1000</v>
      </c>
      <c r="B280">
        <v>1000</v>
      </c>
      <c r="C280" s="1">
        <v>45961</v>
      </c>
      <c r="D280">
        <v>95099</v>
      </c>
      <c r="E280">
        <v>232</v>
      </c>
      <c r="F280" s="2">
        <v>5298.16</v>
      </c>
      <c r="G280" s="1">
        <v>45965</v>
      </c>
      <c r="I280" t="s">
        <v>9</v>
      </c>
      <c r="J280" s="14">
        <f>IFERROR(VLOOKUP(D280,'INf. RRHH'!$A:$B,2,0),0)</f>
        <v>2900</v>
      </c>
      <c r="K280" s="16">
        <f t="shared" si="12"/>
        <v>2398.16</v>
      </c>
      <c r="L280" s="17">
        <f t="shared" si="13"/>
        <v>966.67</v>
      </c>
      <c r="M280" s="18">
        <f t="shared" si="14"/>
        <v>3364.83</v>
      </c>
    </row>
    <row r="281" spans="1:13" x14ac:dyDescent="0.25">
      <c r="A281">
        <v>1000</v>
      </c>
      <c r="B281">
        <v>1000</v>
      </c>
      <c r="C281" s="1">
        <v>45961</v>
      </c>
      <c r="D281">
        <v>95128</v>
      </c>
      <c r="E281">
        <v>232</v>
      </c>
      <c r="F281" s="2">
        <v>5297.55</v>
      </c>
      <c r="G281" s="1">
        <v>45965</v>
      </c>
      <c r="I281" t="s">
        <v>9</v>
      </c>
      <c r="J281" s="14">
        <f>IFERROR(VLOOKUP(D281,'INf. RRHH'!$A:$B,2,0),0)</f>
        <v>2900</v>
      </c>
      <c r="K281" s="16">
        <f t="shared" si="12"/>
        <v>2397.5500000000002</v>
      </c>
      <c r="L281" s="17">
        <f t="shared" si="13"/>
        <v>966.67</v>
      </c>
      <c r="M281" s="18">
        <f t="shared" si="14"/>
        <v>3364.2200000000003</v>
      </c>
    </row>
    <row r="282" spans="1:13" x14ac:dyDescent="0.25">
      <c r="A282">
        <v>1000</v>
      </c>
      <c r="B282">
        <v>1000</v>
      </c>
      <c r="C282" s="1">
        <v>45961</v>
      </c>
      <c r="D282">
        <v>95476</v>
      </c>
      <c r="E282">
        <v>240</v>
      </c>
      <c r="F282" s="2">
        <v>2053.23</v>
      </c>
      <c r="G282" s="1">
        <v>45965</v>
      </c>
      <c r="I282" t="s">
        <v>9</v>
      </c>
      <c r="J282" s="14">
        <f>IFERROR(VLOOKUP(D282,'INf. RRHH'!$A:$B,2,0),0)</f>
        <v>0</v>
      </c>
      <c r="K282" s="16">
        <f t="shared" si="12"/>
        <v>2053.23</v>
      </c>
      <c r="L282" s="17">
        <f t="shared" si="13"/>
        <v>0</v>
      </c>
      <c r="M282" s="18">
        <f t="shared" si="14"/>
        <v>2053.23</v>
      </c>
    </row>
    <row r="283" spans="1:13" x14ac:dyDescent="0.25">
      <c r="A283">
        <v>1000</v>
      </c>
      <c r="B283">
        <v>1000</v>
      </c>
      <c r="C283" s="1">
        <v>45961</v>
      </c>
      <c r="D283">
        <v>94768</v>
      </c>
      <c r="E283">
        <v>0</v>
      </c>
      <c r="F283" s="2">
        <v>4.3499999999999996</v>
      </c>
      <c r="G283" s="1">
        <v>45965</v>
      </c>
      <c r="I283" t="s">
        <v>9</v>
      </c>
      <c r="J283" s="14">
        <f>IFERROR(VLOOKUP(D283,'INf. RRHH'!$A:$B,2,0),0)</f>
        <v>0</v>
      </c>
      <c r="K283" s="16">
        <f t="shared" si="12"/>
        <v>4.3499999999999996</v>
      </c>
      <c r="L283" s="17">
        <f t="shared" si="13"/>
        <v>0</v>
      </c>
      <c r="M283" s="18">
        <f t="shared" si="14"/>
        <v>4.3499999999999996</v>
      </c>
    </row>
    <row r="284" spans="1:13" x14ac:dyDescent="0.25">
      <c r="A284">
        <v>1000</v>
      </c>
      <c r="B284">
        <v>1000</v>
      </c>
      <c r="C284" s="1">
        <v>45961</v>
      </c>
      <c r="D284">
        <v>1298</v>
      </c>
      <c r="E284">
        <v>215.5</v>
      </c>
      <c r="F284" s="2">
        <v>7396.39</v>
      </c>
      <c r="G284" s="1">
        <v>45965</v>
      </c>
      <c r="I284" t="s">
        <v>9</v>
      </c>
      <c r="J284" s="14">
        <f>IFERROR(VLOOKUP(D284,'INf. RRHH'!$A:$B,2,0),0)</f>
        <v>2900</v>
      </c>
      <c r="K284" s="16">
        <f t="shared" si="12"/>
        <v>4496.3900000000003</v>
      </c>
      <c r="L284" s="17">
        <f t="shared" si="13"/>
        <v>966.67</v>
      </c>
      <c r="M284" s="18">
        <f t="shared" si="14"/>
        <v>5463.06</v>
      </c>
    </row>
    <row r="285" spans="1:13" x14ac:dyDescent="0.25">
      <c r="A285">
        <v>1000</v>
      </c>
      <c r="B285">
        <v>1000</v>
      </c>
      <c r="C285" s="1">
        <v>45961</v>
      </c>
      <c r="D285">
        <v>95306</v>
      </c>
      <c r="E285">
        <v>145</v>
      </c>
      <c r="F285" s="2">
        <v>2015.94</v>
      </c>
      <c r="G285" s="1">
        <v>45965</v>
      </c>
      <c r="I285" t="s">
        <v>9</v>
      </c>
      <c r="J285" s="14">
        <f>IFERROR(VLOOKUP(D285,'INf. RRHH'!$A:$B,2,0),0)</f>
        <v>0</v>
      </c>
      <c r="K285" s="16">
        <f t="shared" si="12"/>
        <v>2015.94</v>
      </c>
      <c r="L285" s="17">
        <f t="shared" si="13"/>
        <v>0</v>
      </c>
      <c r="M285" s="18">
        <f t="shared" si="14"/>
        <v>2015.94</v>
      </c>
    </row>
    <row r="286" spans="1:13" x14ac:dyDescent="0.25">
      <c r="A286">
        <v>1000</v>
      </c>
      <c r="B286">
        <v>1000</v>
      </c>
      <c r="C286" s="1">
        <v>45961</v>
      </c>
      <c r="D286">
        <v>95515</v>
      </c>
      <c r="E286">
        <v>512</v>
      </c>
      <c r="F286" s="2">
        <v>1133.54</v>
      </c>
      <c r="G286" s="1">
        <v>45965</v>
      </c>
      <c r="I286" t="s">
        <v>9</v>
      </c>
      <c r="J286" s="14">
        <f>IFERROR(VLOOKUP(D286,'INf. RRHH'!$A:$B,2,0),0)</f>
        <v>0</v>
      </c>
      <c r="K286" s="16">
        <f t="shared" si="12"/>
        <v>1133.54</v>
      </c>
      <c r="L286" s="17">
        <f t="shared" si="13"/>
        <v>0</v>
      </c>
      <c r="M286" s="18">
        <f t="shared" si="14"/>
        <v>1133.54</v>
      </c>
    </row>
    <row r="287" spans="1:13" x14ac:dyDescent="0.25">
      <c r="A287">
        <v>1000</v>
      </c>
      <c r="B287">
        <v>1000</v>
      </c>
      <c r="C287" s="1">
        <v>45961</v>
      </c>
      <c r="D287">
        <v>7284</v>
      </c>
      <c r="E287">
        <v>112</v>
      </c>
      <c r="F287" s="2">
        <v>4944.1000000000004</v>
      </c>
      <c r="G287" s="1">
        <v>45965</v>
      </c>
      <c r="I287" t="s">
        <v>9</v>
      </c>
      <c r="J287" s="14">
        <f>IFERROR(VLOOKUP(D287,'INf. RRHH'!$A:$B,2,0),0)</f>
        <v>2900</v>
      </c>
      <c r="K287" s="16">
        <f t="shared" si="12"/>
        <v>2044.1000000000004</v>
      </c>
      <c r="L287" s="17">
        <f t="shared" si="13"/>
        <v>966.67</v>
      </c>
      <c r="M287" s="18">
        <f t="shared" si="14"/>
        <v>3010.7700000000004</v>
      </c>
    </row>
    <row r="288" spans="1:13" x14ac:dyDescent="0.25">
      <c r="A288">
        <v>1000</v>
      </c>
      <c r="B288">
        <v>1000</v>
      </c>
      <c r="C288" s="1">
        <v>45961</v>
      </c>
      <c r="D288">
        <v>95424</v>
      </c>
      <c r="E288">
        <v>236.33</v>
      </c>
      <c r="F288" s="2">
        <v>1112.72</v>
      </c>
      <c r="G288" s="1">
        <v>45965</v>
      </c>
      <c r="I288" t="s">
        <v>9</v>
      </c>
      <c r="J288" s="14">
        <f>IFERROR(VLOOKUP(D288,'INf. RRHH'!$A:$B,2,0),0)</f>
        <v>0</v>
      </c>
      <c r="K288" s="16">
        <f t="shared" si="12"/>
        <v>1112.72</v>
      </c>
      <c r="L288" s="17">
        <f t="shared" si="13"/>
        <v>0</v>
      </c>
      <c r="M288" s="18">
        <f t="shared" si="14"/>
        <v>1112.72</v>
      </c>
    </row>
    <row r="289" spans="1:13" x14ac:dyDescent="0.25">
      <c r="A289">
        <v>1000</v>
      </c>
      <c r="B289">
        <v>1000</v>
      </c>
      <c r="C289" s="1">
        <v>45961</v>
      </c>
      <c r="D289">
        <v>7520</v>
      </c>
      <c r="E289">
        <v>265.5</v>
      </c>
      <c r="F289" s="2">
        <v>6857.24</v>
      </c>
      <c r="G289" s="1">
        <v>45965</v>
      </c>
      <c r="I289" t="s">
        <v>9</v>
      </c>
      <c r="J289" s="14">
        <f>IFERROR(VLOOKUP(D289,'INf. RRHH'!$A:$B,2,0),0)</f>
        <v>2900</v>
      </c>
      <c r="K289" s="16">
        <f t="shared" si="12"/>
        <v>3957.24</v>
      </c>
      <c r="L289" s="17">
        <f t="shared" si="13"/>
        <v>966.67</v>
      </c>
      <c r="M289" s="18">
        <f t="shared" si="14"/>
        <v>4923.91</v>
      </c>
    </row>
    <row r="290" spans="1:13" x14ac:dyDescent="0.25">
      <c r="A290">
        <v>1000</v>
      </c>
      <c r="B290">
        <v>1000</v>
      </c>
      <c r="C290" s="1">
        <v>45961</v>
      </c>
      <c r="D290">
        <v>7701</v>
      </c>
      <c r="E290">
        <v>242</v>
      </c>
      <c r="F290" s="2">
        <v>6605.27</v>
      </c>
      <c r="G290" s="1">
        <v>45965</v>
      </c>
      <c r="I290" t="s">
        <v>9</v>
      </c>
      <c r="J290" s="14">
        <f>IFERROR(VLOOKUP(D290,'INf. RRHH'!$A:$B,2,0),0)</f>
        <v>2900</v>
      </c>
      <c r="K290" s="16">
        <f t="shared" si="12"/>
        <v>3705.2700000000004</v>
      </c>
      <c r="L290" s="17">
        <f t="shared" si="13"/>
        <v>966.67</v>
      </c>
      <c r="M290" s="18">
        <f t="shared" si="14"/>
        <v>4671.9400000000005</v>
      </c>
    </row>
    <row r="291" spans="1:13" x14ac:dyDescent="0.25">
      <c r="A291">
        <v>1000</v>
      </c>
      <c r="B291">
        <v>1000</v>
      </c>
      <c r="C291" s="1">
        <v>45961</v>
      </c>
      <c r="D291">
        <v>7721</v>
      </c>
      <c r="E291">
        <v>334</v>
      </c>
      <c r="F291" s="2">
        <v>8602.35</v>
      </c>
      <c r="G291" s="1">
        <v>45965</v>
      </c>
      <c r="I291" t="s">
        <v>9</v>
      </c>
      <c r="J291" s="14">
        <f>IFERROR(VLOOKUP(D291,'INf. RRHH'!$A:$B,2,0),0)</f>
        <v>2900</v>
      </c>
      <c r="K291" s="16">
        <f t="shared" si="12"/>
        <v>5702.35</v>
      </c>
      <c r="L291" s="17">
        <f t="shared" si="13"/>
        <v>966.67</v>
      </c>
      <c r="M291" s="18">
        <f t="shared" si="14"/>
        <v>6669.02</v>
      </c>
    </row>
    <row r="292" spans="1:13" x14ac:dyDescent="0.25">
      <c r="A292">
        <v>1000</v>
      </c>
      <c r="B292">
        <v>1000</v>
      </c>
      <c r="C292" s="1">
        <v>45961</v>
      </c>
      <c r="D292">
        <v>9311</v>
      </c>
      <c r="E292">
        <v>16</v>
      </c>
      <c r="F292" s="2">
        <v>8525.91</v>
      </c>
      <c r="G292" s="1">
        <v>45965</v>
      </c>
      <c r="I292" t="s">
        <v>9</v>
      </c>
      <c r="J292" s="14">
        <f>IFERROR(VLOOKUP(D292,'INf. RRHH'!$A:$B,2,0),0)</f>
        <v>0</v>
      </c>
      <c r="K292" s="16">
        <f t="shared" si="12"/>
        <v>8525.91</v>
      </c>
      <c r="L292" s="17">
        <f t="shared" si="13"/>
        <v>0</v>
      </c>
      <c r="M292" s="18">
        <f t="shared" si="14"/>
        <v>8525.91</v>
      </c>
    </row>
    <row r="293" spans="1:13" x14ac:dyDescent="0.25">
      <c r="A293">
        <v>1000</v>
      </c>
      <c r="B293">
        <v>1000</v>
      </c>
      <c r="C293" s="1">
        <v>45961</v>
      </c>
      <c r="D293">
        <v>9516</v>
      </c>
      <c r="E293">
        <v>64</v>
      </c>
      <c r="F293" s="2">
        <v>6688.57</v>
      </c>
      <c r="G293" s="1">
        <v>45965</v>
      </c>
      <c r="I293" t="s">
        <v>9</v>
      </c>
      <c r="J293" s="14">
        <f>IFERROR(VLOOKUP(D293,'INf. RRHH'!$A:$B,2,0),0)</f>
        <v>2900</v>
      </c>
      <c r="K293" s="16">
        <f t="shared" si="12"/>
        <v>3788.5699999999997</v>
      </c>
      <c r="L293" s="17">
        <f t="shared" si="13"/>
        <v>966.67</v>
      </c>
      <c r="M293" s="18">
        <f t="shared" si="14"/>
        <v>4755.24</v>
      </c>
    </row>
    <row r="294" spans="1:13" x14ac:dyDescent="0.25">
      <c r="A294">
        <v>1000</v>
      </c>
      <c r="B294">
        <v>1000</v>
      </c>
      <c r="C294" s="1">
        <v>45961</v>
      </c>
      <c r="D294">
        <v>91030</v>
      </c>
      <c r="E294">
        <v>279</v>
      </c>
      <c r="F294" s="2">
        <v>6730.72</v>
      </c>
      <c r="G294" s="1">
        <v>45965</v>
      </c>
      <c r="I294" t="s">
        <v>9</v>
      </c>
      <c r="J294" s="14">
        <f>IFERROR(VLOOKUP(D294,'INf. RRHH'!$A:$B,2,0),0)</f>
        <v>2900</v>
      </c>
      <c r="K294" s="16">
        <f t="shared" si="12"/>
        <v>3830.7200000000003</v>
      </c>
      <c r="L294" s="17">
        <f t="shared" si="13"/>
        <v>966.67</v>
      </c>
      <c r="M294" s="18">
        <f t="shared" si="14"/>
        <v>4797.3900000000003</v>
      </c>
    </row>
    <row r="295" spans="1:13" x14ac:dyDescent="0.25">
      <c r="A295">
        <v>1000</v>
      </c>
      <c r="B295">
        <v>1000</v>
      </c>
      <c r="C295" s="1">
        <v>45961</v>
      </c>
      <c r="D295">
        <v>93203</v>
      </c>
      <c r="E295">
        <v>40</v>
      </c>
      <c r="F295" s="2">
        <v>6439.85</v>
      </c>
      <c r="G295" s="1">
        <v>45965</v>
      </c>
      <c r="I295" t="s">
        <v>9</v>
      </c>
      <c r="J295" s="14">
        <f>IFERROR(VLOOKUP(D295,'INf. RRHH'!$A:$B,2,0),0)</f>
        <v>2900</v>
      </c>
      <c r="K295" s="16">
        <f t="shared" si="12"/>
        <v>3539.8500000000004</v>
      </c>
      <c r="L295" s="17">
        <f t="shared" si="13"/>
        <v>966.67</v>
      </c>
      <c r="M295" s="18">
        <f t="shared" si="14"/>
        <v>4506.5200000000004</v>
      </c>
    </row>
    <row r="296" spans="1:13" x14ac:dyDescent="0.25">
      <c r="A296">
        <v>1000</v>
      </c>
      <c r="B296">
        <v>1000</v>
      </c>
      <c r="C296" s="1">
        <v>45961</v>
      </c>
      <c r="D296">
        <v>95071</v>
      </c>
      <c r="E296">
        <v>250</v>
      </c>
      <c r="F296" s="2">
        <v>5657.73</v>
      </c>
      <c r="G296" s="1">
        <v>45965</v>
      </c>
      <c r="I296" t="s">
        <v>9</v>
      </c>
      <c r="J296" s="14">
        <f>IFERROR(VLOOKUP(D296,'INf. RRHH'!$A:$B,2,0),0)</f>
        <v>2900</v>
      </c>
      <c r="K296" s="16">
        <f t="shared" si="12"/>
        <v>2757.7299999999996</v>
      </c>
      <c r="L296" s="17">
        <f t="shared" si="13"/>
        <v>966.67</v>
      </c>
      <c r="M296" s="18">
        <f t="shared" si="14"/>
        <v>3724.3999999999996</v>
      </c>
    </row>
    <row r="297" spans="1:13" x14ac:dyDescent="0.25">
      <c r="A297">
        <v>1000</v>
      </c>
      <c r="B297">
        <v>1000</v>
      </c>
      <c r="C297" s="1">
        <v>45961</v>
      </c>
      <c r="D297">
        <v>95433</v>
      </c>
      <c r="E297">
        <v>256</v>
      </c>
      <c r="F297" s="2">
        <v>3671.9</v>
      </c>
      <c r="G297" s="1">
        <v>45965</v>
      </c>
      <c r="I297" t="s">
        <v>9</v>
      </c>
      <c r="J297" s="14">
        <f>IFERROR(VLOOKUP(D297,'INf. RRHH'!$A:$B,2,0),0)</f>
        <v>1450</v>
      </c>
      <c r="K297" s="16">
        <f t="shared" si="12"/>
        <v>2221.9</v>
      </c>
      <c r="L297" s="17">
        <f t="shared" si="13"/>
        <v>483.33</v>
      </c>
      <c r="M297" s="18">
        <f t="shared" si="14"/>
        <v>2705.23</v>
      </c>
    </row>
    <row r="298" spans="1:13" x14ac:dyDescent="0.25">
      <c r="A298">
        <v>1000</v>
      </c>
      <c r="B298">
        <v>1000</v>
      </c>
      <c r="C298" s="1">
        <v>45961</v>
      </c>
      <c r="D298">
        <v>95442</v>
      </c>
      <c r="E298">
        <v>257</v>
      </c>
      <c r="F298" s="2">
        <v>3897.53</v>
      </c>
      <c r="G298" s="1">
        <v>45965</v>
      </c>
      <c r="I298" t="s">
        <v>9</v>
      </c>
      <c r="J298" s="14">
        <f>IFERROR(VLOOKUP(D298,'INf. RRHH'!$A:$B,2,0),0)</f>
        <v>1450</v>
      </c>
      <c r="K298" s="16">
        <f t="shared" si="12"/>
        <v>2447.5300000000002</v>
      </c>
      <c r="L298" s="17">
        <f t="shared" si="13"/>
        <v>483.33</v>
      </c>
      <c r="M298" s="18">
        <f t="shared" si="14"/>
        <v>2930.86</v>
      </c>
    </row>
    <row r="299" spans="1:13" x14ac:dyDescent="0.25">
      <c r="A299">
        <v>1000</v>
      </c>
      <c r="B299">
        <v>1000</v>
      </c>
      <c r="C299" s="1">
        <v>45961</v>
      </c>
      <c r="D299">
        <v>95443</v>
      </c>
      <c r="E299">
        <v>262</v>
      </c>
      <c r="F299" s="2">
        <v>3721.66</v>
      </c>
      <c r="G299" s="1">
        <v>45965</v>
      </c>
      <c r="I299" t="s">
        <v>9</v>
      </c>
      <c r="J299" s="14">
        <f>IFERROR(VLOOKUP(D299,'INf. RRHH'!$A:$B,2,0),0)</f>
        <v>1450</v>
      </c>
      <c r="K299" s="16">
        <f t="shared" si="12"/>
        <v>2271.66</v>
      </c>
      <c r="L299" s="17">
        <f t="shared" si="13"/>
        <v>483.33</v>
      </c>
      <c r="M299" s="18">
        <f t="shared" si="14"/>
        <v>2754.99</v>
      </c>
    </row>
    <row r="300" spans="1:13" x14ac:dyDescent="0.25">
      <c r="A300">
        <v>1000</v>
      </c>
      <c r="B300">
        <v>1000</v>
      </c>
      <c r="C300" s="1">
        <v>45961</v>
      </c>
      <c r="D300">
        <v>4353</v>
      </c>
      <c r="E300">
        <v>40</v>
      </c>
      <c r="F300" s="2">
        <v>6466.13</v>
      </c>
      <c r="G300" s="1">
        <v>45965</v>
      </c>
      <c r="I300" t="s">
        <v>9</v>
      </c>
      <c r="J300" s="14">
        <f>IFERROR(VLOOKUP(D300,'INf. RRHH'!$A:$B,2,0),0)</f>
        <v>2900</v>
      </c>
      <c r="K300" s="16">
        <f t="shared" si="12"/>
        <v>3566.13</v>
      </c>
      <c r="L300" s="17">
        <f t="shared" si="13"/>
        <v>966.67</v>
      </c>
      <c r="M300" s="18">
        <f t="shared" si="14"/>
        <v>4532.8</v>
      </c>
    </row>
    <row r="301" spans="1:13" x14ac:dyDescent="0.25">
      <c r="A301">
        <v>1000</v>
      </c>
      <c r="B301">
        <v>1000</v>
      </c>
      <c r="C301" s="1">
        <v>45961</v>
      </c>
      <c r="D301">
        <v>4953</v>
      </c>
      <c r="E301">
        <v>280.42</v>
      </c>
      <c r="F301" s="2">
        <v>6661.09</v>
      </c>
      <c r="G301" s="1">
        <v>45965</v>
      </c>
      <c r="I301" t="s">
        <v>9</v>
      </c>
      <c r="J301" s="14">
        <f>IFERROR(VLOOKUP(D301,'INf. RRHH'!$A:$B,2,0),0)</f>
        <v>2900</v>
      </c>
      <c r="K301" s="16">
        <f t="shared" si="12"/>
        <v>3761.09</v>
      </c>
      <c r="L301" s="17">
        <f t="shared" si="13"/>
        <v>966.67</v>
      </c>
      <c r="M301" s="18">
        <f t="shared" si="14"/>
        <v>4727.76</v>
      </c>
    </row>
    <row r="302" spans="1:13" x14ac:dyDescent="0.25">
      <c r="A302">
        <v>1000</v>
      </c>
      <c r="B302">
        <v>1000</v>
      </c>
      <c r="C302" s="1">
        <v>45961</v>
      </c>
      <c r="D302">
        <v>7106</v>
      </c>
      <c r="E302">
        <v>294</v>
      </c>
      <c r="F302" s="2">
        <v>7725.41</v>
      </c>
      <c r="G302" s="1">
        <v>45965</v>
      </c>
      <c r="I302" t="s">
        <v>9</v>
      </c>
      <c r="J302" s="14">
        <f>IFERROR(VLOOKUP(D302,'INf. RRHH'!$A:$B,2,0),0)</f>
        <v>2900</v>
      </c>
      <c r="K302" s="16">
        <f t="shared" si="12"/>
        <v>4825.41</v>
      </c>
      <c r="L302" s="17">
        <f t="shared" si="13"/>
        <v>966.67</v>
      </c>
      <c r="M302" s="18">
        <f t="shared" si="14"/>
        <v>5792.08</v>
      </c>
    </row>
    <row r="303" spans="1:13" x14ac:dyDescent="0.25">
      <c r="A303">
        <v>1000</v>
      </c>
      <c r="B303">
        <v>1000</v>
      </c>
      <c r="C303" s="1">
        <v>45961</v>
      </c>
      <c r="D303">
        <v>7202</v>
      </c>
      <c r="E303">
        <v>341</v>
      </c>
      <c r="F303" s="2">
        <v>7501.2</v>
      </c>
      <c r="G303" s="1">
        <v>45965</v>
      </c>
      <c r="I303" t="s">
        <v>9</v>
      </c>
      <c r="J303" s="14">
        <f>IFERROR(VLOOKUP(D303,'INf. RRHH'!$A:$B,2,0),0)</f>
        <v>2900</v>
      </c>
      <c r="K303" s="16">
        <f t="shared" si="12"/>
        <v>4601.2</v>
      </c>
      <c r="L303" s="17">
        <f t="shared" si="13"/>
        <v>966.67</v>
      </c>
      <c r="M303" s="18">
        <f t="shared" si="14"/>
        <v>5567.87</v>
      </c>
    </row>
    <row r="304" spans="1:13" x14ac:dyDescent="0.25">
      <c r="A304">
        <v>1000</v>
      </c>
      <c r="B304">
        <v>1000</v>
      </c>
      <c r="C304" s="1">
        <v>45961</v>
      </c>
      <c r="D304">
        <v>7232</v>
      </c>
      <c r="E304">
        <v>410</v>
      </c>
      <c r="F304" s="2">
        <v>7982.54</v>
      </c>
      <c r="G304" s="1">
        <v>45965</v>
      </c>
      <c r="I304" t="s">
        <v>9</v>
      </c>
      <c r="J304" s="14">
        <f>IFERROR(VLOOKUP(D304,'INf. RRHH'!$A:$B,2,0),0)</f>
        <v>2900</v>
      </c>
      <c r="K304" s="16">
        <f t="shared" si="12"/>
        <v>5082.54</v>
      </c>
      <c r="L304" s="17">
        <f t="shared" si="13"/>
        <v>966.67</v>
      </c>
      <c r="M304" s="18">
        <f t="shared" si="14"/>
        <v>6049.21</v>
      </c>
    </row>
    <row r="305" spans="1:13" x14ac:dyDescent="0.25">
      <c r="A305">
        <v>1000</v>
      </c>
      <c r="B305">
        <v>1000</v>
      </c>
      <c r="C305" s="1">
        <v>45961</v>
      </c>
      <c r="D305">
        <v>9176</v>
      </c>
      <c r="E305">
        <v>8</v>
      </c>
      <c r="F305" s="2">
        <v>49197.79</v>
      </c>
      <c r="G305" s="1">
        <v>45965</v>
      </c>
      <c r="I305" t="s">
        <v>9</v>
      </c>
      <c r="J305" s="14">
        <f>IFERROR(VLOOKUP(D305,'INf. RRHH'!$A:$B,2,0),0)</f>
        <v>0</v>
      </c>
      <c r="K305" s="16">
        <f t="shared" si="12"/>
        <v>49197.79</v>
      </c>
      <c r="L305" s="17">
        <f t="shared" si="13"/>
        <v>0</v>
      </c>
      <c r="M305" s="18">
        <f t="shared" si="14"/>
        <v>49197.79</v>
      </c>
    </row>
    <row r="306" spans="1:13" x14ac:dyDescent="0.25">
      <c r="A306">
        <v>1000</v>
      </c>
      <c r="B306">
        <v>1000</v>
      </c>
      <c r="C306" s="1">
        <v>45961</v>
      </c>
      <c r="D306">
        <v>9374</v>
      </c>
      <c r="E306">
        <v>16</v>
      </c>
      <c r="F306" s="2">
        <v>5884.07</v>
      </c>
      <c r="G306" s="1">
        <v>45965</v>
      </c>
      <c r="I306" t="s">
        <v>9</v>
      </c>
      <c r="J306" s="14">
        <f>IFERROR(VLOOKUP(D306,'INf. RRHH'!$A:$B,2,0),0)</f>
        <v>2900</v>
      </c>
      <c r="K306" s="16">
        <f t="shared" si="12"/>
        <v>2984.0699999999997</v>
      </c>
      <c r="L306" s="17">
        <f t="shared" si="13"/>
        <v>966.67</v>
      </c>
      <c r="M306" s="18">
        <f t="shared" si="14"/>
        <v>3950.74</v>
      </c>
    </row>
    <row r="307" spans="1:13" x14ac:dyDescent="0.25">
      <c r="A307">
        <v>1000</v>
      </c>
      <c r="B307">
        <v>1000</v>
      </c>
      <c r="C307" s="1">
        <v>45961</v>
      </c>
      <c r="D307">
        <v>90191</v>
      </c>
      <c r="E307">
        <v>248</v>
      </c>
      <c r="F307" s="2">
        <v>5529.23</v>
      </c>
      <c r="G307" s="1">
        <v>45965</v>
      </c>
      <c r="I307" t="s">
        <v>9</v>
      </c>
      <c r="J307" s="14">
        <f>IFERROR(VLOOKUP(D307,'INf. RRHH'!$A:$B,2,0),0)</f>
        <v>2900</v>
      </c>
      <c r="K307" s="16">
        <f t="shared" si="12"/>
        <v>2629.2299999999996</v>
      </c>
      <c r="L307" s="17">
        <f t="shared" si="13"/>
        <v>966.67</v>
      </c>
      <c r="M307" s="18">
        <f t="shared" si="14"/>
        <v>3595.8999999999996</v>
      </c>
    </row>
    <row r="308" spans="1:13" x14ac:dyDescent="0.25">
      <c r="A308">
        <v>1000</v>
      </c>
      <c r="B308">
        <v>1000</v>
      </c>
      <c r="C308" s="1">
        <v>45961</v>
      </c>
      <c r="D308">
        <v>90201</v>
      </c>
      <c r="E308">
        <v>420</v>
      </c>
      <c r="F308" s="2">
        <v>6041.58</v>
      </c>
      <c r="G308" s="1">
        <v>45965</v>
      </c>
      <c r="I308" t="s">
        <v>9</v>
      </c>
      <c r="J308" s="14">
        <f>IFERROR(VLOOKUP(D308,'INf. RRHH'!$A:$B,2,0),0)</f>
        <v>2900</v>
      </c>
      <c r="K308" s="16">
        <f t="shared" si="12"/>
        <v>3141.58</v>
      </c>
      <c r="L308" s="17">
        <f t="shared" si="13"/>
        <v>966.67</v>
      </c>
      <c r="M308" s="18">
        <f t="shared" si="14"/>
        <v>4108.25</v>
      </c>
    </row>
    <row r="309" spans="1:13" x14ac:dyDescent="0.25">
      <c r="A309">
        <v>1000</v>
      </c>
      <c r="B309">
        <v>1000</v>
      </c>
      <c r="C309" s="1">
        <v>45961</v>
      </c>
      <c r="D309">
        <v>90225</v>
      </c>
      <c r="E309">
        <v>249</v>
      </c>
      <c r="F309" s="2">
        <v>5445.4</v>
      </c>
      <c r="G309" s="1">
        <v>45965</v>
      </c>
      <c r="I309" t="s">
        <v>9</v>
      </c>
      <c r="J309" s="14">
        <f>IFERROR(VLOOKUP(D309,'INf. RRHH'!$A:$B,2,0),0)</f>
        <v>2900</v>
      </c>
      <c r="K309" s="16">
        <f t="shared" si="12"/>
        <v>2545.3999999999996</v>
      </c>
      <c r="L309" s="17">
        <f t="shared" si="13"/>
        <v>966.67</v>
      </c>
      <c r="M309" s="18">
        <f t="shared" si="14"/>
        <v>3512.0699999999997</v>
      </c>
    </row>
    <row r="310" spans="1:13" x14ac:dyDescent="0.25">
      <c r="A310">
        <v>1000</v>
      </c>
      <c r="B310">
        <v>1000</v>
      </c>
      <c r="C310" s="1">
        <v>45961</v>
      </c>
      <c r="D310">
        <v>90232</v>
      </c>
      <c r="E310">
        <v>460</v>
      </c>
      <c r="F310" s="2">
        <v>7084.9</v>
      </c>
      <c r="G310" s="1">
        <v>45965</v>
      </c>
      <c r="I310" t="s">
        <v>9</v>
      </c>
      <c r="J310" s="14">
        <f>IFERROR(VLOOKUP(D310,'INf. RRHH'!$A:$B,2,0),0)</f>
        <v>2900</v>
      </c>
      <c r="K310" s="16">
        <f t="shared" si="12"/>
        <v>4184.8999999999996</v>
      </c>
      <c r="L310" s="17">
        <f t="shared" si="13"/>
        <v>966.67</v>
      </c>
      <c r="M310" s="18">
        <f t="shared" si="14"/>
        <v>5151.57</v>
      </c>
    </row>
    <row r="311" spans="1:13" x14ac:dyDescent="0.25">
      <c r="A311">
        <v>1000</v>
      </c>
      <c r="B311">
        <v>1000</v>
      </c>
      <c r="C311" s="1">
        <v>45961</v>
      </c>
      <c r="D311">
        <v>91104</v>
      </c>
      <c r="E311">
        <v>248.75</v>
      </c>
      <c r="F311" s="2">
        <v>5540.19</v>
      </c>
      <c r="G311" s="1">
        <v>45965</v>
      </c>
      <c r="I311" t="s">
        <v>9</v>
      </c>
      <c r="J311" s="14">
        <f>IFERROR(VLOOKUP(D311,'INf. RRHH'!$A:$B,2,0),0)</f>
        <v>2900</v>
      </c>
      <c r="K311" s="16">
        <f t="shared" si="12"/>
        <v>2640.1899999999996</v>
      </c>
      <c r="L311" s="17">
        <f t="shared" si="13"/>
        <v>966.67</v>
      </c>
      <c r="M311" s="18">
        <f t="shared" si="14"/>
        <v>3606.8599999999997</v>
      </c>
    </row>
    <row r="312" spans="1:13" x14ac:dyDescent="0.25">
      <c r="A312">
        <v>1000</v>
      </c>
      <c r="B312">
        <v>1000</v>
      </c>
      <c r="C312" s="1">
        <v>45961</v>
      </c>
      <c r="D312">
        <v>91150</v>
      </c>
      <c r="E312">
        <v>0</v>
      </c>
      <c r="F312" s="2">
        <v>3568.1</v>
      </c>
      <c r="G312" s="1">
        <v>45965</v>
      </c>
      <c r="I312" t="s">
        <v>9</v>
      </c>
      <c r="J312" s="14">
        <f>IFERROR(VLOOKUP(D312,'INf. RRHH'!$A:$B,2,0),0)</f>
        <v>2900</v>
      </c>
      <c r="K312" s="16">
        <f t="shared" si="12"/>
        <v>668.09999999999991</v>
      </c>
      <c r="L312" s="17">
        <f t="shared" si="13"/>
        <v>966.67</v>
      </c>
      <c r="M312" s="18">
        <f t="shared" si="14"/>
        <v>1634.77</v>
      </c>
    </row>
    <row r="313" spans="1:13" x14ac:dyDescent="0.25">
      <c r="A313">
        <v>1000</v>
      </c>
      <c r="B313">
        <v>1000</v>
      </c>
      <c r="C313" s="1">
        <v>45961</v>
      </c>
      <c r="D313">
        <v>91250</v>
      </c>
      <c r="E313">
        <v>370</v>
      </c>
      <c r="F313" s="2">
        <v>8025.93</v>
      </c>
      <c r="G313" s="1">
        <v>45965</v>
      </c>
      <c r="I313" t="s">
        <v>9</v>
      </c>
      <c r="J313" s="14">
        <f>IFERROR(VLOOKUP(D313,'INf. RRHH'!$A:$B,2,0),0)</f>
        <v>2900</v>
      </c>
      <c r="K313" s="16">
        <f t="shared" si="12"/>
        <v>5125.93</v>
      </c>
      <c r="L313" s="17">
        <f t="shared" si="13"/>
        <v>966.67</v>
      </c>
      <c r="M313" s="18">
        <f t="shared" si="14"/>
        <v>6092.6</v>
      </c>
    </row>
    <row r="314" spans="1:13" x14ac:dyDescent="0.25">
      <c r="A314">
        <v>1000</v>
      </c>
      <c r="B314">
        <v>1000</v>
      </c>
      <c r="C314" s="1">
        <v>45961</v>
      </c>
      <c r="D314">
        <v>91280</v>
      </c>
      <c r="E314">
        <v>354.58</v>
      </c>
      <c r="F314" s="2">
        <v>8673.7199999999993</v>
      </c>
      <c r="G314" s="1">
        <v>45965</v>
      </c>
      <c r="I314" t="s">
        <v>9</v>
      </c>
      <c r="J314" s="14">
        <f>IFERROR(VLOOKUP(D314,'INf. RRHH'!$A:$B,2,0),0)</f>
        <v>2900</v>
      </c>
      <c r="K314" s="16">
        <f t="shared" si="12"/>
        <v>5773.7199999999993</v>
      </c>
      <c r="L314" s="17">
        <f t="shared" si="13"/>
        <v>966.67</v>
      </c>
      <c r="M314" s="18">
        <f t="shared" si="14"/>
        <v>6740.3899999999994</v>
      </c>
    </row>
    <row r="315" spans="1:13" x14ac:dyDescent="0.25">
      <c r="A315">
        <v>1000</v>
      </c>
      <c r="B315">
        <v>1000</v>
      </c>
      <c r="C315" s="1">
        <v>45961</v>
      </c>
      <c r="D315">
        <v>91502</v>
      </c>
      <c r="E315">
        <v>310</v>
      </c>
      <c r="F315" s="2">
        <v>5901.42</v>
      </c>
      <c r="G315" s="1">
        <v>45965</v>
      </c>
      <c r="I315" t="s">
        <v>9</v>
      </c>
      <c r="J315" s="14">
        <f>IFERROR(VLOOKUP(D315,'INf. RRHH'!$A:$B,2,0),0)</f>
        <v>2900</v>
      </c>
      <c r="K315" s="16">
        <f t="shared" si="12"/>
        <v>3001.42</v>
      </c>
      <c r="L315" s="17">
        <f t="shared" si="13"/>
        <v>966.67</v>
      </c>
      <c r="M315" s="18">
        <f t="shared" si="14"/>
        <v>3968.09</v>
      </c>
    </row>
    <row r="316" spans="1:13" x14ac:dyDescent="0.25">
      <c r="A316">
        <v>1000</v>
      </c>
      <c r="B316">
        <v>1000</v>
      </c>
      <c r="C316" s="1">
        <v>45961</v>
      </c>
      <c r="D316">
        <v>91615</v>
      </c>
      <c r="E316">
        <v>252.5</v>
      </c>
      <c r="F316" s="2">
        <v>5310.93</v>
      </c>
      <c r="G316" s="1">
        <v>45965</v>
      </c>
      <c r="I316" t="s">
        <v>9</v>
      </c>
      <c r="J316" s="14">
        <f>IFERROR(VLOOKUP(D316,'INf. RRHH'!$A:$B,2,0),0)</f>
        <v>2900</v>
      </c>
      <c r="K316" s="16">
        <f t="shared" si="12"/>
        <v>2410.9300000000003</v>
      </c>
      <c r="L316" s="17">
        <f t="shared" si="13"/>
        <v>966.67</v>
      </c>
      <c r="M316" s="18">
        <f t="shared" si="14"/>
        <v>3377.6000000000004</v>
      </c>
    </row>
    <row r="317" spans="1:13" x14ac:dyDescent="0.25">
      <c r="A317">
        <v>1000</v>
      </c>
      <c r="B317">
        <v>1000</v>
      </c>
      <c r="C317" s="1">
        <v>45961</v>
      </c>
      <c r="D317">
        <v>92007</v>
      </c>
      <c r="E317">
        <v>292</v>
      </c>
      <c r="F317" s="2">
        <v>7201.2</v>
      </c>
      <c r="G317" s="1">
        <v>45965</v>
      </c>
      <c r="I317" t="s">
        <v>9</v>
      </c>
      <c r="J317" s="14">
        <f>IFERROR(VLOOKUP(D317,'INf. RRHH'!$A:$B,2,0),0)</f>
        <v>2900</v>
      </c>
      <c r="K317" s="16">
        <f t="shared" si="12"/>
        <v>4301.2</v>
      </c>
      <c r="L317" s="17">
        <f t="shared" si="13"/>
        <v>966.67</v>
      </c>
      <c r="M317" s="18">
        <f t="shared" si="14"/>
        <v>5267.87</v>
      </c>
    </row>
    <row r="318" spans="1:13" x14ac:dyDescent="0.25">
      <c r="A318">
        <v>1000</v>
      </c>
      <c r="B318">
        <v>1000</v>
      </c>
      <c r="C318" s="1">
        <v>45961</v>
      </c>
      <c r="D318">
        <v>92442</v>
      </c>
      <c r="E318">
        <v>354.5</v>
      </c>
      <c r="F318" s="2">
        <v>7308.88</v>
      </c>
      <c r="G318" s="1">
        <v>45965</v>
      </c>
      <c r="I318" t="s">
        <v>9</v>
      </c>
      <c r="J318" s="14">
        <f>IFERROR(VLOOKUP(D318,'INf. RRHH'!$A:$B,2,0),0)</f>
        <v>2900</v>
      </c>
      <c r="K318" s="16">
        <f t="shared" si="12"/>
        <v>4408.88</v>
      </c>
      <c r="L318" s="17">
        <f t="shared" si="13"/>
        <v>966.67</v>
      </c>
      <c r="M318" s="18">
        <f t="shared" si="14"/>
        <v>5375.55</v>
      </c>
    </row>
    <row r="319" spans="1:13" x14ac:dyDescent="0.25">
      <c r="A319">
        <v>1000</v>
      </c>
      <c r="B319">
        <v>1000</v>
      </c>
      <c r="C319" s="1">
        <v>45961</v>
      </c>
      <c r="D319">
        <v>93007</v>
      </c>
      <c r="E319">
        <v>224</v>
      </c>
      <c r="F319" s="2">
        <v>5721.35</v>
      </c>
      <c r="G319" s="1">
        <v>45965</v>
      </c>
      <c r="I319" t="s">
        <v>9</v>
      </c>
      <c r="J319" s="14">
        <f>IFERROR(VLOOKUP(D319,'INf. RRHH'!$A:$B,2,0),0)</f>
        <v>2900</v>
      </c>
      <c r="K319" s="16">
        <f t="shared" si="12"/>
        <v>2821.3500000000004</v>
      </c>
      <c r="L319" s="17">
        <f t="shared" si="13"/>
        <v>966.67</v>
      </c>
      <c r="M319" s="18">
        <f t="shared" si="14"/>
        <v>3788.0200000000004</v>
      </c>
    </row>
    <row r="320" spans="1:13" x14ac:dyDescent="0.25">
      <c r="A320">
        <v>1000</v>
      </c>
      <c r="B320">
        <v>1000</v>
      </c>
      <c r="C320" s="1">
        <v>45961</v>
      </c>
      <c r="D320">
        <v>93022</v>
      </c>
      <c r="E320">
        <v>311.52</v>
      </c>
      <c r="F320" s="2">
        <v>6533.36</v>
      </c>
      <c r="G320" s="1">
        <v>45965</v>
      </c>
      <c r="I320" t="s">
        <v>9</v>
      </c>
      <c r="J320" s="14">
        <f>IFERROR(VLOOKUP(D320,'INf. RRHH'!$A:$B,2,0),0)</f>
        <v>2900</v>
      </c>
      <c r="K320" s="16">
        <f t="shared" si="12"/>
        <v>3633.3599999999997</v>
      </c>
      <c r="L320" s="17">
        <f t="shared" si="13"/>
        <v>966.67</v>
      </c>
      <c r="M320" s="18">
        <f t="shared" si="14"/>
        <v>4600.03</v>
      </c>
    </row>
    <row r="321" spans="1:13" x14ac:dyDescent="0.25">
      <c r="A321">
        <v>1000</v>
      </c>
      <c r="B321">
        <v>1000</v>
      </c>
      <c r="C321" s="1">
        <v>45961</v>
      </c>
      <c r="D321">
        <v>93030</v>
      </c>
      <c r="E321">
        <v>402</v>
      </c>
      <c r="F321" s="2">
        <v>7178.08</v>
      </c>
      <c r="G321" s="1">
        <v>45965</v>
      </c>
      <c r="I321" t="s">
        <v>9</v>
      </c>
      <c r="J321" s="14">
        <f>IFERROR(VLOOKUP(D321,'INf. RRHH'!$A:$B,2,0),0)</f>
        <v>2900</v>
      </c>
      <c r="K321" s="16">
        <f t="shared" si="12"/>
        <v>4278.08</v>
      </c>
      <c r="L321" s="17">
        <f t="shared" si="13"/>
        <v>966.67</v>
      </c>
      <c r="M321" s="18">
        <f t="shared" si="14"/>
        <v>5244.75</v>
      </c>
    </row>
    <row r="322" spans="1:13" x14ac:dyDescent="0.25">
      <c r="A322">
        <v>1000</v>
      </c>
      <c r="B322">
        <v>1000</v>
      </c>
      <c r="C322" s="1">
        <v>45961</v>
      </c>
      <c r="D322">
        <v>93440</v>
      </c>
      <c r="E322">
        <v>348</v>
      </c>
      <c r="F322" s="2">
        <v>7617.14</v>
      </c>
      <c r="G322" s="1">
        <v>45965</v>
      </c>
      <c r="I322" t="s">
        <v>9</v>
      </c>
      <c r="J322" s="14">
        <f>IFERROR(VLOOKUP(D322,'INf. RRHH'!$A:$B,2,0),0)</f>
        <v>2900</v>
      </c>
      <c r="K322" s="16">
        <f t="shared" si="12"/>
        <v>4717.1400000000003</v>
      </c>
      <c r="L322" s="17">
        <f t="shared" si="13"/>
        <v>966.67</v>
      </c>
      <c r="M322" s="18">
        <f t="shared" si="14"/>
        <v>5683.81</v>
      </c>
    </row>
    <row r="323" spans="1:13" x14ac:dyDescent="0.25">
      <c r="A323">
        <v>1000</v>
      </c>
      <c r="B323">
        <v>1000</v>
      </c>
      <c r="C323" s="1">
        <v>45961</v>
      </c>
      <c r="D323">
        <v>94261</v>
      </c>
      <c r="E323">
        <v>332.5</v>
      </c>
      <c r="F323" s="2">
        <v>7159.55</v>
      </c>
      <c r="G323" s="1">
        <v>45965</v>
      </c>
      <c r="I323" t="s">
        <v>9</v>
      </c>
      <c r="J323" s="14">
        <f>IFERROR(VLOOKUP(D323,'INf. RRHH'!$A:$B,2,0),0)</f>
        <v>2900</v>
      </c>
      <c r="K323" s="16">
        <f t="shared" ref="K323:K386" si="15">+F323-J323</f>
        <v>4259.55</v>
      </c>
      <c r="L323" s="17">
        <f t="shared" ref="L323:L386" si="16">ROUND(J323/3,2)</f>
        <v>966.67</v>
      </c>
      <c r="M323" s="18">
        <f t="shared" ref="M323:M386" si="17">+K323+L323</f>
        <v>5226.22</v>
      </c>
    </row>
    <row r="324" spans="1:13" x14ac:dyDescent="0.25">
      <c r="A324">
        <v>1000</v>
      </c>
      <c r="B324">
        <v>1000</v>
      </c>
      <c r="C324" s="1">
        <v>45961</v>
      </c>
      <c r="D324">
        <v>95017</v>
      </c>
      <c r="E324">
        <v>293.5</v>
      </c>
      <c r="F324" s="2">
        <v>6444.3</v>
      </c>
      <c r="G324" s="1">
        <v>45965</v>
      </c>
      <c r="I324" t="s">
        <v>9</v>
      </c>
      <c r="J324" s="14">
        <f>IFERROR(VLOOKUP(D324,'INf. RRHH'!$A:$B,2,0),0)</f>
        <v>2900</v>
      </c>
      <c r="K324" s="16">
        <f t="shared" si="15"/>
        <v>3544.3</v>
      </c>
      <c r="L324" s="17">
        <f t="shared" si="16"/>
        <v>966.67</v>
      </c>
      <c r="M324" s="18">
        <f t="shared" si="17"/>
        <v>4510.97</v>
      </c>
    </row>
    <row r="325" spans="1:13" x14ac:dyDescent="0.25">
      <c r="A325">
        <v>1000</v>
      </c>
      <c r="B325">
        <v>1000</v>
      </c>
      <c r="C325" s="1">
        <v>45961</v>
      </c>
      <c r="D325">
        <v>95180</v>
      </c>
      <c r="E325">
        <v>240</v>
      </c>
      <c r="F325" s="2">
        <v>5133.96</v>
      </c>
      <c r="G325" s="1">
        <v>45965</v>
      </c>
      <c r="I325" t="s">
        <v>9</v>
      </c>
      <c r="J325" s="14">
        <f>IFERROR(VLOOKUP(D325,'INf. RRHH'!$A:$B,2,0),0)</f>
        <v>2900</v>
      </c>
      <c r="K325" s="16">
        <f t="shared" si="15"/>
        <v>2233.96</v>
      </c>
      <c r="L325" s="17">
        <f t="shared" si="16"/>
        <v>966.67</v>
      </c>
      <c r="M325" s="18">
        <f t="shared" si="17"/>
        <v>3200.63</v>
      </c>
    </row>
    <row r="326" spans="1:13" x14ac:dyDescent="0.25">
      <c r="A326">
        <v>1000</v>
      </c>
      <c r="B326">
        <v>1000</v>
      </c>
      <c r="C326" s="1">
        <v>45961</v>
      </c>
      <c r="D326">
        <v>95434</v>
      </c>
      <c r="E326">
        <v>255</v>
      </c>
      <c r="F326" s="2">
        <v>3845.61</v>
      </c>
      <c r="G326" s="1">
        <v>45965</v>
      </c>
      <c r="I326" t="s">
        <v>9</v>
      </c>
      <c r="J326" s="14">
        <f>IFERROR(VLOOKUP(D326,'INf. RRHH'!$A:$B,2,0),0)</f>
        <v>1450</v>
      </c>
      <c r="K326" s="16">
        <f t="shared" si="15"/>
        <v>2395.61</v>
      </c>
      <c r="L326" s="17">
        <f t="shared" si="16"/>
        <v>483.33</v>
      </c>
      <c r="M326" s="18">
        <f t="shared" si="17"/>
        <v>2878.94</v>
      </c>
    </row>
    <row r="327" spans="1:13" x14ac:dyDescent="0.25">
      <c r="A327">
        <v>1000</v>
      </c>
      <c r="B327">
        <v>1000</v>
      </c>
      <c r="C327" s="1">
        <v>45961</v>
      </c>
      <c r="D327">
        <v>95435</v>
      </c>
      <c r="E327">
        <v>256</v>
      </c>
      <c r="F327" s="2">
        <v>3849.48</v>
      </c>
      <c r="G327" s="1">
        <v>45965</v>
      </c>
      <c r="I327" t="s">
        <v>9</v>
      </c>
      <c r="J327" s="14">
        <f>IFERROR(VLOOKUP(D327,'INf. RRHH'!$A:$B,2,0),0)</f>
        <v>1450</v>
      </c>
      <c r="K327" s="16">
        <f t="shared" si="15"/>
        <v>2399.48</v>
      </c>
      <c r="L327" s="17">
        <f t="shared" si="16"/>
        <v>483.33</v>
      </c>
      <c r="M327" s="18">
        <f t="shared" si="17"/>
        <v>2882.81</v>
      </c>
    </row>
    <row r="328" spans="1:13" x14ac:dyDescent="0.25">
      <c r="A328">
        <v>1000</v>
      </c>
      <c r="B328">
        <v>1000</v>
      </c>
      <c r="C328" s="1">
        <v>45961</v>
      </c>
      <c r="D328">
        <v>95436</v>
      </c>
      <c r="E328">
        <v>248</v>
      </c>
      <c r="F328" s="2">
        <v>3775.5</v>
      </c>
      <c r="G328" s="1">
        <v>45965</v>
      </c>
      <c r="I328" t="s">
        <v>9</v>
      </c>
      <c r="J328" s="14">
        <f>IFERROR(VLOOKUP(D328,'INf. RRHH'!$A:$B,2,0),0)</f>
        <v>1450</v>
      </c>
      <c r="K328" s="16">
        <f t="shared" si="15"/>
        <v>2325.5</v>
      </c>
      <c r="L328" s="17">
        <f t="shared" si="16"/>
        <v>483.33</v>
      </c>
      <c r="M328" s="18">
        <f t="shared" si="17"/>
        <v>2808.83</v>
      </c>
    </row>
    <row r="329" spans="1:13" x14ac:dyDescent="0.25">
      <c r="A329">
        <v>1000</v>
      </c>
      <c r="B329">
        <v>1000</v>
      </c>
      <c r="C329" s="1">
        <v>45961</v>
      </c>
      <c r="D329">
        <v>95444</v>
      </c>
      <c r="E329">
        <v>250</v>
      </c>
      <c r="F329" s="2">
        <v>3626.56</v>
      </c>
      <c r="G329" s="1">
        <v>45965</v>
      </c>
      <c r="I329" t="s">
        <v>9</v>
      </c>
      <c r="J329" s="14">
        <f>IFERROR(VLOOKUP(D329,'INf. RRHH'!$A:$B,2,0),0)</f>
        <v>1450</v>
      </c>
      <c r="K329" s="16">
        <f t="shared" si="15"/>
        <v>2176.56</v>
      </c>
      <c r="L329" s="17">
        <f t="shared" si="16"/>
        <v>483.33</v>
      </c>
      <c r="M329" s="18">
        <f t="shared" si="17"/>
        <v>2659.89</v>
      </c>
    </row>
    <row r="330" spans="1:13" x14ac:dyDescent="0.25">
      <c r="A330">
        <v>1000</v>
      </c>
      <c r="B330">
        <v>1000</v>
      </c>
      <c r="C330" s="1">
        <v>45961</v>
      </c>
      <c r="D330">
        <v>95450</v>
      </c>
      <c r="E330">
        <v>363.32</v>
      </c>
      <c r="F330" s="2">
        <v>7270.19</v>
      </c>
      <c r="G330" s="1">
        <v>45965</v>
      </c>
      <c r="I330" t="s">
        <v>9</v>
      </c>
      <c r="J330" s="14">
        <f>IFERROR(VLOOKUP(D330,'INf. RRHH'!$A:$B,2,0),0)</f>
        <v>1450</v>
      </c>
      <c r="K330" s="16">
        <f t="shared" si="15"/>
        <v>5820.19</v>
      </c>
      <c r="L330" s="17">
        <f t="shared" si="16"/>
        <v>483.33</v>
      </c>
      <c r="M330" s="18">
        <f t="shared" si="17"/>
        <v>6303.5199999999995</v>
      </c>
    </row>
    <row r="331" spans="1:13" x14ac:dyDescent="0.25">
      <c r="A331">
        <v>1000</v>
      </c>
      <c r="B331">
        <v>1000</v>
      </c>
      <c r="C331" s="1">
        <v>45961</v>
      </c>
      <c r="D331">
        <v>95482</v>
      </c>
      <c r="E331">
        <v>240</v>
      </c>
      <c r="F331" s="2">
        <v>2212.98</v>
      </c>
      <c r="G331" s="1">
        <v>45965</v>
      </c>
      <c r="I331" t="s">
        <v>9</v>
      </c>
      <c r="J331" s="14">
        <f>IFERROR(VLOOKUP(D331,'INf. RRHH'!$A:$B,2,0),0)</f>
        <v>0</v>
      </c>
      <c r="K331" s="16">
        <f t="shared" si="15"/>
        <v>2212.98</v>
      </c>
      <c r="L331" s="17">
        <f t="shared" si="16"/>
        <v>0</v>
      </c>
      <c r="M331" s="18">
        <f t="shared" si="17"/>
        <v>2212.98</v>
      </c>
    </row>
    <row r="332" spans="1:13" x14ac:dyDescent="0.25">
      <c r="A332">
        <v>1000</v>
      </c>
      <c r="B332">
        <v>1000</v>
      </c>
      <c r="C332" s="1">
        <v>45961</v>
      </c>
      <c r="D332">
        <v>7313</v>
      </c>
      <c r="E332">
        <v>404</v>
      </c>
      <c r="F332" s="2">
        <v>8476.76</v>
      </c>
      <c r="G332" s="1">
        <v>45965</v>
      </c>
      <c r="I332" t="s">
        <v>9</v>
      </c>
      <c r="J332" s="14">
        <f>IFERROR(VLOOKUP(D332,'INf. RRHH'!$A:$B,2,0),0)</f>
        <v>2900</v>
      </c>
      <c r="K332" s="16">
        <f t="shared" si="15"/>
        <v>5576.76</v>
      </c>
      <c r="L332" s="17">
        <f t="shared" si="16"/>
        <v>966.67</v>
      </c>
      <c r="M332" s="18">
        <f t="shared" si="17"/>
        <v>6543.43</v>
      </c>
    </row>
    <row r="333" spans="1:13" x14ac:dyDescent="0.25">
      <c r="A333">
        <v>1000</v>
      </c>
      <c r="B333">
        <v>1000</v>
      </c>
      <c r="C333" s="1">
        <v>45961</v>
      </c>
      <c r="D333">
        <v>7524</v>
      </c>
      <c r="E333">
        <v>368</v>
      </c>
      <c r="F333" s="2">
        <v>7373.37</v>
      </c>
      <c r="G333" s="1">
        <v>45965</v>
      </c>
      <c r="I333" t="s">
        <v>9</v>
      </c>
      <c r="J333" s="14">
        <f>IFERROR(VLOOKUP(D333,'INf. RRHH'!$A:$B,2,0),0)</f>
        <v>2900</v>
      </c>
      <c r="K333" s="16">
        <f t="shared" si="15"/>
        <v>4473.37</v>
      </c>
      <c r="L333" s="17">
        <f t="shared" si="16"/>
        <v>966.67</v>
      </c>
      <c r="M333" s="18">
        <f t="shared" si="17"/>
        <v>5440.04</v>
      </c>
    </row>
    <row r="334" spans="1:13" x14ac:dyDescent="0.25">
      <c r="A334">
        <v>1000</v>
      </c>
      <c r="B334">
        <v>1000</v>
      </c>
      <c r="C334" s="1">
        <v>45961</v>
      </c>
      <c r="D334">
        <v>7637</v>
      </c>
      <c r="E334">
        <v>246.5</v>
      </c>
      <c r="F334" s="2">
        <v>6897.13</v>
      </c>
      <c r="G334" s="1">
        <v>45965</v>
      </c>
      <c r="I334" t="s">
        <v>9</v>
      </c>
      <c r="J334" s="14">
        <f>IFERROR(VLOOKUP(D334,'INf. RRHH'!$A:$B,2,0),0)</f>
        <v>2900</v>
      </c>
      <c r="K334" s="16">
        <f t="shared" si="15"/>
        <v>3997.13</v>
      </c>
      <c r="L334" s="17">
        <f t="shared" si="16"/>
        <v>966.67</v>
      </c>
      <c r="M334" s="18">
        <f t="shared" si="17"/>
        <v>4963.8</v>
      </c>
    </row>
    <row r="335" spans="1:13" x14ac:dyDescent="0.25">
      <c r="A335">
        <v>1000</v>
      </c>
      <c r="B335">
        <v>1000</v>
      </c>
      <c r="C335" s="1">
        <v>45961</v>
      </c>
      <c r="D335">
        <v>7902</v>
      </c>
      <c r="E335">
        <v>407</v>
      </c>
      <c r="F335" s="2">
        <v>8105.04</v>
      </c>
      <c r="G335" s="1">
        <v>45965</v>
      </c>
      <c r="I335" t="s">
        <v>9</v>
      </c>
      <c r="J335" s="14">
        <f>IFERROR(VLOOKUP(D335,'INf. RRHH'!$A:$B,2,0),0)</f>
        <v>2900</v>
      </c>
      <c r="K335" s="16">
        <f t="shared" si="15"/>
        <v>5205.04</v>
      </c>
      <c r="L335" s="17">
        <f t="shared" si="16"/>
        <v>966.67</v>
      </c>
      <c r="M335" s="18">
        <f t="shared" si="17"/>
        <v>6171.71</v>
      </c>
    </row>
    <row r="336" spans="1:13" x14ac:dyDescent="0.25">
      <c r="A336">
        <v>1000</v>
      </c>
      <c r="B336">
        <v>1000</v>
      </c>
      <c r="C336" s="1">
        <v>45961</v>
      </c>
      <c r="D336">
        <v>9401</v>
      </c>
      <c r="E336">
        <v>1920</v>
      </c>
      <c r="F336" s="2">
        <v>8191.62</v>
      </c>
      <c r="G336" s="1">
        <v>45965</v>
      </c>
      <c r="I336" t="s">
        <v>9</v>
      </c>
      <c r="J336" s="14">
        <f>IFERROR(VLOOKUP(D336,'INf. RRHH'!$A:$B,2,0),0)</f>
        <v>0</v>
      </c>
      <c r="K336" s="16">
        <f t="shared" si="15"/>
        <v>8191.62</v>
      </c>
      <c r="L336" s="17">
        <f t="shared" si="16"/>
        <v>0</v>
      </c>
      <c r="M336" s="18">
        <f t="shared" si="17"/>
        <v>8191.62</v>
      </c>
    </row>
    <row r="337" spans="1:13" x14ac:dyDescent="0.25">
      <c r="A337">
        <v>1000</v>
      </c>
      <c r="B337">
        <v>1000</v>
      </c>
      <c r="C337" s="1">
        <v>45961</v>
      </c>
      <c r="D337">
        <v>90050</v>
      </c>
      <c r="E337">
        <v>242.73</v>
      </c>
      <c r="F337" s="2">
        <v>5843.67</v>
      </c>
      <c r="G337" s="1">
        <v>45965</v>
      </c>
      <c r="I337" t="s">
        <v>9</v>
      </c>
      <c r="J337" s="14">
        <f>IFERROR(VLOOKUP(D337,'INf. RRHH'!$A:$B,2,0),0)</f>
        <v>2900</v>
      </c>
      <c r="K337" s="16">
        <f t="shared" si="15"/>
        <v>2943.67</v>
      </c>
      <c r="L337" s="17">
        <f t="shared" si="16"/>
        <v>966.67</v>
      </c>
      <c r="M337" s="18">
        <f t="shared" si="17"/>
        <v>3910.34</v>
      </c>
    </row>
    <row r="338" spans="1:13" x14ac:dyDescent="0.25">
      <c r="A338">
        <v>1000</v>
      </c>
      <c r="B338">
        <v>1000</v>
      </c>
      <c r="C338" s="1">
        <v>45961</v>
      </c>
      <c r="D338">
        <v>90110</v>
      </c>
      <c r="E338">
        <v>16</v>
      </c>
      <c r="F338" s="2">
        <v>3381.33</v>
      </c>
      <c r="G338" s="1">
        <v>45965</v>
      </c>
      <c r="I338" t="s">
        <v>9</v>
      </c>
      <c r="J338" s="14">
        <f>IFERROR(VLOOKUP(D338,'INf. RRHH'!$A:$B,2,0),0)</f>
        <v>2900</v>
      </c>
      <c r="K338" s="16">
        <f t="shared" si="15"/>
        <v>481.32999999999993</v>
      </c>
      <c r="L338" s="17">
        <f t="shared" si="16"/>
        <v>966.67</v>
      </c>
      <c r="M338" s="18">
        <f t="shared" si="17"/>
        <v>1448</v>
      </c>
    </row>
    <row r="339" spans="1:13" x14ac:dyDescent="0.25">
      <c r="A339">
        <v>1000</v>
      </c>
      <c r="B339">
        <v>1000</v>
      </c>
      <c r="C339" s="1">
        <v>45961</v>
      </c>
      <c r="D339">
        <v>90212</v>
      </c>
      <c r="E339">
        <v>346</v>
      </c>
      <c r="F339" s="2">
        <v>6156.3</v>
      </c>
      <c r="G339" s="1">
        <v>45965</v>
      </c>
      <c r="I339" t="s">
        <v>9</v>
      </c>
      <c r="J339" s="14">
        <f>IFERROR(VLOOKUP(D339,'INf. RRHH'!$A:$B,2,0),0)</f>
        <v>2900</v>
      </c>
      <c r="K339" s="16">
        <f t="shared" si="15"/>
        <v>3256.3</v>
      </c>
      <c r="L339" s="17">
        <f t="shared" si="16"/>
        <v>966.67</v>
      </c>
      <c r="M339" s="18">
        <f t="shared" si="17"/>
        <v>4222.97</v>
      </c>
    </row>
    <row r="340" spans="1:13" x14ac:dyDescent="0.25">
      <c r="A340">
        <v>1000</v>
      </c>
      <c r="B340">
        <v>1000</v>
      </c>
      <c r="C340" s="1">
        <v>45961</v>
      </c>
      <c r="D340">
        <v>90331</v>
      </c>
      <c r="E340">
        <v>209</v>
      </c>
      <c r="F340" s="2">
        <v>5422.48</v>
      </c>
      <c r="G340" s="1">
        <v>45965</v>
      </c>
      <c r="I340" t="s">
        <v>9</v>
      </c>
      <c r="J340" s="14">
        <f>IFERROR(VLOOKUP(D340,'INf. RRHH'!$A:$B,2,0),0)</f>
        <v>2900</v>
      </c>
      <c r="K340" s="16">
        <f t="shared" si="15"/>
        <v>2522.4799999999996</v>
      </c>
      <c r="L340" s="17">
        <f t="shared" si="16"/>
        <v>966.67</v>
      </c>
      <c r="M340" s="18">
        <f t="shared" si="17"/>
        <v>3489.1499999999996</v>
      </c>
    </row>
    <row r="341" spans="1:13" x14ac:dyDescent="0.25">
      <c r="A341">
        <v>1000</v>
      </c>
      <c r="B341">
        <v>1000</v>
      </c>
      <c r="C341" s="1">
        <v>45961</v>
      </c>
      <c r="D341">
        <v>90548</v>
      </c>
      <c r="E341">
        <v>320.5</v>
      </c>
      <c r="F341" s="2">
        <v>7717.38</v>
      </c>
      <c r="G341" s="1">
        <v>45965</v>
      </c>
      <c r="I341" t="s">
        <v>9</v>
      </c>
      <c r="J341" s="14">
        <f>IFERROR(VLOOKUP(D341,'INf. RRHH'!$A:$B,2,0),0)</f>
        <v>2900</v>
      </c>
      <c r="K341" s="16">
        <f t="shared" si="15"/>
        <v>4817.38</v>
      </c>
      <c r="L341" s="17">
        <f t="shared" si="16"/>
        <v>966.67</v>
      </c>
      <c r="M341" s="18">
        <f t="shared" si="17"/>
        <v>5784.05</v>
      </c>
    </row>
    <row r="342" spans="1:13" x14ac:dyDescent="0.25">
      <c r="A342">
        <v>1000</v>
      </c>
      <c r="B342">
        <v>1000</v>
      </c>
      <c r="C342" s="1">
        <v>45961</v>
      </c>
      <c r="D342">
        <v>90801</v>
      </c>
      <c r="E342">
        <v>365</v>
      </c>
      <c r="F342" s="2">
        <v>6879.94</v>
      </c>
      <c r="G342" s="1">
        <v>45965</v>
      </c>
      <c r="I342" t="s">
        <v>9</v>
      </c>
      <c r="J342" s="14">
        <f>IFERROR(VLOOKUP(D342,'INf. RRHH'!$A:$B,2,0),0)</f>
        <v>2900</v>
      </c>
      <c r="K342" s="16">
        <f t="shared" si="15"/>
        <v>3979.9399999999996</v>
      </c>
      <c r="L342" s="17">
        <f t="shared" si="16"/>
        <v>966.67</v>
      </c>
      <c r="M342" s="18">
        <f t="shared" si="17"/>
        <v>4946.6099999999997</v>
      </c>
    </row>
    <row r="343" spans="1:13" x14ac:dyDescent="0.25">
      <c r="A343">
        <v>1000</v>
      </c>
      <c r="B343">
        <v>1000</v>
      </c>
      <c r="C343" s="1">
        <v>45961</v>
      </c>
      <c r="D343">
        <v>91013</v>
      </c>
      <c r="E343">
        <v>288</v>
      </c>
      <c r="F343" s="2">
        <v>6965.09</v>
      </c>
      <c r="G343" s="1">
        <v>45965</v>
      </c>
      <c r="I343" t="s">
        <v>9</v>
      </c>
      <c r="J343" s="14">
        <f>IFERROR(VLOOKUP(D343,'INf. RRHH'!$A:$B,2,0),0)</f>
        <v>2900</v>
      </c>
      <c r="K343" s="16">
        <f t="shared" si="15"/>
        <v>4065.09</v>
      </c>
      <c r="L343" s="17">
        <f t="shared" si="16"/>
        <v>966.67</v>
      </c>
      <c r="M343" s="18">
        <f t="shared" si="17"/>
        <v>5031.76</v>
      </c>
    </row>
    <row r="344" spans="1:13" x14ac:dyDescent="0.25">
      <c r="A344">
        <v>1000</v>
      </c>
      <c r="B344">
        <v>1000</v>
      </c>
      <c r="C344" s="1">
        <v>45961</v>
      </c>
      <c r="D344">
        <v>91330</v>
      </c>
      <c r="E344">
        <v>296</v>
      </c>
      <c r="F344" s="2">
        <v>4663.2700000000004</v>
      </c>
      <c r="G344" s="1">
        <v>45965</v>
      </c>
      <c r="I344" t="s">
        <v>9</v>
      </c>
      <c r="J344" s="14">
        <f>IFERROR(VLOOKUP(D344,'INf. RRHH'!$A:$B,2,0),0)</f>
        <v>2900</v>
      </c>
      <c r="K344" s="16">
        <f t="shared" si="15"/>
        <v>1763.2700000000004</v>
      </c>
      <c r="L344" s="17">
        <f t="shared" si="16"/>
        <v>966.67</v>
      </c>
      <c r="M344" s="18">
        <f t="shared" si="17"/>
        <v>2729.9400000000005</v>
      </c>
    </row>
    <row r="345" spans="1:13" x14ac:dyDescent="0.25">
      <c r="A345">
        <v>1000</v>
      </c>
      <c r="B345">
        <v>1000</v>
      </c>
      <c r="C345" s="1">
        <v>45961</v>
      </c>
      <c r="D345">
        <v>91501</v>
      </c>
      <c r="E345">
        <v>258</v>
      </c>
      <c r="F345" s="2">
        <v>5004.82</v>
      </c>
      <c r="G345" s="1">
        <v>45965</v>
      </c>
      <c r="I345" t="s">
        <v>9</v>
      </c>
      <c r="J345" s="14">
        <f>IFERROR(VLOOKUP(D345,'INf. RRHH'!$A:$B,2,0),0)</f>
        <v>2900</v>
      </c>
      <c r="K345" s="16">
        <f t="shared" si="15"/>
        <v>2104.8199999999997</v>
      </c>
      <c r="L345" s="17">
        <f t="shared" si="16"/>
        <v>966.67</v>
      </c>
      <c r="M345" s="18">
        <f t="shared" si="17"/>
        <v>3071.49</v>
      </c>
    </row>
    <row r="346" spans="1:13" x14ac:dyDescent="0.25">
      <c r="A346">
        <v>1000</v>
      </c>
      <c r="B346">
        <v>1000</v>
      </c>
      <c r="C346" s="1">
        <v>45961</v>
      </c>
      <c r="D346">
        <v>92002</v>
      </c>
      <c r="E346">
        <v>339.75</v>
      </c>
      <c r="F346" s="2">
        <v>6581.21</v>
      </c>
      <c r="G346" s="1">
        <v>45965</v>
      </c>
      <c r="I346" t="s">
        <v>9</v>
      </c>
      <c r="J346" s="14">
        <f>IFERROR(VLOOKUP(D346,'INf. RRHH'!$A:$B,2,0),0)</f>
        <v>2900</v>
      </c>
      <c r="K346" s="16">
        <f t="shared" si="15"/>
        <v>3681.21</v>
      </c>
      <c r="L346" s="17">
        <f t="shared" si="16"/>
        <v>966.67</v>
      </c>
      <c r="M346" s="18">
        <f t="shared" si="17"/>
        <v>4647.88</v>
      </c>
    </row>
    <row r="347" spans="1:13" x14ac:dyDescent="0.25">
      <c r="A347">
        <v>1000</v>
      </c>
      <c r="B347">
        <v>1000</v>
      </c>
      <c r="C347" s="1">
        <v>45961</v>
      </c>
      <c r="D347">
        <v>92103</v>
      </c>
      <c r="E347">
        <v>240</v>
      </c>
      <c r="F347" s="2">
        <v>5630.38</v>
      </c>
      <c r="G347" s="1">
        <v>45965</v>
      </c>
      <c r="I347" t="s">
        <v>9</v>
      </c>
      <c r="J347" s="14">
        <f>IFERROR(VLOOKUP(D347,'INf. RRHH'!$A:$B,2,0),0)</f>
        <v>2900</v>
      </c>
      <c r="K347" s="16">
        <f t="shared" si="15"/>
        <v>2730.38</v>
      </c>
      <c r="L347" s="17">
        <f t="shared" si="16"/>
        <v>966.67</v>
      </c>
      <c r="M347" s="18">
        <f t="shared" si="17"/>
        <v>3697.05</v>
      </c>
    </row>
    <row r="348" spans="1:13" x14ac:dyDescent="0.25">
      <c r="A348">
        <v>1000</v>
      </c>
      <c r="B348">
        <v>1000</v>
      </c>
      <c r="C348" s="1">
        <v>45961</v>
      </c>
      <c r="D348">
        <v>92142</v>
      </c>
      <c r="E348">
        <v>240</v>
      </c>
      <c r="F348" s="2">
        <v>4154.42</v>
      </c>
      <c r="G348" s="1">
        <v>45965</v>
      </c>
      <c r="I348" t="s">
        <v>9</v>
      </c>
      <c r="J348" s="14">
        <f>IFERROR(VLOOKUP(D348,'INf. RRHH'!$A:$B,2,0),0)</f>
        <v>2900</v>
      </c>
      <c r="K348" s="16">
        <f t="shared" si="15"/>
        <v>1254.42</v>
      </c>
      <c r="L348" s="17">
        <f t="shared" si="16"/>
        <v>966.67</v>
      </c>
      <c r="M348" s="18">
        <f t="shared" si="17"/>
        <v>2221.09</v>
      </c>
    </row>
    <row r="349" spans="1:13" x14ac:dyDescent="0.25">
      <c r="A349">
        <v>1000</v>
      </c>
      <c r="B349">
        <v>1000</v>
      </c>
      <c r="C349" s="1">
        <v>45961</v>
      </c>
      <c r="D349">
        <v>92184</v>
      </c>
      <c r="E349">
        <v>282.16000000000003</v>
      </c>
      <c r="F349" s="2">
        <v>7321.94</v>
      </c>
      <c r="G349" s="1">
        <v>45965</v>
      </c>
      <c r="I349" t="s">
        <v>9</v>
      </c>
      <c r="J349" s="14">
        <f>IFERROR(VLOOKUP(D349,'INf. RRHH'!$A:$B,2,0),0)</f>
        <v>2900</v>
      </c>
      <c r="K349" s="16">
        <f t="shared" si="15"/>
        <v>4421.9399999999996</v>
      </c>
      <c r="L349" s="17">
        <f t="shared" si="16"/>
        <v>966.67</v>
      </c>
      <c r="M349" s="18">
        <f t="shared" si="17"/>
        <v>5388.61</v>
      </c>
    </row>
    <row r="350" spans="1:13" x14ac:dyDescent="0.25">
      <c r="A350">
        <v>1000</v>
      </c>
      <c r="B350">
        <v>1000</v>
      </c>
      <c r="C350" s="1">
        <v>45961</v>
      </c>
      <c r="D350">
        <v>92255</v>
      </c>
      <c r="E350">
        <v>261</v>
      </c>
      <c r="F350" s="2">
        <v>6245.5</v>
      </c>
      <c r="G350" s="1">
        <v>45965</v>
      </c>
      <c r="I350" t="s">
        <v>9</v>
      </c>
      <c r="J350" s="14">
        <f>IFERROR(VLOOKUP(D350,'INf. RRHH'!$A:$B,2,0),0)</f>
        <v>2900</v>
      </c>
      <c r="K350" s="16">
        <f t="shared" si="15"/>
        <v>3345.5</v>
      </c>
      <c r="L350" s="17">
        <f t="shared" si="16"/>
        <v>966.67</v>
      </c>
      <c r="M350" s="18">
        <f t="shared" si="17"/>
        <v>4312.17</v>
      </c>
    </row>
    <row r="351" spans="1:13" x14ac:dyDescent="0.25">
      <c r="A351">
        <v>1000</v>
      </c>
      <c r="B351">
        <v>1000</v>
      </c>
      <c r="C351" s="1">
        <v>45961</v>
      </c>
      <c r="D351">
        <v>92301</v>
      </c>
      <c r="E351">
        <v>329</v>
      </c>
      <c r="F351" s="2">
        <v>5985.63</v>
      </c>
      <c r="G351" s="1">
        <v>45965</v>
      </c>
      <c r="I351" t="s">
        <v>9</v>
      </c>
      <c r="J351" s="14">
        <f>IFERROR(VLOOKUP(D351,'INf. RRHH'!$A:$B,2,0),0)</f>
        <v>2900</v>
      </c>
      <c r="K351" s="16">
        <f t="shared" si="15"/>
        <v>3085.63</v>
      </c>
      <c r="L351" s="17">
        <f t="shared" si="16"/>
        <v>966.67</v>
      </c>
      <c r="M351" s="18">
        <f t="shared" si="17"/>
        <v>4052.3</v>
      </c>
    </row>
    <row r="352" spans="1:13" x14ac:dyDescent="0.25">
      <c r="A352">
        <v>1000</v>
      </c>
      <c r="B352">
        <v>1000</v>
      </c>
      <c r="C352" s="1">
        <v>45961</v>
      </c>
      <c r="D352">
        <v>92311</v>
      </c>
      <c r="E352">
        <v>270</v>
      </c>
      <c r="F352" s="2">
        <v>6210.53</v>
      </c>
      <c r="G352" s="1">
        <v>45965</v>
      </c>
      <c r="I352" t="s">
        <v>9</v>
      </c>
      <c r="J352" s="14">
        <f>IFERROR(VLOOKUP(D352,'INf. RRHH'!$A:$B,2,0),0)</f>
        <v>2900</v>
      </c>
      <c r="K352" s="16">
        <f t="shared" si="15"/>
        <v>3310.5299999999997</v>
      </c>
      <c r="L352" s="17">
        <f t="shared" si="16"/>
        <v>966.67</v>
      </c>
      <c r="M352" s="18">
        <f t="shared" si="17"/>
        <v>4277.2</v>
      </c>
    </row>
    <row r="353" spans="1:13" x14ac:dyDescent="0.25">
      <c r="A353">
        <v>1000</v>
      </c>
      <c r="B353">
        <v>1000</v>
      </c>
      <c r="C353" s="1">
        <v>45961</v>
      </c>
      <c r="D353">
        <v>92322</v>
      </c>
      <c r="E353">
        <v>307</v>
      </c>
      <c r="F353" s="2">
        <v>5540.38</v>
      </c>
      <c r="G353" s="1">
        <v>45965</v>
      </c>
      <c r="I353" t="s">
        <v>9</v>
      </c>
      <c r="J353" s="14">
        <f>IFERROR(VLOOKUP(D353,'INf. RRHH'!$A:$B,2,0),0)</f>
        <v>2900</v>
      </c>
      <c r="K353" s="16">
        <f t="shared" si="15"/>
        <v>2640.38</v>
      </c>
      <c r="L353" s="17">
        <f t="shared" si="16"/>
        <v>966.67</v>
      </c>
      <c r="M353" s="18">
        <f t="shared" si="17"/>
        <v>3607.05</v>
      </c>
    </row>
    <row r="354" spans="1:13" x14ac:dyDescent="0.25">
      <c r="A354">
        <v>1000</v>
      </c>
      <c r="B354">
        <v>1000</v>
      </c>
      <c r="C354" s="1">
        <v>45961</v>
      </c>
      <c r="D354">
        <v>92323</v>
      </c>
      <c r="E354">
        <v>362</v>
      </c>
      <c r="F354" s="2">
        <v>7111.83</v>
      </c>
      <c r="G354" s="1">
        <v>45965</v>
      </c>
      <c r="I354" t="s">
        <v>9</v>
      </c>
      <c r="J354" s="14">
        <f>IFERROR(VLOOKUP(D354,'INf. RRHH'!$A:$B,2,0),0)</f>
        <v>2900</v>
      </c>
      <c r="K354" s="16">
        <f t="shared" si="15"/>
        <v>4211.83</v>
      </c>
      <c r="L354" s="17">
        <f t="shared" si="16"/>
        <v>966.67</v>
      </c>
      <c r="M354" s="18">
        <f t="shared" si="17"/>
        <v>5178.5</v>
      </c>
    </row>
    <row r="355" spans="1:13" x14ac:dyDescent="0.25">
      <c r="A355">
        <v>1000</v>
      </c>
      <c r="B355">
        <v>1000</v>
      </c>
      <c r="C355" s="1">
        <v>45961</v>
      </c>
      <c r="D355">
        <v>92444</v>
      </c>
      <c r="E355">
        <v>240</v>
      </c>
      <c r="F355" s="2">
        <v>5908.6</v>
      </c>
      <c r="G355" s="1">
        <v>45965</v>
      </c>
      <c r="I355" t="s">
        <v>9</v>
      </c>
      <c r="J355" s="14">
        <f>IFERROR(VLOOKUP(D355,'INf. RRHH'!$A:$B,2,0),0)</f>
        <v>2900</v>
      </c>
      <c r="K355" s="16">
        <f t="shared" si="15"/>
        <v>3008.6000000000004</v>
      </c>
      <c r="L355" s="17">
        <f t="shared" si="16"/>
        <v>966.67</v>
      </c>
      <c r="M355" s="18">
        <f t="shared" si="17"/>
        <v>3975.2700000000004</v>
      </c>
    </row>
    <row r="356" spans="1:13" x14ac:dyDescent="0.25">
      <c r="A356">
        <v>1000</v>
      </c>
      <c r="B356">
        <v>1000</v>
      </c>
      <c r="C356" s="1">
        <v>45961</v>
      </c>
      <c r="D356">
        <v>92703</v>
      </c>
      <c r="E356">
        <v>268.83</v>
      </c>
      <c r="F356" s="2">
        <v>6097.46</v>
      </c>
      <c r="G356" s="1">
        <v>45965</v>
      </c>
      <c r="I356" t="s">
        <v>9</v>
      </c>
      <c r="J356" s="14">
        <f>IFERROR(VLOOKUP(D356,'INf. RRHH'!$A:$B,2,0),0)</f>
        <v>2900</v>
      </c>
      <c r="K356" s="16">
        <f t="shared" si="15"/>
        <v>3197.46</v>
      </c>
      <c r="L356" s="17">
        <f t="shared" si="16"/>
        <v>966.67</v>
      </c>
      <c r="M356" s="18">
        <f t="shared" si="17"/>
        <v>4164.13</v>
      </c>
    </row>
    <row r="357" spans="1:13" x14ac:dyDescent="0.25">
      <c r="A357">
        <v>1000</v>
      </c>
      <c r="B357">
        <v>1000</v>
      </c>
      <c r="C357" s="1">
        <v>45961</v>
      </c>
      <c r="D357">
        <v>93000</v>
      </c>
      <c r="E357">
        <v>240</v>
      </c>
      <c r="F357" s="2">
        <v>4492.62</v>
      </c>
      <c r="G357" s="1">
        <v>45965</v>
      </c>
      <c r="I357" t="s">
        <v>9</v>
      </c>
      <c r="J357" s="14">
        <f>IFERROR(VLOOKUP(D357,'INf. RRHH'!$A:$B,2,0),0)</f>
        <v>2900</v>
      </c>
      <c r="K357" s="16">
        <f t="shared" si="15"/>
        <v>1592.62</v>
      </c>
      <c r="L357" s="17">
        <f t="shared" si="16"/>
        <v>966.67</v>
      </c>
      <c r="M357" s="18">
        <f t="shared" si="17"/>
        <v>2559.29</v>
      </c>
    </row>
    <row r="358" spans="1:13" x14ac:dyDescent="0.25">
      <c r="A358">
        <v>1000</v>
      </c>
      <c r="B358">
        <v>1000</v>
      </c>
      <c r="C358" s="1">
        <v>45961</v>
      </c>
      <c r="D358">
        <v>93039</v>
      </c>
      <c r="E358">
        <v>357</v>
      </c>
      <c r="F358" s="2">
        <v>7651.72</v>
      </c>
      <c r="G358" s="1">
        <v>45965</v>
      </c>
      <c r="I358" t="s">
        <v>9</v>
      </c>
      <c r="J358" s="14">
        <f>IFERROR(VLOOKUP(D358,'INf. RRHH'!$A:$B,2,0),0)</f>
        <v>2900</v>
      </c>
      <c r="K358" s="16">
        <f t="shared" si="15"/>
        <v>4751.72</v>
      </c>
      <c r="L358" s="17">
        <f t="shared" si="16"/>
        <v>966.67</v>
      </c>
      <c r="M358" s="18">
        <f t="shared" si="17"/>
        <v>5718.39</v>
      </c>
    </row>
    <row r="359" spans="1:13" x14ac:dyDescent="0.25">
      <c r="A359">
        <v>1000</v>
      </c>
      <c r="B359">
        <v>1000</v>
      </c>
      <c r="C359" s="1">
        <v>45961</v>
      </c>
      <c r="D359">
        <v>93140</v>
      </c>
      <c r="E359">
        <v>228</v>
      </c>
      <c r="F359" s="2">
        <v>5256.08</v>
      </c>
      <c r="G359" s="1">
        <v>45965</v>
      </c>
      <c r="I359" t="s">
        <v>9</v>
      </c>
      <c r="J359" s="14">
        <f>IFERROR(VLOOKUP(D359,'INf. RRHH'!$A:$B,2,0),0)</f>
        <v>2900</v>
      </c>
      <c r="K359" s="16">
        <f t="shared" si="15"/>
        <v>2356.08</v>
      </c>
      <c r="L359" s="17">
        <f t="shared" si="16"/>
        <v>966.67</v>
      </c>
      <c r="M359" s="18">
        <f t="shared" si="17"/>
        <v>3322.75</v>
      </c>
    </row>
    <row r="360" spans="1:13" x14ac:dyDescent="0.25">
      <c r="A360">
        <v>1000</v>
      </c>
      <c r="B360">
        <v>1000</v>
      </c>
      <c r="C360" s="1">
        <v>45961</v>
      </c>
      <c r="D360">
        <v>93201</v>
      </c>
      <c r="E360">
        <v>248</v>
      </c>
      <c r="F360" s="2">
        <v>4967.4799999999996</v>
      </c>
      <c r="G360" s="1">
        <v>45965</v>
      </c>
      <c r="I360" t="s">
        <v>9</v>
      </c>
      <c r="J360" s="14">
        <f>IFERROR(VLOOKUP(D360,'INf. RRHH'!$A:$B,2,0),0)</f>
        <v>2900</v>
      </c>
      <c r="K360" s="16">
        <f t="shared" si="15"/>
        <v>2067.4799999999996</v>
      </c>
      <c r="L360" s="17">
        <f t="shared" si="16"/>
        <v>966.67</v>
      </c>
      <c r="M360" s="18">
        <f t="shared" si="17"/>
        <v>3034.1499999999996</v>
      </c>
    </row>
    <row r="361" spans="1:13" x14ac:dyDescent="0.25">
      <c r="A361">
        <v>1000</v>
      </c>
      <c r="B361">
        <v>1000</v>
      </c>
      <c r="C361" s="1">
        <v>45961</v>
      </c>
      <c r="D361">
        <v>93202</v>
      </c>
      <c r="E361">
        <v>240</v>
      </c>
      <c r="F361" s="2">
        <v>5385.96</v>
      </c>
      <c r="G361" s="1">
        <v>45965</v>
      </c>
      <c r="I361" t="s">
        <v>9</v>
      </c>
      <c r="J361" s="14">
        <f>IFERROR(VLOOKUP(D361,'INf. RRHH'!$A:$B,2,0),0)</f>
        <v>2900</v>
      </c>
      <c r="K361" s="16">
        <f t="shared" si="15"/>
        <v>2485.96</v>
      </c>
      <c r="L361" s="17">
        <f t="shared" si="16"/>
        <v>966.67</v>
      </c>
      <c r="M361" s="18">
        <f t="shared" si="17"/>
        <v>3452.63</v>
      </c>
    </row>
    <row r="362" spans="1:13" x14ac:dyDescent="0.25">
      <c r="A362">
        <v>1000</v>
      </c>
      <c r="B362">
        <v>1000</v>
      </c>
      <c r="C362" s="1">
        <v>45961</v>
      </c>
      <c r="D362">
        <v>94030</v>
      </c>
      <c r="E362">
        <v>285</v>
      </c>
      <c r="F362" s="2">
        <v>6648.12</v>
      </c>
      <c r="G362" s="1">
        <v>45965</v>
      </c>
      <c r="I362" t="s">
        <v>9</v>
      </c>
      <c r="J362" s="14">
        <f>IFERROR(VLOOKUP(D362,'INf. RRHH'!$A:$B,2,0),0)</f>
        <v>2900</v>
      </c>
      <c r="K362" s="16">
        <f t="shared" si="15"/>
        <v>3748.12</v>
      </c>
      <c r="L362" s="17">
        <f t="shared" si="16"/>
        <v>966.67</v>
      </c>
      <c r="M362" s="18">
        <f t="shared" si="17"/>
        <v>4714.79</v>
      </c>
    </row>
    <row r="363" spans="1:13" x14ac:dyDescent="0.25">
      <c r="A363">
        <v>1000</v>
      </c>
      <c r="B363">
        <v>1000</v>
      </c>
      <c r="C363" s="1">
        <v>45961</v>
      </c>
      <c r="D363">
        <v>94042</v>
      </c>
      <c r="E363">
        <v>406</v>
      </c>
      <c r="F363" s="2">
        <v>7081.91</v>
      </c>
      <c r="G363" s="1">
        <v>45965</v>
      </c>
      <c r="I363" t="s">
        <v>9</v>
      </c>
      <c r="J363" s="14">
        <f>IFERROR(VLOOKUP(D363,'INf. RRHH'!$A:$B,2,0),0)</f>
        <v>2900</v>
      </c>
      <c r="K363" s="16">
        <f t="shared" si="15"/>
        <v>4181.91</v>
      </c>
      <c r="L363" s="17">
        <f t="shared" si="16"/>
        <v>966.67</v>
      </c>
      <c r="M363" s="18">
        <f t="shared" si="17"/>
        <v>5148.58</v>
      </c>
    </row>
    <row r="364" spans="1:13" x14ac:dyDescent="0.25">
      <c r="A364">
        <v>1000</v>
      </c>
      <c r="B364">
        <v>1000</v>
      </c>
      <c r="C364" s="1">
        <v>45961</v>
      </c>
      <c r="D364">
        <v>94106</v>
      </c>
      <c r="E364">
        <v>319.38</v>
      </c>
      <c r="F364" s="2">
        <v>7067.28</v>
      </c>
      <c r="G364" s="1">
        <v>45965</v>
      </c>
      <c r="I364" t="s">
        <v>9</v>
      </c>
      <c r="J364" s="14">
        <f>IFERROR(VLOOKUP(D364,'INf. RRHH'!$A:$B,2,0),0)</f>
        <v>2900</v>
      </c>
      <c r="K364" s="16">
        <f t="shared" si="15"/>
        <v>4167.28</v>
      </c>
      <c r="L364" s="17">
        <f t="shared" si="16"/>
        <v>966.67</v>
      </c>
      <c r="M364" s="18">
        <f t="shared" si="17"/>
        <v>5133.95</v>
      </c>
    </row>
    <row r="365" spans="1:13" x14ac:dyDescent="0.25">
      <c r="A365">
        <v>1000</v>
      </c>
      <c r="B365">
        <v>1000</v>
      </c>
      <c r="C365" s="1">
        <v>45961</v>
      </c>
      <c r="D365">
        <v>94241</v>
      </c>
      <c r="E365">
        <v>334</v>
      </c>
      <c r="F365" s="2">
        <v>6032.41</v>
      </c>
      <c r="G365" s="1">
        <v>45965</v>
      </c>
      <c r="I365" t="s">
        <v>9</v>
      </c>
      <c r="J365" s="14">
        <f>IFERROR(VLOOKUP(D365,'INf. RRHH'!$A:$B,2,0),0)</f>
        <v>2900</v>
      </c>
      <c r="K365" s="16">
        <f t="shared" si="15"/>
        <v>3132.41</v>
      </c>
      <c r="L365" s="17">
        <f t="shared" si="16"/>
        <v>966.67</v>
      </c>
      <c r="M365" s="18">
        <f t="shared" si="17"/>
        <v>4099.08</v>
      </c>
    </row>
    <row r="366" spans="1:13" x14ac:dyDescent="0.25">
      <c r="A366">
        <v>1000</v>
      </c>
      <c r="B366">
        <v>1000</v>
      </c>
      <c r="C366" s="1">
        <v>45961</v>
      </c>
      <c r="D366">
        <v>94331</v>
      </c>
      <c r="E366">
        <v>344</v>
      </c>
      <c r="F366" s="2">
        <v>7692.02</v>
      </c>
      <c r="G366" s="1">
        <v>45965</v>
      </c>
      <c r="I366" t="s">
        <v>9</v>
      </c>
      <c r="J366" s="14">
        <f>IFERROR(VLOOKUP(D366,'INf. RRHH'!$A:$B,2,0),0)</f>
        <v>2900</v>
      </c>
      <c r="K366" s="16">
        <f t="shared" si="15"/>
        <v>4792.0200000000004</v>
      </c>
      <c r="L366" s="17">
        <f t="shared" si="16"/>
        <v>966.67</v>
      </c>
      <c r="M366" s="18">
        <f t="shared" si="17"/>
        <v>5758.6900000000005</v>
      </c>
    </row>
    <row r="367" spans="1:13" x14ac:dyDescent="0.25">
      <c r="A367">
        <v>1000</v>
      </c>
      <c r="B367">
        <v>1000</v>
      </c>
      <c r="C367" s="1">
        <v>45961</v>
      </c>
      <c r="D367">
        <v>94533</v>
      </c>
      <c r="E367">
        <v>87</v>
      </c>
      <c r="F367" s="2">
        <v>4614.8900000000003</v>
      </c>
      <c r="G367" s="1">
        <v>45965</v>
      </c>
      <c r="I367" t="s">
        <v>9</v>
      </c>
      <c r="J367" s="14">
        <f>IFERROR(VLOOKUP(D367,'INf. RRHH'!$A:$B,2,0),0)</f>
        <v>2900</v>
      </c>
      <c r="K367" s="16">
        <f t="shared" si="15"/>
        <v>1714.8900000000003</v>
      </c>
      <c r="L367" s="17">
        <f t="shared" si="16"/>
        <v>966.67</v>
      </c>
      <c r="M367" s="18">
        <f t="shared" si="17"/>
        <v>2681.5600000000004</v>
      </c>
    </row>
    <row r="368" spans="1:13" x14ac:dyDescent="0.25">
      <c r="A368">
        <v>1000</v>
      </c>
      <c r="B368">
        <v>1000</v>
      </c>
      <c r="C368" s="1">
        <v>45961</v>
      </c>
      <c r="D368">
        <v>94920</v>
      </c>
      <c r="E368">
        <v>264</v>
      </c>
      <c r="F368" s="2">
        <v>6191.43</v>
      </c>
      <c r="G368" s="1">
        <v>45965</v>
      </c>
      <c r="I368" t="s">
        <v>9</v>
      </c>
      <c r="J368" s="14">
        <f>IFERROR(VLOOKUP(D368,'INf. RRHH'!$A:$B,2,0),0)</f>
        <v>2900</v>
      </c>
      <c r="K368" s="16">
        <f t="shared" si="15"/>
        <v>3291.4300000000003</v>
      </c>
      <c r="L368" s="17">
        <f t="shared" si="16"/>
        <v>966.67</v>
      </c>
      <c r="M368" s="18">
        <f t="shared" si="17"/>
        <v>4258.1000000000004</v>
      </c>
    </row>
    <row r="369" spans="1:13" x14ac:dyDescent="0.25">
      <c r="A369">
        <v>1000</v>
      </c>
      <c r="B369">
        <v>1000</v>
      </c>
      <c r="C369" s="1">
        <v>45961</v>
      </c>
      <c r="D369">
        <v>95131</v>
      </c>
      <c r="E369">
        <v>8</v>
      </c>
      <c r="F369" s="2">
        <v>5373.83</v>
      </c>
      <c r="G369" s="1">
        <v>45965</v>
      </c>
      <c r="I369" t="s">
        <v>9</v>
      </c>
      <c r="J369" s="14">
        <f>IFERROR(VLOOKUP(D369,'INf. RRHH'!$A:$B,2,0),0)</f>
        <v>2900</v>
      </c>
      <c r="K369" s="16">
        <f t="shared" si="15"/>
        <v>2473.83</v>
      </c>
      <c r="L369" s="17">
        <f t="shared" si="16"/>
        <v>966.67</v>
      </c>
      <c r="M369" s="18">
        <f t="shared" si="17"/>
        <v>3440.5</v>
      </c>
    </row>
    <row r="370" spans="1:13" x14ac:dyDescent="0.25">
      <c r="A370">
        <v>1000</v>
      </c>
      <c r="B370">
        <v>1000</v>
      </c>
      <c r="C370" s="1">
        <v>45961</v>
      </c>
      <c r="D370">
        <v>95254</v>
      </c>
      <c r="E370">
        <v>240</v>
      </c>
      <c r="F370" s="2">
        <v>5133.5600000000004</v>
      </c>
      <c r="G370" s="1">
        <v>45965</v>
      </c>
      <c r="I370" t="s">
        <v>9</v>
      </c>
      <c r="J370" s="14">
        <f>IFERROR(VLOOKUP(D370,'INf. RRHH'!$A:$B,2,0),0)</f>
        <v>2900</v>
      </c>
      <c r="K370" s="16">
        <f t="shared" si="15"/>
        <v>2233.5600000000004</v>
      </c>
      <c r="L370" s="17">
        <f t="shared" si="16"/>
        <v>966.67</v>
      </c>
      <c r="M370" s="18">
        <f t="shared" si="17"/>
        <v>3200.2300000000005</v>
      </c>
    </row>
    <row r="371" spans="1:13" x14ac:dyDescent="0.25">
      <c r="A371">
        <v>1000</v>
      </c>
      <c r="B371">
        <v>1000</v>
      </c>
      <c r="C371" s="1">
        <v>45961</v>
      </c>
      <c r="D371">
        <v>95261</v>
      </c>
      <c r="E371">
        <v>232</v>
      </c>
      <c r="F371" s="2">
        <v>4898.26</v>
      </c>
      <c r="G371" s="1">
        <v>45965</v>
      </c>
      <c r="I371" t="s">
        <v>9</v>
      </c>
      <c r="J371" s="14">
        <f>IFERROR(VLOOKUP(D371,'INf. RRHH'!$A:$B,2,0),0)</f>
        <v>2900</v>
      </c>
      <c r="K371" s="16">
        <f t="shared" si="15"/>
        <v>1998.2600000000002</v>
      </c>
      <c r="L371" s="17">
        <f t="shared" si="16"/>
        <v>966.67</v>
      </c>
      <c r="M371" s="18">
        <f t="shared" si="17"/>
        <v>2964.9300000000003</v>
      </c>
    </row>
    <row r="372" spans="1:13" x14ac:dyDescent="0.25">
      <c r="A372">
        <v>1000</v>
      </c>
      <c r="B372">
        <v>1000</v>
      </c>
      <c r="C372" s="1">
        <v>45961</v>
      </c>
      <c r="D372">
        <v>95334</v>
      </c>
      <c r="E372">
        <v>130</v>
      </c>
      <c r="F372" s="2">
        <v>5311.5</v>
      </c>
      <c r="G372" s="1">
        <v>45965</v>
      </c>
      <c r="I372" t="s">
        <v>9</v>
      </c>
      <c r="J372" s="14">
        <f>IFERROR(VLOOKUP(D372,'INf. RRHH'!$A:$B,2,0),0)</f>
        <v>2900</v>
      </c>
      <c r="K372" s="16">
        <f t="shared" si="15"/>
        <v>2411.5</v>
      </c>
      <c r="L372" s="17">
        <f t="shared" si="16"/>
        <v>966.67</v>
      </c>
      <c r="M372" s="18">
        <f t="shared" si="17"/>
        <v>3378.17</v>
      </c>
    </row>
    <row r="373" spans="1:13" x14ac:dyDescent="0.25">
      <c r="A373">
        <v>1000</v>
      </c>
      <c r="B373">
        <v>1000</v>
      </c>
      <c r="C373" s="1">
        <v>45961</v>
      </c>
      <c r="D373">
        <v>95340</v>
      </c>
      <c r="E373">
        <v>240</v>
      </c>
      <c r="F373" s="2">
        <v>5376.5</v>
      </c>
      <c r="G373" s="1">
        <v>45965</v>
      </c>
      <c r="I373" t="s">
        <v>9</v>
      </c>
      <c r="J373" s="14">
        <f>IFERROR(VLOOKUP(D373,'INf. RRHH'!$A:$B,2,0),0)</f>
        <v>2900</v>
      </c>
      <c r="K373" s="16">
        <f t="shared" si="15"/>
        <v>2476.5</v>
      </c>
      <c r="L373" s="17">
        <f t="shared" si="16"/>
        <v>966.67</v>
      </c>
      <c r="M373" s="18">
        <f t="shared" si="17"/>
        <v>3443.17</v>
      </c>
    </row>
    <row r="374" spans="1:13" x14ac:dyDescent="0.25">
      <c r="A374">
        <v>1000</v>
      </c>
      <c r="B374">
        <v>1000</v>
      </c>
      <c r="C374" s="1">
        <v>45961</v>
      </c>
      <c r="D374">
        <v>95447</v>
      </c>
      <c r="E374">
        <v>254</v>
      </c>
      <c r="F374" s="2">
        <v>3664.9</v>
      </c>
      <c r="G374" s="1">
        <v>45965</v>
      </c>
      <c r="I374" t="s">
        <v>9</v>
      </c>
      <c r="J374" s="14">
        <f>IFERROR(VLOOKUP(D374,'INf. RRHH'!$A:$B,2,0),0)</f>
        <v>1450</v>
      </c>
      <c r="K374" s="16">
        <f t="shared" si="15"/>
        <v>2214.9</v>
      </c>
      <c r="L374" s="17">
        <f t="shared" si="16"/>
        <v>483.33</v>
      </c>
      <c r="M374" s="18">
        <f t="shared" si="17"/>
        <v>2698.23</v>
      </c>
    </row>
    <row r="375" spans="1:13" x14ac:dyDescent="0.25">
      <c r="A375">
        <v>1000</v>
      </c>
      <c r="B375">
        <v>1000</v>
      </c>
      <c r="C375" s="1">
        <v>45961</v>
      </c>
      <c r="D375">
        <v>95511</v>
      </c>
      <c r="E375">
        <v>136</v>
      </c>
      <c r="F375" s="2">
        <v>1101.25</v>
      </c>
      <c r="G375" s="1">
        <v>45965</v>
      </c>
      <c r="I375" t="s">
        <v>9</v>
      </c>
      <c r="J375" s="14">
        <f>IFERROR(VLOOKUP(D375,'INf. RRHH'!$A:$B,2,0),0)</f>
        <v>0</v>
      </c>
      <c r="K375" s="16">
        <f t="shared" si="15"/>
        <v>1101.25</v>
      </c>
      <c r="L375" s="17">
        <f t="shared" si="16"/>
        <v>0</v>
      </c>
      <c r="M375" s="18">
        <f t="shared" si="17"/>
        <v>1101.25</v>
      </c>
    </row>
    <row r="376" spans="1:13" x14ac:dyDescent="0.25">
      <c r="A376">
        <v>1000</v>
      </c>
      <c r="B376">
        <v>1000</v>
      </c>
      <c r="C376" s="1">
        <v>45961</v>
      </c>
      <c r="D376">
        <v>3391</v>
      </c>
      <c r="E376">
        <v>283</v>
      </c>
      <c r="F376" s="2">
        <v>7492.27</v>
      </c>
      <c r="G376" s="1">
        <v>45965</v>
      </c>
      <c r="I376" t="s">
        <v>9</v>
      </c>
      <c r="J376" s="14">
        <f>IFERROR(VLOOKUP(D376,'INf. RRHH'!$A:$B,2,0),0)</f>
        <v>2900</v>
      </c>
      <c r="K376" s="16">
        <f t="shared" si="15"/>
        <v>4592.2700000000004</v>
      </c>
      <c r="L376" s="17">
        <f t="shared" si="16"/>
        <v>966.67</v>
      </c>
      <c r="M376" s="18">
        <f t="shared" si="17"/>
        <v>5558.9400000000005</v>
      </c>
    </row>
    <row r="377" spans="1:13" x14ac:dyDescent="0.25">
      <c r="A377">
        <v>1000</v>
      </c>
      <c r="B377">
        <v>1000</v>
      </c>
      <c r="C377" s="1">
        <v>45961</v>
      </c>
      <c r="D377">
        <v>7296</v>
      </c>
      <c r="E377">
        <v>24</v>
      </c>
      <c r="F377" s="2">
        <v>6359.9</v>
      </c>
      <c r="G377" s="1">
        <v>45965</v>
      </c>
      <c r="I377" t="s">
        <v>9</v>
      </c>
      <c r="J377" s="14">
        <f>IFERROR(VLOOKUP(D377,'INf. RRHH'!$A:$B,2,0),0)</f>
        <v>2900</v>
      </c>
      <c r="K377" s="16">
        <f t="shared" si="15"/>
        <v>3459.8999999999996</v>
      </c>
      <c r="L377" s="17">
        <f t="shared" si="16"/>
        <v>966.67</v>
      </c>
      <c r="M377" s="18">
        <f t="shared" si="17"/>
        <v>4426.57</v>
      </c>
    </row>
    <row r="378" spans="1:13" x14ac:dyDescent="0.25">
      <c r="A378">
        <v>1000</v>
      </c>
      <c r="B378">
        <v>1000</v>
      </c>
      <c r="C378" s="1">
        <v>45961</v>
      </c>
      <c r="D378">
        <v>7402</v>
      </c>
      <c r="E378">
        <v>421</v>
      </c>
      <c r="F378" s="2">
        <v>8212.99</v>
      </c>
      <c r="G378" s="1">
        <v>45965</v>
      </c>
      <c r="I378" t="s">
        <v>9</v>
      </c>
      <c r="J378" s="14">
        <f>IFERROR(VLOOKUP(D378,'INf. RRHH'!$A:$B,2,0),0)</f>
        <v>2900</v>
      </c>
      <c r="K378" s="16">
        <f t="shared" si="15"/>
        <v>5312.99</v>
      </c>
      <c r="L378" s="17">
        <f t="shared" si="16"/>
        <v>966.67</v>
      </c>
      <c r="M378" s="18">
        <f t="shared" si="17"/>
        <v>6279.66</v>
      </c>
    </row>
    <row r="379" spans="1:13" x14ac:dyDescent="0.25">
      <c r="A379">
        <v>1000</v>
      </c>
      <c r="B379">
        <v>1000</v>
      </c>
      <c r="C379" s="1">
        <v>45961</v>
      </c>
      <c r="D379">
        <v>7743</v>
      </c>
      <c r="E379">
        <v>322</v>
      </c>
      <c r="F379" s="2">
        <v>7560.39</v>
      </c>
      <c r="G379" s="1">
        <v>45965</v>
      </c>
      <c r="I379" t="s">
        <v>9</v>
      </c>
      <c r="J379" s="14">
        <f>IFERROR(VLOOKUP(D379,'INf. RRHH'!$A:$B,2,0),0)</f>
        <v>2900</v>
      </c>
      <c r="K379" s="16">
        <f t="shared" si="15"/>
        <v>4660.3900000000003</v>
      </c>
      <c r="L379" s="17">
        <f t="shared" si="16"/>
        <v>966.67</v>
      </c>
      <c r="M379" s="18">
        <f t="shared" si="17"/>
        <v>5627.06</v>
      </c>
    </row>
    <row r="380" spans="1:13" x14ac:dyDescent="0.25">
      <c r="A380">
        <v>1000</v>
      </c>
      <c r="B380">
        <v>1000</v>
      </c>
      <c r="C380" s="1">
        <v>45961</v>
      </c>
      <c r="D380">
        <v>7764</v>
      </c>
      <c r="E380">
        <v>183</v>
      </c>
      <c r="F380" s="2">
        <v>5018.6499999999996</v>
      </c>
      <c r="G380" s="1">
        <v>45965</v>
      </c>
      <c r="I380" t="s">
        <v>9</v>
      </c>
      <c r="J380" s="14">
        <f>IFERROR(VLOOKUP(D380,'INf. RRHH'!$A:$B,2,0),0)</f>
        <v>2900</v>
      </c>
      <c r="K380" s="16">
        <f t="shared" si="15"/>
        <v>2118.6499999999996</v>
      </c>
      <c r="L380" s="17">
        <f t="shared" si="16"/>
        <v>966.67</v>
      </c>
      <c r="M380" s="18">
        <f t="shared" si="17"/>
        <v>3085.3199999999997</v>
      </c>
    </row>
    <row r="381" spans="1:13" x14ac:dyDescent="0.25">
      <c r="A381">
        <v>1000</v>
      </c>
      <c r="B381">
        <v>1000</v>
      </c>
      <c r="C381" s="1">
        <v>45961</v>
      </c>
      <c r="D381">
        <v>7810</v>
      </c>
      <c r="E381">
        <v>240</v>
      </c>
      <c r="F381" s="2">
        <v>6011.69</v>
      </c>
      <c r="G381" s="1">
        <v>45965</v>
      </c>
      <c r="I381" t="s">
        <v>9</v>
      </c>
      <c r="J381" s="14">
        <f>IFERROR(VLOOKUP(D381,'INf. RRHH'!$A:$B,2,0),0)</f>
        <v>2900</v>
      </c>
      <c r="K381" s="16">
        <f t="shared" si="15"/>
        <v>3111.6899999999996</v>
      </c>
      <c r="L381" s="17">
        <f t="shared" si="16"/>
        <v>966.67</v>
      </c>
      <c r="M381" s="18">
        <f t="shared" si="17"/>
        <v>4078.3599999999997</v>
      </c>
    </row>
    <row r="382" spans="1:13" x14ac:dyDescent="0.25">
      <c r="A382">
        <v>1000</v>
      </c>
      <c r="B382">
        <v>1000</v>
      </c>
      <c r="C382" s="1">
        <v>45961</v>
      </c>
      <c r="D382">
        <v>7910</v>
      </c>
      <c r="E382">
        <v>240</v>
      </c>
      <c r="F382" s="2">
        <v>14212.73</v>
      </c>
      <c r="G382" s="1">
        <v>45965</v>
      </c>
      <c r="I382" t="s">
        <v>9</v>
      </c>
      <c r="J382" s="14">
        <f>IFERROR(VLOOKUP(D382,'INf. RRHH'!$A:$B,2,0),0)</f>
        <v>2900</v>
      </c>
      <c r="K382" s="16">
        <f t="shared" si="15"/>
        <v>11312.73</v>
      </c>
      <c r="L382" s="17">
        <f t="shared" si="16"/>
        <v>966.67</v>
      </c>
      <c r="M382" s="18">
        <f t="shared" si="17"/>
        <v>12279.4</v>
      </c>
    </row>
    <row r="383" spans="1:13" x14ac:dyDescent="0.25">
      <c r="A383">
        <v>1000</v>
      </c>
      <c r="B383">
        <v>1000</v>
      </c>
      <c r="C383" s="1">
        <v>45961</v>
      </c>
      <c r="D383">
        <v>7915</v>
      </c>
      <c r="E383">
        <v>244</v>
      </c>
      <c r="F383" s="2">
        <v>6081.53</v>
      </c>
      <c r="G383" s="1">
        <v>45965</v>
      </c>
      <c r="I383" t="s">
        <v>9</v>
      </c>
      <c r="J383" s="14">
        <f>IFERROR(VLOOKUP(D383,'INf. RRHH'!$A:$B,2,0),0)</f>
        <v>2900</v>
      </c>
      <c r="K383" s="16">
        <f t="shared" si="15"/>
        <v>3181.5299999999997</v>
      </c>
      <c r="L383" s="17">
        <f t="shared" si="16"/>
        <v>966.67</v>
      </c>
      <c r="M383" s="18">
        <f t="shared" si="17"/>
        <v>4148.2</v>
      </c>
    </row>
    <row r="384" spans="1:13" x14ac:dyDescent="0.25">
      <c r="A384">
        <v>1000</v>
      </c>
      <c r="B384">
        <v>1000</v>
      </c>
      <c r="C384" s="1">
        <v>45961</v>
      </c>
      <c r="D384">
        <v>9364</v>
      </c>
      <c r="E384">
        <v>1920</v>
      </c>
      <c r="F384" s="2">
        <v>8677.77</v>
      </c>
      <c r="G384" s="1">
        <v>45965</v>
      </c>
      <c r="I384" t="s">
        <v>9</v>
      </c>
      <c r="J384" s="14">
        <f>IFERROR(VLOOKUP(D384,'INf. RRHH'!$A:$B,2,0),0)</f>
        <v>0</v>
      </c>
      <c r="K384" s="16">
        <f t="shared" si="15"/>
        <v>8677.77</v>
      </c>
      <c r="L384" s="17">
        <f t="shared" si="16"/>
        <v>0</v>
      </c>
      <c r="M384" s="18">
        <f t="shared" si="17"/>
        <v>8677.77</v>
      </c>
    </row>
    <row r="385" spans="1:13" x14ac:dyDescent="0.25">
      <c r="A385">
        <v>1000</v>
      </c>
      <c r="B385">
        <v>1000</v>
      </c>
      <c r="C385" s="1">
        <v>45961</v>
      </c>
      <c r="D385">
        <v>90061</v>
      </c>
      <c r="E385">
        <v>413</v>
      </c>
      <c r="F385" s="2">
        <v>7238.1</v>
      </c>
      <c r="G385" s="1">
        <v>45965</v>
      </c>
      <c r="I385" t="s">
        <v>9</v>
      </c>
      <c r="J385" s="14">
        <f>IFERROR(VLOOKUP(D385,'INf. RRHH'!$A:$B,2,0),0)</f>
        <v>2900</v>
      </c>
      <c r="K385" s="16">
        <f t="shared" si="15"/>
        <v>4338.1000000000004</v>
      </c>
      <c r="L385" s="17">
        <f t="shared" si="16"/>
        <v>966.67</v>
      </c>
      <c r="M385" s="18">
        <f t="shared" si="17"/>
        <v>5304.77</v>
      </c>
    </row>
    <row r="386" spans="1:13" x14ac:dyDescent="0.25">
      <c r="A386">
        <v>1000</v>
      </c>
      <c r="B386">
        <v>1000</v>
      </c>
      <c r="C386" s="1">
        <v>45961</v>
      </c>
      <c r="D386">
        <v>90103</v>
      </c>
      <c r="E386">
        <v>405</v>
      </c>
      <c r="F386" s="2">
        <v>6490</v>
      </c>
      <c r="G386" s="1">
        <v>45965</v>
      </c>
      <c r="I386" t="s">
        <v>9</v>
      </c>
      <c r="J386" s="14">
        <f>IFERROR(VLOOKUP(D386,'INf. RRHH'!$A:$B,2,0),0)</f>
        <v>2900</v>
      </c>
      <c r="K386" s="16">
        <f t="shared" si="15"/>
        <v>3590</v>
      </c>
      <c r="L386" s="17">
        <f t="shared" si="16"/>
        <v>966.67</v>
      </c>
      <c r="M386" s="18">
        <f t="shared" si="17"/>
        <v>4556.67</v>
      </c>
    </row>
    <row r="387" spans="1:13" x14ac:dyDescent="0.25">
      <c r="A387">
        <v>1000</v>
      </c>
      <c r="B387">
        <v>1000</v>
      </c>
      <c r="C387" s="1">
        <v>45961</v>
      </c>
      <c r="D387">
        <v>90206</v>
      </c>
      <c r="E387">
        <v>336</v>
      </c>
      <c r="F387" s="2">
        <v>6663.79</v>
      </c>
      <c r="G387" s="1">
        <v>45965</v>
      </c>
      <c r="I387" t="s">
        <v>9</v>
      </c>
      <c r="J387" s="14">
        <f>IFERROR(VLOOKUP(D387,'INf. RRHH'!$A:$B,2,0),0)</f>
        <v>2900</v>
      </c>
      <c r="K387" s="16">
        <f t="shared" ref="K387:K450" si="18">+F387-J387</f>
        <v>3763.79</v>
      </c>
      <c r="L387" s="17">
        <f t="shared" ref="L387:L450" si="19">ROUND(J387/3,2)</f>
        <v>966.67</v>
      </c>
      <c r="M387" s="18">
        <f t="shared" ref="M387:M450" si="20">+K387+L387</f>
        <v>4730.46</v>
      </c>
    </row>
    <row r="388" spans="1:13" x14ac:dyDescent="0.25">
      <c r="A388">
        <v>1000</v>
      </c>
      <c r="B388">
        <v>1000</v>
      </c>
      <c r="C388" s="1">
        <v>45961</v>
      </c>
      <c r="D388">
        <v>90310</v>
      </c>
      <c r="E388">
        <v>369</v>
      </c>
      <c r="F388" s="2">
        <v>6752.4</v>
      </c>
      <c r="G388" s="1">
        <v>45965</v>
      </c>
      <c r="I388" t="s">
        <v>9</v>
      </c>
      <c r="J388" s="14">
        <f>IFERROR(VLOOKUP(D388,'INf. RRHH'!$A:$B,2,0),0)</f>
        <v>2900</v>
      </c>
      <c r="K388" s="16">
        <f t="shared" si="18"/>
        <v>3852.3999999999996</v>
      </c>
      <c r="L388" s="17">
        <f t="shared" si="19"/>
        <v>966.67</v>
      </c>
      <c r="M388" s="18">
        <f t="shared" si="20"/>
        <v>4819.07</v>
      </c>
    </row>
    <row r="389" spans="1:13" x14ac:dyDescent="0.25">
      <c r="A389">
        <v>1000</v>
      </c>
      <c r="B389">
        <v>1000</v>
      </c>
      <c r="C389" s="1">
        <v>45961</v>
      </c>
      <c r="D389">
        <v>90368</v>
      </c>
      <c r="E389">
        <v>300.83</v>
      </c>
      <c r="F389" s="2">
        <v>7330.08</v>
      </c>
      <c r="G389" s="1">
        <v>45965</v>
      </c>
      <c r="I389" t="s">
        <v>9</v>
      </c>
      <c r="J389" s="14">
        <f>IFERROR(VLOOKUP(D389,'INf. RRHH'!$A:$B,2,0),0)</f>
        <v>2900</v>
      </c>
      <c r="K389" s="16">
        <f t="shared" si="18"/>
        <v>4430.08</v>
      </c>
      <c r="L389" s="17">
        <f t="shared" si="19"/>
        <v>966.67</v>
      </c>
      <c r="M389" s="18">
        <f t="shared" si="20"/>
        <v>5396.75</v>
      </c>
    </row>
    <row r="390" spans="1:13" x14ac:dyDescent="0.25">
      <c r="A390">
        <v>1000</v>
      </c>
      <c r="B390">
        <v>1000</v>
      </c>
      <c r="C390" s="1">
        <v>45961</v>
      </c>
      <c r="D390">
        <v>90501</v>
      </c>
      <c r="E390">
        <v>331</v>
      </c>
      <c r="F390" s="2">
        <v>6563.87</v>
      </c>
      <c r="G390" s="1">
        <v>45965</v>
      </c>
      <c r="I390" t="s">
        <v>9</v>
      </c>
      <c r="J390" s="14">
        <f>IFERROR(VLOOKUP(D390,'INf. RRHH'!$A:$B,2,0),0)</f>
        <v>2900</v>
      </c>
      <c r="K390" s="16">
        <f t="shared" si="18"/>
        <v>3663.87</v>
      </c>
      <c r="L390" s="17">
        <f t="shared" si="19"/>
        <v>966.67</v>
      </c>
      <c r="M390" s="18">
        <f t="shared" si="20"/>
        <v>4630.54</v>
      </c>
    </row>
    <row r="391" spans="1:13" x14ac:dyDescent="0.25">
      <c r="A391">
        <v>1000</v>
      </c>
      <c r="B391">
        <v>1000</v>
      </c>
      <c r="C391" s="1">
        <v>45961</v>
      </c>
      <c r="D391">
        <v>90503</v>
      </c>
      <c r="E391">
        <v>328</v>
      </c>
      <c r="F391" s="2">
        <v>4950.41</v>
      </c>
      <c r="G391" s="1">
        <v>45965</v>
      </c>
      <c r="I391" t="s">
        <v>9</v>
      </c>
      <c r="J391" s="14">
        <f>IFERROR(VLOOKUP(D391,'INf. RRHH'!$A:$B,2,0),0)</f>
        <v>2900</v>
      </c>
      <c r="K391" s="16">
        <f t="shared" si="18"/>
        <v>2050.41</v>
      </c>
      <c r="L391" s="17">
        <f t="shared" si="19"/>
        <v>966.67</v>
      </c>
      <c r="M391" s="18">
        <f t="shared" si="20"/>
        <v>3017.08</v>
      </c>
    </row>
    <row r="392" spans="1:13" x14ac:dyDescent="0.25">
      <c r="A392">
        <v>1000</v>
      </c>
      <c r="B392">
        <v>1000</v>
      </c>
      <c r="C392" s="1">
        <v>45961</v>
      </c>
      <c r="D392">
        <v>90540</v>
      </c>
      <c r="E392">
        <v>267</v>
      </c>
      <c r="F392" s="2">
        <v>5808.76</v>
      </c>
      <c r="G392" s="1">
        <v>45965</v>
      </c>
      <c r="I392" t="s">
        <v>9</v>
      </c>
      <c r="J392" s="14">
        <f>IFERROR(VLOOKUP(D392,'INf. RRHH'!$A:$B,2,0),0)</f>
        <v>2900</v>
      </c>
      <c r="K392" s="16">
        <f t="shared" si="18"/>
        <v>2908.76</v>
      </c>
      <c r="L392" s="17">
        <f t="shared" si="19"/>
        <v>966.67</v>
      </c>
      <c r="M392" s="18">
        <f t="shared" si="20"/>
        <v>3875.4300000000003</v>
      </c>
    </row>
    <row r="393" spans="1:13" x14ac:dyDescent="0.25">
      <c r="A393">
        <v>1000</v>
      </c>
      <c r="B393">
        <v>1000</v>
      </c>
      <c r="C393" s="1">
        <v>45961</v>
      </c>
      <c r="D393">
        <v>91381</v>
      </c>
      <c r="E393">
        <v>305.5</v>
      </c>
      <c r="F393" s="2">
        <v>7167.57</v>
      </c>
      <c r="G393" s="1">
        <v>45965</v>
      </c>
      <c r="I393" t="s">
        <v>9</v>
      </c>
      <c r="J393" s="14">
        <f>IFERROR(VLOOKUP(D393,'INf. RRHH'!$A:$B,2,0),0)</f>
        <v>2900</v>
      </c>
      <c r="K393" s="16">
        <f t="shared" si="18"/>
        <v>4267.57</v>
      </c>
      <c r="L393" s="17">
        <f t="shared" si="19"/>
        <v>966.67</v>
      </c>
      <c r="M393" s="18">
        <f t="shared" si="20"/>
        <v>5234.24</v>
      </c>
    </row>
    <row r="394" spans="1:13" x14ac:dyDescent="0.25">
      <c r="A394">
        <v>1000</v>
      </c>
      <c r="B394">
        <v>1000</v>
      </c>
      <c r="C394" s="1">
        <v>45961</v>
      </c>
      <c r="D394">
        <v>91500</v>
      </c>
      <c r="E394">
        <v>240</v>
      </c>
      <c r="F394" s="2">
        <v>4127.96</v>
      </c>
      <c r="G394" s="1">
        <v>45965</v>
      </c>
      <c r="I394" t="s">
        <v>9</v>
      </c>
      <c r="J394" s="14">
        <f>IFERROR(VLOOKUP(D394,'INf. RRHH'!$A:$B,2,0),0)</f>
        <v>2900</v>
      </c>
      <c r="K394" s="16">
        <f t="shared" si="18"/>
        <v>1227.96</v>
      </c>
      <c r="L394" s="17">
        <f t="shared" si="19"/>
        <v>966.67</v>
      </c>
      <c r="M394" s="18">
        <f t="shared" si="20"/>
        <v>2194.63</v>
      </c>
    </row>
    <row r="395" spans="1:13" x14ac:dyDescent="0.25">
      <c r="A395">
        <v>1000</v>
      </c>
      <c r="B395">
        <v>1000</v>
      </c>
      <c r="C395" s="1">
        <v>45961</v>
      </c>
      <c r="D395">
        <v>91571</v>
      </c>
      <c r="E395">
        <v>239.77</v>
      </c>
      <c r="F395" s="2">
        <v>5373.99</v>
      </c>
      <c r="G395" s="1">
        <v>45965</v>
      </c>
      <c r="I395" t="s">
        <v>9</v>
      </c>
      <c r="J395" s="14">
        <f>IFERROR(VLOOKUP(D395,'INf. RRHH'!$A:$B,2,0),0)</f>
        <v>2900</v>
      </c>
      <c r="K395" s="16">
        <f t="shared" si="18"/>
        <v>2473.9899999999998</v>
      </c>
      <c r="L395" s="17">
        <f t="shared" si="19"/>
        <v>966.67</v>
      </c>
      <c r="M395" s="18">
        <f t="shared" si="20"/>
        <v>3440.66</v>
      </c>
    </row>
    <row r="396" spans="1:13" x14ac:dyDescent="0.25">
      <c r="A396">
        <v>1000</v>
      </c>
      <c r="B396">
        <v>1000</v>
      </c>
      <c r="C396" s="1">
        <v>45961</v>
      </c>
      <c r="D396">
        <v>91601</v>
      </c>
      <c r="E396">
        <v>240</v>
      </c>
      <c r="F396" s="2">
        <v>4467.3599999999997</v>
      </c>
      <c r="G396" s="1">
        <v>45965</v>
      </c>
      <c r="I396" t="s">
        <v>9</v>
      </c>
      <c r="J396" s="14">
        <f>IFERROR(VLOOKUP(D396,'INf. RRHH'!$A:$B,2,0),0)</f>
        <v>2900</v>
      </c>
      <c r="K396" s="16">
        <f t="shared" si="18"/>
        <v>1567.3599999999997</v>
      </c>
      <c r="L396" s="17">
        <f t="shared" si="19"/>
        <v>966.67</v>
      </c>
      <c r="M396" s="18">
        <f t="shared" si="20"/>
        <v>2534.0299999999997</v>
      </c>
    </row>
    <row r="397" spans="1:13" x14ac:dyDescent="0.25">
      <c r="A397">
        <v>1000</v>
      </c>
      <c r="B397">
        <v>1000</v>
      </c>
      <c r="C397" s="1">
        <v>45961</v>
      </c>
      <c r="D397">
        <v>92004</v>
      </c>
      <c r="E397">
        <v>347</v>
      </c>
      <c r="F397" s="2">
        <v>5748.41</v>
      </c>
      <c r="G397" s="1">
        <v>45965</v>
      </c>
      <c r="I397" t="s">
        <v>9</v>
      </c>
      <c r="J397" s="14">
        <f>IFERROR(VLOOKUP(D397,'INf. RRHH'!$A:$B,2,0),0)</f>
        <v>2900</v>
      </c>
      <c r="K397" s="16">
        <f t="shared" si="18"/>
        <v>2848.41</v>
      </c>
      <c r="L397" s="17">
        <f t="shared" si="19"/>
        <v>966.67</v>
      </c>
      <c r="M397" s="18">
        <f t="shared" si="20"/>
        <v>3815.08</v>
      </c>
    </row>
    <row r="398" spans="1:13" x14ac:dyDescent="0.25">
      <c r="A398">
        <v>1000</v>
      </c>
      <c r="B398">
        <v>1000</v>
      </c>
      <c r="C398" s="1">
        <v>45961</v>
      </c>
      <c r="D398">
        <v>92024</v>
      </c>
      <c r="E398">
        <v>249</v>
      </c>
      <c r="F398" s="2">
        <v>5566.56</v>
      </c>
      <c r="G398" s="1">
        <v>45965</v>
      </c>
      <c r="I398" t="s">
        <v>9</v>
      </c>
      <c r="J398" s="14">
        <f>IFERROR(VLOOKUP(D398,'INf. RRHH'!$A:$B,2,0),0)</f>
        <v>2900</v>
      </c>
      <c r="K398" s="16">
        <f t="shared" si="18"/>
        <v>2666.5600000000004</v>
      </c>
      <c r="L398" s="17">
        <f t="shared" si="19"/>
        <v>966.67</v>
      </c>
      <c r="M398" s="18">
        <f t="shared" si="20"/>
        <v>3633.2300000000005</v>
      </c>
    </row>
    <row r="399" spans="1:13" x14ac:dyDescent="0.25">
      <c r="A399">
        <v>1000</v>
      </c>
      <c r="B399">
        <v>1000</v>
      </c>
      <c r="C399" s="1">
        <v>45961</v>
      </c>
      <c r="D399">
        <v>92186</v>
      </c>
      <c r="E399">
        <v>120</v>
      </c>
      <c r="F399" s="2">
        <v>5588.29</v>
      </c>
      <c r="G399" s="1">
        <v>45965</v>
      </c>
      <c r="I399" t="s">
        <v>9</v>
      </c>
      <c r="J399" s="14">
        <f>IFERROR(VLOOKUP(D399,'INf. RRHH'!$A:$B,2,0),0)</f>
        <v>2900</v>
      </c>
      <c r="K399" s="16">
        <f t="shared" si="18"/>
        <v>2688.29</v>
      </c>
      <c r="L399" s="17">
        <f t="shared" si="19"/>
        <v>966.67</v>
      </c>
      <c r="M399" s="18">
        <f t="shared" si="20"/>
        <v>3654.96</v>
      </c>
    </row>
    <row r="400" spans="1:13" x14ac:dyDescent="0.25">
      <c r="A400">
        <v>1000</v>
      </c>
      <c r="B400">
        <v>1000</v>
      </c>
      <c r="C400" s="1">
        <v>45961</v>
      </c>
      <c r="D400">
        <v>92212</v>
      </c>
      <c r="E400">
        <v>321</v>
      </c>
      <c r="F400" s="2">
        <v>6419.46</v>
      </c>
      <c r="G400" s="1">
        <v>45965</v>
      </c>
      <c r="I400" t="s">
        <v>9</v>
      </c>
      <c r="J400" s="14">
        <f>IFERROR(VLOOKUP(D400,'INf. RRHH'!$A:$B,2,0),0)</f>
        <v>2900</v>
      </c>
      <c r="K400" s="16">
        <f t="shared" si="18"/>
        <v>3519.46</v>
      </c>
      <c r="L400" s="17">
        <f t="shared" si="19"/>
        <v>966.67</v>
      </c>
      <c r="M400" s="18">
        <f t="shared" si="20"/>
        <v>4486.13</v>
      </c>
    </row>
    <row r="401" spans="1:13" x14ac:dyDescent="0.25">
      <c r="A401">
        <v>1000</v>
      </c>
      <c r="B401">
        <v>1000</v>
      </c>
      <c r="C401" s="1">
        <v>45961</v>
      </c>
      <c r="D401">
        <v>92433</v>
      </c>
      <c r="E401">
        <v>251.21</v>
      </c>
      <c r="F401" s="2">
        <v>6454.16</v>
      </c>
      <c r="G401" s="1">
        <v>45965</v>
      </c>
      <c r="I401" t="s">
        <v>9</v>
      </c>
      <c r="J401" s="14">
        <f>IFERROR(VLOOKUP(D401,'INf. RRHH'!$A:$B,2,0),0)</f>
        <v>2900</v>
      </c>
      <c r="K401" s="16">
        <f t="shared" si="18"/>
        <v>3554.16</v>
      </c>
      <c r="L401" s="17">
        <f t="shared" si="19"/>
        <v>966.67</v>
      </c>
      <c r="M401" s="18">
        <f t="shared" si="20"/>
        <v>4520.83</v>
      </c>
    </row>
    <row r="402" spans="1:13" x14ac:dyDescent="0.25">
      <c r="A402">
        <v>1000</v>
      </c>
      <c r="B402">
        <v>1000</v>
      </c>
      <c r="C402" s="1">
        <v>45961</v>
      </c>
      <c r="D402">
        <v>92671</v>
      </c>
      <c r="E402">
        <v>264.5</v>
      </c>
      <c r="F402" s="2">
        <v>6899.67</v>
      </c>
      <c r="G402" s="1">
        <v>45965</v>
      </c>
      <c r="I402" t="s">
        <v>9</v>
      </c>
      <c r="J402" s="14">
        <f>IFERROR(VLOOKUP(D402,'INf. RRHH'!$A:$B,2,0),0)</f>
        <v>2900</v>
      </c>
      <c r="K402" s="16">
        <f t="shared" si="18"/>
        <v>3999.67</v>
      </c>
      <c r="L402" s="17">
        <f t="shared" si="19"/>
        <v>966.67</v>
      </c>
      <c r="M402" s="18">
        <f t="shared" si="20"/>
        <v>4966.34</v>
      </c>
    </row>
    <row r="403" spans="1:13" x14ac:dyDescent="0.25">
      <c r="A403">
        <v>1000</v>
      </c>
      <c r="B403">
        <v>1000</v>
      </c>
      <c r="C403" s="1">
        <v>45961</v>
      </c>
      <c r="D403">
        <v>93003</v>
      </c>
      <c r="E403">
        <v>292</v>
      </c>
      <c r="F403" s="2">
        <v>7011.43</v>
      </c>
      <c r="G403" s="1">
        <v>45965</v>
      </c>
      <c r="I403" t="s">
        <v>9</v>
      </c>
      <c r="J403" s="14">
        <f>IFERROR(VLOOKUP(D403,'INf. RRHH'!$A:$B,2,0),0)</f>
        <v>2900</v>
      </c>
      <c r="K403" s="16">
        <f t="shared" si="18"/>
        <v>4111.43</v>
      </c>
      <c r="L403" s="17">
        <f t="shared" si="19"/>
        <v>966.67</v>
      </c>
      <c r="M403" s="18">
        <f t="shared" si="20"/>
        <v>5078.1000000000004</v>
      </c>
    </row>
    <row r="404" spans="1:13" x14ac:dyDescent="0.25">
      <c r="A404">
        <v>1000</v>
      </c>
      <c r="B404">
        <v>1000</v>
      </c>
      <c r="C404" s="1">
        <v>45961</v>
      </c>
      <c r="D404">
        <v>93024</v>
      </c>
      <c r="E404">
        <v>200</v>
      </c>
      <c r="F404" s="2">
        <v>3894.53</v>
      </c>
      <c r="G404" s="1">
        <v>45965</v>
      </c>
      <c r="I404" t="s">
        <v>9</v>
      </c>
      <c r="J404" s="14">
        <f>IFERROR(VLOOKUP(D404,'INf. RRHH'!$A:$B,2,0),0)</f>
        <v>2900</v>
      </c>
      <c r="K404" s="16">
        <f t="shared" si="18"/>
        <v>994.5300000000002</v>
      </c>
      <c r="L404" s="17">
        <f t="shared" si="19"/>
        <v>966.67</v>
      </c>
      <c r="M404" s="18">
        <f t="shared" si="20"/>
        <v>1961.2000000000003</v>
      </c>
    </row>
    <row r="405" spans="1:13" x14ac:dyDescent="0.25">
      <c r="A405">
        <v>1000</v>
      </c>
      <c r="B405">
        <v>1000</v>
      </c>
      <c r="C405" s="1">
        <v>45961</v>
      </c>
      <c r="D405">
        <v>93071</v>
      </c>
      <c r="E405">
        <v>275</v>
      </c>
      <c r="F405" s="2">
        <v>5581.06</v>
      </c>
      <c r="G405" s="1">
        <v>45965</v>
      </c>
      <c r="I405" t="s">
        <v>9</v>
      </c>
      <c r="J405" s="14">
        <f>IFERROR(VLOOKUP(D405,'INf. RRHH'!$A:$B,2,0),0)</f>
        <v>2900</v>
      </c>
      <c r="K405" s="16">
        <f t="shared" si="18"/>
        <v>2681.0600000000004</v>
      </c>
      <c r="L405" s="17">
        <f t="shared" si="19"/>
        <v>966.67</v>
      </c>
      <c r="M405" s="18">
        <f t="shared" si="20"/>
        <v>3647.7300000000005</v>
      </c>
    </row>
    <row r="406" spans="1:13" x14ac:dyDescent="0.25">
      <c r="A406">
        <v>1000</v>
      </c>
      <c r="B406">
        <v>1000</v>
      </c>
      <c r="C406" s="1">
        <v>45961</v>
      </c>
      <c r="D406">
        <v>93110</v>
      </c>
      <c r="E406">
        <v>331</v>
      </c>
      <c r="F406" s="2">
        <v>6449.07</v>
      </c>
      <c r="G406" s="1">
        <v>45965</v>
      </c>
      <c r="I406" t="s">
        <v>9</v>
      </c>
      <c r="J406" s="14">
        <f>IFERROR(VLOOKUP(D406,'INf. RRHH'!$A:$B,2,0),0)</f>
        <v>2900</v>
      </c>
      <c r="K406" s="16">
        <f t="shared" si="18"/>
        <v>3549.0699999999997</v>
      </c>
      <c r="L406" s="17">
        <f t="shared" si="19"/>
        <v>966.67</v>
      </c>
      <c r="M406" s="18">
        <f t="shared" si="20"/>
        <v>4515.74</v>
      </c>
    </row>
    <row r="407" spans="1:13" x14ac:dyDescent="0.25">
      <c r="A407">
        <v>1000</v>
      </c>
      <c r="B407">
        <v>1000</v>
      </c>
      <c r="C407" s="1">
        <v>45961</v>
      </c>
      <c r="D407">
        <v>93212</v>
      </c>
      <c r="E407">
        <v>240</v>
      </c>
      <c r="F407" s="2">
        <v>5281.66</v>
      </c>
      <c r="G407" s="1">
        <v>45965</v>
      </c>
      <c r="I407" t="s">
        <v>9</v>
      </c>
      <c r="J407" s="14">
        <f>IFERROR(VLOOKUP(D407,'INf. RRHH'!$A:$B,2,0),0)</f>
        <v>2900</v>
      </c>
      <c r="K407" s="16">
        <f t="shared" si="18"/>
        <v>2381.66</v>
      </c>
      <c r="L407" s="17">
        <f t="shared" si="19"/>
        <v>966.67</v>
      </c>
      <c r="M407" s="18">
        <f t="shared" si="20"/>
        <v>3348.33</v>
      </c>
    </row>
    <row r="408" spans="1:13" x14ac:dyDescent="0.25">
      <c r="A408">
        <v>1000</v>
      </c>
      <c r="B408">
        <v>1000</v>
      </c>
      <c r="C408" s="1">
        <v>45961</v>
      </c>
      <c r="D408">
        <v>93240</v>
      </c>
      <c r="E408">
        <v>240</v>
      </c>
      <c r="F408" s="2">
        <v>5211.2</v>
      </c>
      <c r="G408" s="1">
        <v>45965</v>
      </c>
      <c r="I408" t="s">
        <v>9</v>
      </c>
      <c r="J408" s="14">
        <f>IFERROR(VLOOKUP(D408,'INf. RRHH'!$A:$B,2,0),0)</f>
        <v>2900</v>
      </c>
      <c r="K408" s="16">
        <f t="shared" si="18"/>
        <v>2311.1999999999998</v>
      </c>
      <c r="L408" s="17">
        <f t="shared" si="19"/>
        <v>966.67</v>
      </c>
      <c r="M408" s="18">
        <f t="shared" si="20"/>
        <v>3277.87</v>
      </c>
    </row>
    <row r="409" spans="1:13" x14ac:dyDescent="0.25">
      <c r="A409">
        <v>1000</v>
      </c>
      <c r="B409">
        <v>1000</v>
      </c>
      <c r="C409" s="1">
        <v>45961</v>
      </c>
      <c r="D409">
        <v>93310</v>
      </c>
      <c r="E409">
        <v>240</v>
      </c>
      <c r="F409" s="2">
        <v>5420.05</v>
      </c>
      <c r="G409" s="1">
        <v>45965</v>
      </c>
      <c r="I409" t="s">
        <v>9</v>
      </c>
      <c r="J409" s="14">
        <f>IFERROR(VLOOKUP(D409,'INf. RRHH'!$A:$B,2,0),0)</f>
        <v>2900</v>
      </c>
      <c r="K409" s="16">
        <f t="shared" si="18"/>
        <v>2520.0500000000002</v>
      </c>
      <c r="L409" s="17">
        <f t="shared" si="19"/>
        <v>966.67</v>
      </c>
      <c r="M409" s="18">
        <f t="shared" si="20"/>
        <v>3486.7200000000003</v>
      </c>
    </row>
    <row r="410" spans="1:13" x14ac:dyDescent="0.25">
      <c r="A410">
        <v>1000</v>
      </c>
      <c r="B410">
        <v>1000</v>
      </c>
      <c r="C410" s="1">
        <v>45961</v>
      </c>
      <c r="D410">
        <v>93430</v>
      </c>
      <c r="E410">
        <v>8</v>
      </c>
      <c r="F410" s="2">
        <v>5491.51</v>
      </c>
      <c r="G410" s="1">
        <v>45965</v>
      </c>
      <c r="I410" t="s">
        <v>9</v>
      </c>
      <c r="J410" s="14">
        <f>IFERROR(VLOOKUP(D410,'INf. RRHH'!$A:$B,2,0),0)</f>
        <v>2900</v>
      </c>
      <c r="K410" s="16">
        <f t="shared" si="18"/>
        <v>2591.5100000000002</v>
      </c>
      <c r="L410" s="17">
        <f t="shared" si="19"/>
        <v>966.67</v>
      </c>
      <c r="M410" s="18">
        <f t="shared" si="20"/>
        <v>3558.1800000000003</v>
      </c>
    </row>
    <row r="411" spans="1:13" x14ac:dyDescent="0.25">
      <c r="A411">
        <v>1000</v>
      </c>
      <c r="B411">
        <v>1000</v>
      </c>
      <c r="C411" s="1">
        <v>45961</v>
      </c>
      <c r="D411">
        <v>93522</v>
      </c>
      <c r="E411">
        <v>299</v>
      </c>
      <c r="F411" s="2">
        <v>5712.3</v>
      </c>
      <c r="G411" s="1">
        <v>45965</v>
      </c>
      <c r="I411" t="s">
        <v>9</v>
      </c>
      <c r="J411" s="14">
        <f>IFERROR(VLOOKUP(D411,'INf. RRHH'!$A:$B,2,0),0)</f>
        <v>2900</v>
      </c>
      <c r="K411" s="16">
        <f t="shared" si="18"/>
        <v>2812.3</v>
      </c>
      <c r="L411" s="17">
        <f t="shared" si="19"/>
        <v>966.67</v>
      </c>
      <c r="M411" s="18">
        <f t="shared" si="20"/>
        <v>3778.9700000000003</v>
      </c>
    </row>
    <row r="412" spans="1:13" x14ac:dyDescent="0.25">
      <c r="A412">
        <v>1000</v>
      </c>
      <c r="B412">
        <v>1000</v>
      </c>
      <c r="C412" s="1">
        <v>45961</v>
      </c>
      <c r="D412">
        <v>93620</v>
      </c>
      <c r="E412">
        <v>261.83999999999997</v>
      </c>
      <c r="F412" s="2">
        <v>5860.06</v>
      </c>
      <c r="G412" s="1">
        <v>45965</v>
      </c>
      <c r="I412" t="s">
        <v>9</v>
      </c>
      <c r="J412" s="14">
        <f>IFERROR(VLOOKUP(D412,'INf. RRHH'!$A:$B,2,0),0)</f>
        <v>2900</v>
      </c>
      <c r="K412" s="16">
        <f t="shared" si="18"/>
        <v>2960.0600000000004</v>
      </c>
      <c r="L412" s="17">
        <f t="shared" si="19"/>
        <v>966.67</v>
      </c>
      <c r="M412" s="18">
        <f t="shared" si="20"/>
        <v>3926.7300000000005</v>
      </c>
    </row>
    <row r="413" spans="1:13" x14ac:dyDescent="0.25">
      <c r="A413">
        <v>1000</v>
      </c>
      <c r="B413">
        <v>1000</v>
      </c>
      <c r="C413" s="1">
        <v>45961</v>
      </c>
      <c r="D413">
        <v>93842</v>
      </c>
      <c r="E413">
        <v>234</v>
      </c>
      <c r="F413" s="2">
        <v>5675.35</v>
      </c>
      <c r="G413" s="1">
        <v>45965</v>
      </c>
      <c r="I413" t="s">
        <v>9</v>
      </c>
      <c r="J413" s="14">
        <f>IFERROR(VLOOKUP(D413,'INf. RRHH'!$A:$B,2,0),0)</f>
        <v>2900</v>
      </c>
      <c r="K413" s="16">
        <f t="shared" si="18"/>
        <v>2775.3500000000004</v>
      </c>
      <c r="L413" s="17">
        <f t="shared" si="19"/>
        <v>966.67</v>
      </c>
      <c r="M413" s="18">
        <f t="shared" si="20"/>
        <v>3742.0200000000004</v>
      </c>
    </row>
    <row r="414" spans="1:13" x14ac:dyDescent="0.25">
      <c r="A414">
        <v>1000</v>
      </c>
      <c r="B414">
        <v>1000</v>
      </c>
      <c r="C414" s="1">
        <v>45961</v>
      </c>
      <c r="D414">
        <v>93850</v>
      </c>
      <c r="E414">
        <v>16</v>
      </c>
      <c r="F414" s="2">
        <v>3634.78</v>
      </c>
      <c r="G414" s="1">
        <v>45965</v>
      </c>
      <c r="I414" t="s">
        <v>9</v>
      </c>
      <c r="J414" s="14">
        <f>IFERROR(VLOOKUP(D414,'INf. RRHH'!$A:$B,2,0),0)</f>
        <v>2900</v>
      </c>
      <c r="K414" s="16">
        <f t="shared" si="18"/>
        <v>734.7800000000002</v>
      </c>
      <c r="L414" s="17">
        <f t="shared" si="19"/>
        <v>966.67</v>
      </c>
      <c r="M414" s="18">
        <f t="shared" si="20"/>
        <v>1701.4500000000003</v>
      </c>
    </row>
    <row r="415" spans="1:13" x14ac:dyDescent="0.25">
      <c r="A415">
        <v>1000</v>
      </c>
      <c r="B415">
        <v>1000</v>
      </c>
      <c r="C415" s="1">
        <v>45961</v>
      </c>
      <c r="D415">
        <v>94084</v>
      </c>
      <c r="E415">
        <v>322.42</v>
      </c>
      <c r="F415" s="2">
        <v>7272.63</v>
      </c>
      <c r="G415" s="1">
        <v>45965</v>
      </c>
      <c r="I415" t="s">
        <v>9</v>
      </c>
      <c r="J415" s="14">
        <f>IFERROR(VLOOKUP(D415,'INf. RRHH'!$A:$B,2,0),0)</f>
        <v>2900</v>
      </c>
      <c r="K415" s="16">
        <f t="shared" si="18"/>
        <v>4372.63</v>
      </c>
      <c r="L415" s="17">
        <f t="shared" si="19"/>
        <v>966.67</v>
      </c>
      <c r="M415" s="18">
        <f t="shared" si="20"/>
        <v>5339.3</v>
      </c>
    </row>
    <row r="416" spans="1:13" x14ac:dyDescent="0.25">
      <c r="A416">
        <v>1000</v>
      </c>
      <c r="B416">
        <v>1000</v>
      </c>
      <c r="C416" s="1">
        <v>45961</v>
      </c>
      <c r="D416">
        <v>95152</v>
      </c>
      <c r="E416">
        <v>304</v>
      </c>
      <c r="F416" s="2">
        <v>6263.4</v>
      </c>
      <c r="G416" s="1">
        <v>45965</v>
      </c>
      <c r="I416" t="s">
        <v>9</v>
      </c>
      <c r="J416" s="14">
        <f>IFERROR(VLOOKUP(D416,'INf. RRHH'!$A:$B,2,0),0)</f>
        <v>2900</v>
      </c>
      <c r="K416" s="16">
        <f t="shared" si="18"/>
        <v>3363.3999999999996</v>
      </c>
      <c r="L416" s="17">
        <f t="shared" si="19"/>
        <v>966.67</v>
      </c>
      <c r="M416" s="18">
        <f t="shared" si="20"/>
        <v>4330.07</v>
      </c>
    </row>
    <row r="417" spans="1:13" x14ac:dyDescent="0.25">
      <c r="A417">
        <v>1000</v>
      </c>
      <c r="B417">
        <v>1000</v>
      </c>
      <c r="C417" s="1">
        <v>45961</v>
      </c>
      <c r="D417">
        <v>95236</v>
      </c>
      <c r="E417">
        <v>240</v>
      </c>
      <c r="F417" s="2">
        <v>5913.83</v>
      </c>
      <c r="G417" s="1">
        <v>45965</v>
      </c>
      <c r="I417" t="s">
        <v>9</v>
      </c>
      <c r="J417" s="14">
        <f>IFERROR(VLOOKUP(D417,'INf. RRHH'!$A:$B,2,0),0)</f>
        <v>2900</v>
      </c>
      <c r="K417" s="16">
        <f t="shared" si="18"/>
        <v>3013.83</v>
      </c>
      <c r="L417" s="17">
        <f t="shared" si="19"/>
        <v>966.67</v>
      </c>
      <c r="M417" s="18">
        <f t="shared" si="20"/>
        <v>3980.5</v>
      </c>
    </row>
    <row r="418" spans="1:13" x14ac:dyDescent="0.25">
      <c r="A418">
        <v>1000</v>
      </c>
      <c r="B418">
        <v>1000</v>
      </c>
      <c r="C418" s="1">
        <v>45961</v>
      </c>
      <c r="D418">
        <v>95365</v>
      </c>
      <c r="E418">
        <v>240</v>
      </c>
      <c r="F418" s="2">
        <v>5287.67</v>
      </c>
      <c r="G418" s="1">
        <v>45965</v>
      </c>
      <c r="I418" t="s">
        <v>9</v>
      </c>
      <c r="J418" s="14">
        <f>IFERROR(VLOOKUP(D418,'INf. RRHH'!$A:$B,2,0),0)</f>
        <v>2900</v>
      </c>
      <c r="K418" s="16">
        <f t="shared" si="18"/>
        <v>2387.67</v>
      </c>
      <c r="L418" s="17">
        <f t="shared" si="19"/>
        <v>966.67</v>
      </c>
      <c r="M418" s="18">
        <f t="shared" si="20"/>
        <v>3354.34</v>
      </c>
    </row>
    <row r="419" spans="1:13" x14ac:dyDescent="0.25">
      <c r="A419">
        <v>1000</v>
      </c>
      <c r="B419">
        <v>1000</v>
      </c>
      <c r="C419" s="1">
        <v>45961</v>
      </c>
      <c r="D419">
        <v>95440</v>
      </c>
      <c r="E419">
        <v>224</v>
      </c>
      <c r="F419" s="2">
        <v>3311.93</v>
      </c>
      <c r="G419" s="1">
        <v>45965</v>
      </c>
      <c r="I419" t="s">
        <v>9</v>
      </c>
      <c r="J419" s="14">
        <f>IFERROR(VLOOKUP(D419,'INf. RRHH'!$A:$B,2,0),0)</f>
        <v>1450</v>
      </c>
      <c r="K419" s="16">
        <f t="shared" si="18"/>
        <v>1861.9299999999998</v>
      </c>
      <c r="L419" s="17">
        <f t="shared" si="19"/>
        <v>483.33</v>
      </c>
      <c r="M419" s="18">
        <f t="shared" si="20"/>
        <v>2345.2599999999998</v>
      </c>
    </row>
    <row r="420" spans="1:13" x14ac:dyDescent="0.25">
      <c r="A420">
        <v>1000</v>
      </c>
      <c r="B420">
        <v>1000</v>
      </c>
      <c r="C420" s="1">
        <v>45961</v>
      </c>
      <c r="D420">
        <v>95512</v>
      </c>
      <c r="E420">
        <v>136</v>
      </c>
      <c r="F420" s="2">
        <v>1101.25</v>
      </c>
      <c r="G420" s="1">
        <v>45965</v>
      </c>
      <c r="I420" t="s">
        <v>9</v>
      </c>
      <c r="J420" s="14">
        <f>IFERROR(VLOOKUP(D420,'INf. RRHH'!$A:$B,2,0),0)</f>
        <v>0</v>
      </c>
      <c r="K420" s="16">
        <f t="shared" si="18"/>
        <v>1101.25</v>
      </c>
      <c r="L420" s="17">
        <f t="shared" si="19"/>
        <v>0</v>
      </c>
      <c r="M420" s="18">
        <f t="shared" si="20"/>
        <v>1101.25</v>
      </c>
    </row>
    <row r="421" spans="1:13" x14ac:dyDescent="0.25">
      <c r="A421">
        <v>1000</v>
      </c>
      <c r="B421">
        <v>1000</v>
      </c>
      <c r="C421" s="1">
        <v>45961</v>
      </c>
      <c r="D421">
        <v>4954</v>
      </c>
      <c r="E421">
        <v>382</v>
      </c>
      <c r="F421" s="2">
        <v>7266.42</v>
      </c>
      <c r="G421" s="1">
        <v>45965</v>
      </c>
      <c r="I421" t="s">
        <v>9</v>
      </c>
      <c r="J421" s="14">
        <f>IFERROR(VLOOKUP(D421,'INf. RRHH'!$A:$B,2,0),0)</f>
        <v>2900</v>
      </c>
      <c r="K421" s="16">
        <f t="shared" si="18"/>
        <v>4366.42</v>
      </c>
      <c r="L421" s="17">
        <f t="shared" si="19"/>
        <v>966.67</v>
      </c>
      <c r="M421" s="18">
        <f t="shared" si="20"/>
        <v>5333.09</v>
      </c>
    </row>
    <row r="422" spans="1:13" x14ac:dyDescent="0.25">
      <c r="A422">
        <v>1000</v>
      </c>
      <c r="B422">
        <v>1000</v>
      </c>
      <c r="C422" s="1">
        <v>45961</v>
      </c>
      <c r="D422">
        <v>7215</v>
      </c>
      <c r="E422">
        <v>394</v>
      </c>
      <c r="F422" s="2">
        <v>7981.5</v>
      </c>
      <c r="G422" s="1">
        <v>45965</v>
      </c>
      <c r="I422" t="s">
        <v>9</v>
      </c>
      <c r="J422" s="14">
        <f>IFERROR(VLOOKUP(D422,'INf. RRHH'!$A:$B,2,0),0)</f>
        <v>2900</v>
      </c>
      <c r="K422" s="16">
        <f t="shared" si="18"/>
        <v>5081.5</v>
      </c>
      <c r="L422" s="17">
        <f t="shared" si="19"/>
        <v>966.67</v>
      </c>
      <c r="M422" s="18">
        <f t="shared" si="20"/>
        <v>6048.17</v>
      </c>
    </row>
    <row r="423" spans="1:13" x14ac:dyDescent="0.25">
      <c r="A423">
        <v>1000</v>
      </c>
      <c r="B423">
        <v>1000</v>
      </c>
      <c r="C423" s="1">
        <v>45961</v>
      </c>
      <c r="D423">
        <v>7469</v>
      </c>
      <c r="E423">
        <v>400</v>
      </c>
      <c r="F423" s="2">
        <v>9050.6</v>
      </c>
      <c r="G423" s="1">
        <v>45965</v>
      </c>
      <c r="I423" t="s">
        <v>9</v>
      </c>
      <c r="J423" s="14">
        <f>IFERROR(VLOOKUP(D423,'INf. RRHH'!$A:$B,2,0),0)</f>
        <v>2900</v>
      </c>
      <c r="K423" s="16">
        <f t="shared" si="18"/>
        <v>6150.6</v>
      </c>
      <c r="L423" s="17">
        <f t="shared" si="19"/>
        <v>966.67</v>
      </c>
      <c r="M423" s="18">
        <f t="shared" si="20"/>
        <v>7117.27</v>
      </c>
    </row>
    <row r="424" spans="1:13" x14ac:dyDescent="0.25">
      <c r="A424">
        <v>1000</v>
      </c>
      <c r="B424">
        <v>1000</v>
      </c>
      <c r="C424" s="1">
        <v>45961</v>
      </c>
      <c r="D424">
        <v>7519</v>
      </c>
      <c r="E424">
        <v>368</v>
      </c>
      <c r="F424" s="2">
        <v>7496.63</v>
      </c>
      <c r="G424" s="1">
        <v>45965</v>
      </c>
      <c r="I424" t="s">
        <v>9</v>
      </c>
      <c r="J424" s="14">
        <f>IFERROR(VLOOKUP(D424,'INf. RRHH'!$A:$B,2,0),0)</f>
        <v>2900</v>
      </c>
      <c r="K424" s="16">
        <f t="shared" si="18"/>
        <v>4596.63</v>
      </c>
      <c r="L424" s="17">
        <f t="shared" si="19"/>
        <v>966.67</v>
      </c>
      <c r="M424" s="18">
        <f t="shared" si="20"/>
        <v>5563.3</v>
      </c>
    </row>
    <row r="425" spans="1:13" x14ac:dyDescent="0.25">
      <c r="A425">
        <v>1000</v>
      </c>
      <c r="B425">
        <v>1000</v>
      </c>
      <c r="C425" s="1">
        <v>45961</v>
      </c>
      <c r="D425">
        <v>7974</v>
      </c>
      <c r="E425">
        <v>240</v>
      </c>
      <c r="F425" s="2">
        <v>6876.94</v>
      </c>
      <c r="G425" s="1">
        <v>45965</v>
      </c>
      <c r="I425" t="s">
        <v>9</v>
      </c>
      <c r="J425" s="14">
        <f>IFERROR(VLOOKUP(D425,'INf. RRHH'!$A:$B,2,0),0)</f>
        <v>2900</v>
      </c>
      <c r="K425" s="16">
        <f t="shared" si="18"/>
        <v>3976.9399999999996</v>
      </c>
      <c r="L425" s="17">
        <f t="shared" si="19"/>
        <v>966.67</v>
      </c>
      <c r="M425" s="18">
        <f t="shared" si="20"/>
        <v>4943.6099999999997</v>
      </c>
    </row>
    <row r="426" spans="1:13" x14ac:dyDescent="0.25">
      <c r="A426">
        <v>1000</v>
      </c>
      <c r="B426">
        <v>1000</v>
      </c>
      <c r="C426" s="1">
        <v>45961</v>
      </c>
      <c r="D426">
        <v>9219</v>
      </c>
      <c r="E426">
        <v>16</v>
      </c>
      <c r="F426" s="2">
        <v>19324.09</v>
      </c>
      <c r="G426" s="1">
        <v>45965</v>
      </c>
      <c r="I426" t="s">
        <v>9</v>
      </c>
      <c r="J426" s="14">
        <f>IFERROR(VLOOKUP(D426,'INf. RRHH'!$A:$B,2,0),0)</f>
        <v>0</v>
      </c>
      <c r="K426" s="16">
        <f t="shared" si="18"/>
        <v>19324.09</v>
      </c>
      <c r="L426" s="17">
        <f t="shared" si="19"/>
        <v>0</v>
      </c>
      <c r="M426" s="18">
        <f t="shared" si="20"/>
        <v>19324.09</v>
      </c>
    </row>
    <row r="427" spans="1:13" x14ac:dyDescent="0.25">
      <c r="A427">
        <v>1000</v>
      </c>
      <c r="B427">
        <v>1000</v>
      </c>
      <c r="C427" s="1">
        <v>45961</v>
      </c>
      <c r="D427">
        <v>90150</v>
      </c>
      <c r="E427">
        <v>421</v>
      </c>
      <c r="F427" s="2">
        <v>6987.22</v>
      </c>
      <c r="G427" s="1">
        <v>45965</v>
      </c>
      <c r="I427" t="s">
        <v>9</v>
      </c>
      <c r="J427" s="14">
        <f>IFERROR(VLOOKUP(D427,'INf. RRHH'!$A:$B,2,0),0)</f>
        <v>2900</v>
      </c>
      <c r="K427" s="16">
        <f t="shared" si="18"/>
        <v>4087.2200000000003</v>
      </c>
      <c r="L427" s="17">
        <f t="shared" si="19"/>
        <v>966.67</v>
      </c>
      <c r="M427" s="18">
        <f t="shared" si="20"/>
        <v>5053.8900000000003</v>
      </c>
    </row>
    <row r="428" spans="1:13" x14ac:dyDescent="0.25">
      <c r="A428">
        <v>1000</v>
      </c>
      <c r="B428">
        <v>1000</v>
      </c>
      <c r="C428" s="1">
        <v>45961</v>
      </c>
      <c r="D428">
        <v>90207</v>
      </c>
      <c r="E428">
        <v>328</v>
      </c>
      <c r="F428" s="2">
        <v>4905.51</v>
      </c>
      <c r="G428" s="1">
        <v>45965</v>
      </c>
      <c r="I428" t="s">
        <v>9</v>
      </c>
      <c r="J428" s="14">
        <f>IFERROR(VLOOKUP(D428,'INf. RRHH'!$A:$B,2,0),0)</f>
        <v>2900</v>
      </c>
      <c r="K428" s="16">
        <f t="shared" si="18"/>
        <v>2005.5100000000002</v>
      </c>
      <c r="L428" s="17">
        <f t="shared" si="19"/>
        <v>966.67</v>
      </c>
      <c r="M428" s="18">
        <f t="shared" si="20"/>
        <v>2972.1800000000003</v>
      </c>
    </row>
    <row r="429" spans="1:13" x14ac:dyDescent="0.25">
      <c r="A429">
        <v>1000</v>
      </c>
      <c r="B429">
        <v>1000</v>
      </c>
      <c r="C429" s="1">
        <v>45961</v>
      </c>
      <c r="D429">
        <v>90334</v>
      </c>
      <c r="E429">
        <v>248.8</v>
      </c>
      <c r="F429" s="2">
        <v>6076.89</v>
      </c>
      <c r="G429" s="1">
        <v>45965</v>
      </c>
      <c r="I429" t="s">
        <v>9</v>
      </c>
      <c r="J429" s="14">
        <f>IFERROR(VLOOKUP(D429,'INf. RRHH'!$A:$B,2,0),0)</f>
        <v>2900</v>
      </c>
      <c r="K429" s="16">
        <f t="shared" si="18"/>
        <v>3176.8900000000003</v>
      </c>
      <c r="L429" s="17">
        <f t="shared" si="19"/>
        <v>966.67</v>
      </c>
      <c r="M429" s="18">
        <f t="shared" si="20"/>
        <v>4143.5600000000004</v>
      </c>
    </row>
    <row r="430" spans="1:13" x14ac:dyDescent="0.25">
      <c r="A430">
        <v>1000</v>
      </c>
      <c r="B430">
        <v>1000</v>
      </c>
      <c r="C430" s="1">
        <v>45961</v>
      </c>
      <c r="D430">
        <v>90541</v>
      </c>
      <c r="E430">
        <v>268</v>
      </c>
      <c r="F430" s="2">
        <v>5879.18</v>
      </c>
      <c r="G430" s="1">
        <v>45965</v>
      </c>
      <c r="I430" t="s">
        <v>9</v>
      </c>
      <c r="J430" s="14">
        <f>IFERROR(VLOOKUP(D430,'INf. RRHH'!$A:$B,2,0),0)</f>
        <v>2900</v>
      </c>
      <c r="K430" s="16">
        <f t="shared" si="18"/>
        <v>2979.1800000000003</v>
      </c>
      <c r="L430" s="17">
        <f t="shared" si="19"/>
        <v>966.67</v>
      </c>
      <c r="M430" s="18">
        <f t="shared" si="20"/>
        <v>3945.8500000000004</v>
      </c>
    </row>
    <row r="431" spans="1:13" x14ac:dyDescent="0.25">
      <c r="A431">
        <v>1000</v>
      </c>
      <c r="B431">
        <v>1000</v>
      </c>
      <c r="C431" s="1">
        <v>45961</v>
      </c>
      <c r="D431">
        <v>91017</v>
      </c>
      <c r="E431">
        <v>413</v>
      </c>
      <c r="F431" s="2">
        <v>7082.05</v>
      </c>
      <c r="G431" s="1">
        <v>45965</v>
      </c>
      <c r="I431" t="s">
        <v>9</v>
      </c>
      <c r="J431" s="14">
        <f>IFERROR(VLOOKUP(D431,'INf. RRHH'!$A:$B,2,0),0)</f>
        <v>2900</v>
      </c>
      <c r="K431" s="16">
        <f t="shared" si="18"/>
        <v>4182.05</v>
      </c>
      <c r="L431" s="17">
        <f t="shared" si="19"/>
        <v>966.67</v>
      </c>
      <c r="M431" s="18">
        <f t="shared" si="20"/>
        <v>5148.72</v>
      </c>
    </row>
    <row r="432" spans="1:13" x14ac:dyDescent="0.25">
      <c r="A432">
        <v>1000</v>
      </c>
      <c r="B432">
        <v>1000</v>
      </c>
      <c r="C432" s="1">
        <v>45961</v>
      </c>
      <c r="D432">
        <v>91018</v>
      </c>
      <c r="E432">
        <v>339</v>
      </c>
      <c r="F432" s="2">
        <v>5800.18</v>
      </c>
      <c r="G432" s="1">
        <v>45965</v>
      </c>
      <c r="I432" t="s">
        <v>9</v>
      </c>
      <c r="J432" s="14">
        <f>IFERROR(VLOOKUP(D432,'INf. RRHH'!$A:$B,2,0),0)</f>
        <v>2900</v>
      </c>
      <c r="K432" s="16">
        <f t="shared" si="18"/>
        <v>2900.1800000000003</v>
      </c>
      <c r="L432" s="17">
        <f t="shared" si="19"/>
        <v>966.67</v>
      </c>
      <c r="M432" s="18">
        <f t="shared" si="20"/>
        <v>3866.8500000000004</v>
      </c>
    </row>
    <row r="433" spans="1:13" x14ac:dyDescent="0.25">
      <c r="A433">
        <v>1000</v>
      </c>
      <c r="B433">
        <v>1000</v>
      </c>
      <c r="C433" s="1">
        <v>45961</v>
      </c>
      <c r="D433">
        <v>91057</v>
      </c>
      <c r="E433">
        <v>402</v>
      </c>
      <c r="F433" s="2">
        <v>7274.09</v>
      </c>
      <c r="G433" s="1">
        <v>45965</v>
      </c>
      <c r="I433" t="s">
        <v>9</v>
      </c>
      <c r="J433" s="14">
        <f>IFERROR(VLOOKUP(D433,'INf. RRHH'!$A:$B,2,0),0)</f>
        <v>2900</v>
      </c>
      <c r="K433" s="16">
        <f t="shared" si="18"/>
        <v>4374.09</v>
      </c>
      <c r="L433" s="17">
        <f t="shared" si="19"/>
        <v>966.67</v>
      </c>
      <c r="M433" s="18">
        <f t="shared" si="20"/>
        <v>5340.76</v>
      </c>
    </row>
    <row r="434" spans="1:13" x14ac:dyDescent="0.25">
      <c r="A434">
        <v>1000</v>
      </c>
      <c r="B434">
        <v>1000</v>
      </c>
      <c r="C434" s="1">
        <v>45961</v>
      </c>
      <c r="D434">
        <v>91060</v>
      </c>
      <c r="E434">
        <v>327</v>
      </c>
      <c r="F434" s="2">
        <v>6442.27</v>
      </c>
      <c r="G434" s="1">
        <v>45965</v>
      </c>
      <c r="I434" t="s">
        <v>9</v>
      </c>
      <c r="J434" s="14">
        <f>IFERROR(VLOOKUP(D434,'INf. RRHH'!$A:$B,2,0),0)</f>
        <v>2900</v>
      </c>
      <c r="K434" s="16">
        <f t="shared" si="18"/>
        <v>3542.2700000000004</v>
      </c>
      <c r="L434" s="17">
        <f t="shared" si="19"/>
        <v>966.67</v>
      </c>
      <c r="M434" s="18">
        <f t="shared" si="20"/>
        <v>4508.9400000000005</v>
      </c>
    </row>
    <row r="435" spans="1:13" x14ac:dyDescent="0.25">
      <c r="A435">
        <v>1000</v>
      </c>
      <c r="B435">
        <v>1000</v>
      </c>
      <c r="C435" s="1">
        <v>45961</v>
      </c>
      <c r="D435">
        <v>91071</v>
      </c>
      <c r="E435">
        <v>241</v>
      </c>
      <c r="F435" s="2">
        <v>6483.62</v>
      </c>
      <c r="G435" s="1">
        <v>45965</v>
      </c>
      <c r="I435" t="s">
        <v>9</v>
      </c>
      <c r="J435" s="14">
        <f>IFERROR(VLOOKUP(D435,'INf. RRHH'!$A:$B,2,0),0)</f>
        <v>2900</v>
      </c>
      <c r="K435" s="16">
        <f t="shared" si="18"/>
        <v>3583.62</v>
      </c>
      <c r="L435" s="17">
        <f t="shared" si="19"/>
        <v>966.67</v>
      </c>
      <c r="M435" s="18">
        <f t="shared" si="20"/>
        <v>4550.29</v>
      </c>
    </row>
    <row r="436" spans="1:13" x14ac:dyDescent="0.25">
      <c r="A436">
        <v>1000</v>
      </c>
      <c r="B436">
        <v>1000</v>
      </c>
      <c r="C436" s="1">
        <v>45961</v>
      </c>
      <c r="D436">
        <v>91177</v>
      </c>
      <c r="E436">
        <v>240</v>
      </c>
      <c r="F436" s="2">
        <v>6022.31</v>
      </c>
      <c r="G436" s="1">
        <v>45965</v>
      </c>
      <c r="I436" t="s">
        <v>9</v>
      </c>
      <c r="J436" s="14">
        <f>IFERROR(VLOOKUP(D436,'INf. RRHH'!$A:$B,2,0),0)</f>
        <v>2900</v>
      </c>
      <c r="K436" s="16">
        <f t="shared" si="18"/>
        <v>3122.3100000000004</v>
      </c>
      <c r="L436" s="17">
        <f t="shared" si="19"/>
        <v>966.67</v>
      </c>
      <c r="M436" s="18">
        <f t="shared" si="20"/>
        <v>4088.9800000000005</v>
      </c>
    </row>
    <row r="437" spans="1:13" x14ac:dyDescent="0.25">
      <c r="A437">
        <v>1000</v>
      </c>
      <c r="B437">
        <v>1000</v>
      </c>
      <c r="C437" s="1">
        <v>45961</v>
      </c>
      <c r="D437">
        <v>91333</v>
      </c>
      <c r="E437">
        <v>304</v>
      </c>
      <c r="F437" s="2">
        <v>5288.14</v>
      </c>
      <c r="G437" s="1">
        <v>45965</v>
      </c>
      <c r="I437" t="s">
        <v>9</v>
      </c>
      <c r="J437" s="14">
        <f>IFERROR(VLOOKUP(D437,'INf. RRHH'!$A:$B,2,0),0)</f>
        <v>2900</v>
      </c>
      <c r="K437" s="16">
        <f t="shared" si="18"/>
        <v>2388.1400000000003</v>
      </c>
      <c r="L437" s="17">
        <f t="shared" si="19"/>
        <v>966.67</v>
      </c>
      <c r="M437" s="18">
        <f t="shared" si="20"/>
        <v>3354.8100000000004</v>
      </c>
    </row>
    <row r="438" spans="1:13" x14ac:dyDescent="0.25">
      <c r="A438">
        <v>1000</v>
      </c>
      <c r="B438">
        <v>1000</v>
      </c>
      <c r="C438" s="1">
        <v>45961</v>
      </c>
      <c r="D438">
        <v>91355</v>
      </c>
      <c r="E438">
        <v>307.37</v>
      </c>
      <c r="F438" s="2">
        <v>6231.84</v>
      </c>
      <c r="G438" s="1">
        <v>45965</v>
      </c>
      <c r="I438" t="s">
        <v>9</v>
      </c>
      <c r="J438" s="14">
        <f>IFERROR(VLOOKUP(D438,'INf. RRHH'!$A:$B,2,0),0)</f>
        <v>2900</v>
      </c>
      <c r="K438" s="16">
        <f t="shared" si="18"/>
        <v>3331.84</v>
      </c>
      <c r="L438" s="17">
        <f t="shared" si="19"/>
        <v>966.67</v>
      </c>
      <c r="M438" s="18">
        <f t="shared" si="20"/>
        <v>4298.51</v>
      </c>
    </row>
    <row r="439" spans="1:13" x14ac:dyDescent="0.25">
      <c r="A439">
        <v>1000</v>
      </c>
      <c r="B439">
        <v>1000</v>
      </c>
      <c r="C439" s="1">
        <v>45961</v>
      </c>
      <c r="D439">
        <v>91640</v>
      </c>
      <c r="E439">
        <v>304</v>
      </c>
      <c r="F439" s="2">
        <v>4549.8599999999997</v>
      </c>
      <c r="G439" s="1">
        <v>45965</v>
      </c>
      <c r="I439" t="s">
        <v>9</v>
      </c>
      <c r="J439" s="14">
        <f>IFERROR(VLOOKUP(D439,'INf. RRHH'!$A:$B,2,0),0)</f>
        <v>2900</v>
      </c>
      <c r="K439" s="16">
        <f t="shared" si="18"/>
        <v>1649.8599999999997</v>
      </c>
      <c r="L439" s="17">
        <f t="shared" si="19"/>
        <v>966.67</v>
      </c>
      <c r="M439" s="18">
        <f t="shared" si="20"/>
        <v>2616.5299999999997</v>
      </c>
    </row>
    <row r="440" spans="1:13" x14ac:dyDescent="0.25">
      <c r="A440">
        <v>1000</v>
      </c>
      <c r="B440">
        <v>1000</v>
      </c>
      <c r="C440" s="1">
        <v>45961</v>
      </c>
      <c r="D440">
        <v>92017</v>
      </c>
      <c r="E440">
        <v>304</v>
      </c>
      <c r="F440" s="2">
        <v>4652.87</v>
      </c>
      <c r="G440" s="1">
        <v>45965</v>
      </c>
      <c r="I440" t="s">
        <v>9</v>
      </c>
      <c r="J440" s="14">
        <f>IFERROR(VLOOKUP(D440,'INf. RRHH'!$A:$B,2,0),0)</f>
        <v>2900</v>
      </c>
      <c r="K440" s="16">
        <f t="shared" si="18"/>
        <v>1752.87</v>
      </c>
      <c r="L440" s="17">
        <f t="shared" si="19"/>
        <v>966.67</v>
      </c>
      <c r="M440" s="18">
        <f t="shared" si="20"/>
        <v>2719.54</v>
      </c>
    </row>
    <row r="441" spans="1:13" x14ac:dyDescent="0.25">
      <c r="A441">
        <v>1000</v>
      </c>
      <c r="B441">
        <v>1000</v>
      </c>
      <c r="C441" s="1">
        <v>45961</v>
      </c>
      <c r="D441">
        <v>92324</v>
      </c>
      <c r="E441">
        <v>222</v>
      </c>
      <c r="F441" s="2">
        <v>5440.3</v>
      </c>
      <c r="G441" s="1">
        <v>45965</v>
      </c>
      <c r="I441" t="s">
        <v>9</v>
      </c>
      <c r="J441" s="14">
        <f>IFERROR(VLOOKUP(D441,'INf. RRHH'!$A:$B,2,0),0)</f>
        <v>2900</v>
      </c>
      <c r="K441" s="16">
        <f t="shared" si="18"/>
        <v>2540.3000000000002</v>
      </c>
      <c r="L441" s="17">
        <f t="shared" si="19"/>
        <v>966.67</v>
      </c>
      <c r="M441" s="18">
        <f t="shared" si="20"/>
        <v>3506.9700000000003</v>
      </c>
    </row>
    <row r="442" spans="1:13" x14ac:dyDescent="0.25">
      <c r="A442">
        <v>1000</v>
      </c>
      <c r="B442">
        <v>1000</v>
      </c>
      <c r="C442" s="1">
        <v>45961</v>
      </c>
      <c r="D442">
        <v>92404</v>
      </c>
      <c r="E442">
        <v>304</v>
      </c>
      <c r="F442" s="2">
        <v>4682.18</v>
      </c>
      <c r="G442" s="1">
        <v>45965</v>
      </c>
      <c r="I442" t="s">
        <v>9</v>
      </c>
      <c r="J442" s="14">
        <f>IFERROR(VLOOKUP(D442,'INf. RRHH'!$A:$B,2,0),0)</f>
        <v>2900</v>
      </c>
      <c r="K442" s="16">
        <f t="shared" si="18"/>
        <v>1782.1800000000003</v>
      </c>
      <c r="L442" s="17">
        <f t="shared" si="19"/>
        <v>966.67</v>
      </c>
      <c r="M442" s="18">
        <f t="shared" si="20"/>
        <v>2748.8500000000004</v>
      </c>
    </row>
    <row r="443" spans="1:13" x14ac:dyDescent="0.25">
      <c r="A443">
        <v>1000</v>
      </c>
      <c r="B443">
        <v>1000</v>
      </c>
      <c r="C443" s="1">
        <v>45961</v>
      </c>
      <c r="D443">
        <v>92630</v>
      </c>
      <c r="E443">
        <v>328</v>
      </c>
      <c r="F443" s="2">
        <v>5568.61</v>
      </c>
      <c r="G443" s="1">
        <v>45965</v>
      </c>
      <c r="I443" t="s">
        <v>9</v>
      </c>
      <c r="J443" s="14">
        <f>IFERROR(VLOOKUP(D443,'INf. RRHH'!$A:$B,2,0),0)</f>
        <v>2900</v>
      </c>
      <c r="K443" s="16">
        <f t="shared" si="18"/>
        <v>2668.6099999999997</v>
      </c>
      <c r="L443" s="17">
        <f t="shared" si="19"/>
        <v>966.67</v>
      </c>
      <c r="M443" s="18">
        <f t="shared" si="20"/>
        <v>3635.2799999999997</v>
      </c>
    </row>
    <row r="444" spans="1:13" x14ac:dyDescent="0.25">
      <c r="A444">
        <v>1000</v>
      </c>
      <c r="B444">
        <v>1000</v>
      </c>
      <c r="C444" s="1">
        <v>45961</v>
      </c>
      <c r="D444">
        <v>92800</v>
      </c>
      <c r="E444">
        <v>240</v>
      </c>
      <c r="F444" s="2">
        <v>5204.72</v>
      </c>
      <c r="G444" s="1">
        <v>45965</v>
      </c>
      <c r="I444" t="s">
        <v>9</v>
      </c>
      <c r="J444" s="14">
        <f>IFERROR(VLOOKUP(D444,'INf. RRHH'!$A:$B,2,0),0)</f>
        <v>2900</v>
      </c>
      <c r="K444" s="16">
        <f t="shared" si="18"/>
        <v>2304.7200000000003</v>
      </c>
      <c r="L444" s="17">
        <f t="shared" si="19"/>
        <v>966.67</v>
      </c>
      <c r="M444" s="18">
        <f t="shared" si="20"/>
        <v>3271.3900000000003</v>
      </c>
    </row>
    <row r="445" spans="1:13" x14ac:dyDescent="0.25">
      <c r="A445">
        <v>1000</v>
      </c>
      <c r="B445">
        <v>1000</v>
      </c>
      <c r="C445" s="1">
        <v>45961</v>
      </c>
      <c r="D445">
        <v>92943</v>
      </c>
      <c r="E445">
        <v>289.5</v>
      </c>
      <c r="F445" s="2">
        <v>7192.73</v>
      </c>
      <c r="G445" s="1">
        <v>45965</v>
      </c>
      <c r="I445" t="s">
        <v>9</v>
      </c>
      <c r="J445" s="14">
        <f>IFERROR(VLOOKUP(D445,'INf. RRHH'!$A:$B,2,0),0)</f>
        <v>2900</v>
      </c>
      <c r="K445" s="16">
        <f t="shared" si="18"/>
        <v>4292.7299999999996</v>
      </c>
      <c r="L445" s="17">
        <f t="shared" si="19"/>
        <v>966.67</v>
      </c>
      <c r="M445" s="18">
        <f t="shared" si="20"/>
        <v>5259.4</v>
      </c>
    </row>
    <row r="446" spans="1:13" x14ac:dyDescent="0.25">
      <c r="A446">
        <v>1000</v>
      </c>
      <c r="B446">
        <v>1000</v>
      </c>
      <c r="C446" s="1">
        <v>45961</v>
      </c>
      <c r="D446">
        <v>93033</v>
      </c>
      <c r="E446">
        <v>365</v>
      </c>
      <c r="F446" s="2">
        <v>7453.24</v>
      </c>
      <c r="G446" s="1">
        <v>45965</v>
      </c>
      <c r="I446" t="s">
        <v>9</v>
      </c>
      <c r="J446" s="14">
        <f>IFERROR(VLOOKUP(D446,'INf. RRHH'!$A:$B,2,0),0)</f>
        <v>2900</v>
      </c>
      <c r="K446" s="16">
        <f t="shared" si="18"/>
        <v>4553.24</v>
      </c>
      <c r="L446" s="17">
        <f t="shared" si="19"/>
        <v>966.67</v>
      </c>
      <c r="M446" s="18">
        <f t="shared" si="20"/>
        <v>5519.91</v>
      </c>
    </row>
    <row r="447" spans="1:13" x14ac:dyDescent="0.25">
      <c r="A447">
        <v>1000</v>
      </c>
      <c r="B447">
        <v>1000</v>
      </c>
      <c r="C447" s="1">
        <v>45961</v>
      </c>
      <c r="D447">
        <v>93112</v>
      </c>
      <c r="E447">
        <v>274</v>
      </c>
      <c r="F447" s="2">
        <v>7750.9</v>
      </c>
      <c r="G447" s="1">
        <v>45965</v>
      </c>
      <c r="I447" t="s">
        <v>9</v>
      </c>
      <c r="J447" s="14">
        <f>IFERROR(VLOOKUP(D447,'INf. RRHH'!$A:$B,2,0),0)</f>
        <v>2900</v>
      </c>
      <c r="K447" s="16">
        <f t="shared" si="18"/>
        <v>4850.8999999999996</v>
      </c>
      <c r="L447" s="17">
        <f t="shared" si="19"/>
        <v>966.67</v>
      </c>
      <c r="M447" s="18">
        <f t="shared" si="20"/>
        <v>5817.57</v>
      </c>
    </row>
    <row r="448" spans="1:13" x14ac:dyDescent="0.25">
      <c r="A448">
        <v>1000</v>
      </c>
      <c r="B448">
        <v>1000</v>
      </c>
      <c r="C448" s="1">
        <v>45961</v>
      </c>
      <c r="D448">
        <v>93209</v>
      </c>
      <c r="E448">
        <v>270.5</v>
      </c>
      <c r="F448" s="2">
        <v>6406.37</v>
      </c>
      <c r="G448" s="1">
        <v>45965</v>
      </c>
      <c r="I448" t="s">
        <v>9</v>
      </c>
      <c r="J448" s="14">
        <f>IFERROR(VLOOKUP(D448,'INf. RRHH'!$A:$B,2,0),0)</f>
        <v>2900</v>
      </c>
      <c r="K448" s="16">
        <f t="shared" si="18"/>
        <v>3506.37</v>
      </c>
      <c r="L448" s="17">
        <f t="shared" si="19"/>
        <v>966.67</v>
      </c>
      <c r="M448" s="18">
        <f t="shared" si="20"/>
        <v>4473.04</v>
      </c>
    </row>
    <row r="449" spans="1:13" x14ac:dyDescent="0.25">
      <c r="A449">
        <v>1000</v>
      </c>
      <c r="B449">
        <v>1000</v>
      </c>
      <c r="C449" s="1">
        <v>45961</v>
      </c>
      <c r="D449">
        <v>93223</v>
      </c>
      <c r="E449">
        <v>314</v>
      </c>
      <c r="F449" s="2">
        <v>6434.85</v>
      </c>
      <c r="G449" s="1">
        <v>45965</v>
      </c>
      <c r="I449" t="s">
        <v>9</v>
      </c>
      <c r="J449" s="14">
        <f>IFERROR(VLOOKUP(D449,'INf. RRHH'!$A:$B,2,0),0)</f>
        <v>2900</v>
      </c>
      <c r="K449" s="16">
        <f t="shared" si="18"/>
        <v>3534.8500000000004</v>
      </c>
      <c r="L449" s="17">
        <f t="shared" si="19"/>
        <v>966.67</v>
      </c>
      <c r="M449" s="18">
        <f t="shared" si="20"/>
        <v>4501.5200000000004</v>
      </c>
    </row>
    <row r="450" spans="1:13" x14ac:dyDescent="0.25">
      <c r="A450">
        <v>1000</v>
      </c>
      <c r="B450">
        <v>1000</v>
      </c>
      <c r="C450" s="1">
        <v>45961</v>
      </c>
      <c r="D450">
        <v>93390</v>
      </c>
      <c r="E450">
        <v>252</v>
      </c>
      <c r="F450" s="2">
        <v>5536.25</v>
      </c>
      <c r="G450" s="1">
        <v>45965</v>
      </c>
      <c r="I450" t="s">
        <v>9</v>
      </c>
      <c r="J450" s="14">
        <f>IFERROR(VLOOKUP(D450,'INf. RRHH'!$A:$B,2,0),0)</f>
        <v>2900</v>
      </c>
      <c r="K450" s="16">
        <f t="shared" si="18"/>
        <v>2636.25</v>
      </c>
      <c r="L450" s="17">
        <f t="shared" si="19"/>
        <v>966.67</v>
      </c>
      <c r="M450" s="18">
        <f t="shared" si="20"/>
        <v>3602.92</v>
      </c>
    </row>
    <row r="451" spans="1:13" x14ac:dyDescent="0.25">
      <c r="A451">
        <v>1000</v>
      </c>
      <c r="B451">
        <v>1000</v>
      </c>
      <c r="C451" s="1">
        <v>45961</v>
      </c>
      <c r="D451">
        <v>93456</v>
      </c>
      <c r="E451">
        <v>279.33</v>
      </c>
      <c r="F451" s="2">
        <v>6898.87</v>
      </c>
      <c r="G451" s="1">
        <v>45965</v>
      </c>
      <c r="I451" t="s">
        <v>9</v>
      </c>
      <c r="J451" s="14">
        <f>IFERROR(VLOOKUP(D451,'INf. RRHH'!$A:$B,2,0),0)</f>
        <v>2900</v>
      </c>
      <c r="K451" s="16">
        <f t="shared" ref="K451:K514" si="21">+F451-J451</f>
        <v>3998.87</v>
      </c>
      <c r="L451" s="17">
        <f t="shared" ref="L451:L514" si="22">ROUND(J451/3,2)</f>
        <v>966.67</v>
      </c>
      <c r="M451" s="18">
        <f t="shared" ref="M451:M514" si="23">+K451+L451</f>
        <v>4965.54</v>
      </c>
    </row>
    <row r="452" spans="1:13" x14ac:dyDescent="0.25">
      <c r="A452">
        <v>1000</v>
      </c>
      <c r="B452">
        <v>1000</v>
      </c>
      <c r="C452" s="1">
        <v>45961</v>
      </c>
      <c r="D452">
        <v>93511</v>
      </c>
      <c r="E452">
        <v>240</v>
      </c>
      <c r="F452" s="2">
        <v>5374.93</v>
      </c>
      <c r="G452" s="1">
        <v>45965</v>
      </c>
      <c r="I452" t="s">
        <v>9</v>
      </c>
      <c r="J452" s="14">
        <f>IFERROR(VLOOKUP(D452,'INf. RRHH'!$A:$B,2,0),0)</f>
        <v>2900</v>
      </c>
      <c r="K452" s="16">
        <f t="shared" si="21"/>
        <v>2474.9300000000003</v>
      </c>
      <c r="L452" s="17">
        <f t="shared" si="22"/>
        <v>966.67</v>
      </c>
      <c r="M452" s="18">
        <f t="shared" si="23"/>
        <v>3441.6000000000004</v>
      </c>
    </row>
    <row r="453" spans="1:13" x14ac:dyDescent="0.25">
      <c r="A453">
        <v>1000</v>
      </c>
      <c r="B453">
        <v>1000</v>
      </c>
      <c r="C453" s="1">
        <v>45961</v>
      </c>
      <c r="D453">
        <v>93960</v>
      </c>
      <c r="E453">
        <v>351.84</v>
      </c>
      <c r="F453" s="2">
        <v>7632.79</v>
      </c>
      <c r="G453" s="1">
        <v>45965</v>
      </c>
      <c r="I453" t="s">
        <v>9</v>
      </c>
      <c r="J453" s="14">
        <f>IFERROR(VLOOKUP(D453,'INf. RRHH'!$A:$B,2,0),0)</f>
        <v>2900</v>
      </c>
      <c r="K453" s="16">
        <f t="shared" si="21"/>
        <v>4732.79</v>
      </c>
      <c r="L453" s="17">
        <f t="shared" si="22"/>
        <v>966.67</v>
      </c>
      <c r="M453" s="18">
        <f t="shared" si="23"/>
        <v>5699.46</v>
      </c>
    </row>
    <row r="454" spans="1:13" x14ac:dyDescent="0.25">
      <c r="A454">
        <v>1000</v>
      </c>
      <c r="B454">
        <v>1000</v>
      </c>
      <c r="C454" s="1">
        <v>45961</v>
      </c>
      <c r="D454">
        <v>94101</v>
      </c>
      <c r="E454">
        <v>259</v>
      </c>
      <c r="F454" s="2">
        <v>5774.12</v>
      </c>
      <c r="G454" s="1">
        <v>45965</v>
      </c>
      <c r="I454" t="s">
        <v>9</v>
      </c>
      <c r="J454" s="14">
        <f>IFERROR(VLOOKUP(D454,'INf. RRHH'!$A:$B,2,0),0)</f>
        <v>2900</v>
      </c>
      <c r="K454" s="16">
        <f t="shared" si="21"/>
        <v>2874.12</v>
      </c>
      <c r="L454" s="17">
        <f t="shared" si="22"/>
        <v>966.67</v>
      </c>
      <c r="M454" s="18">
        <f t="shared" si="23"/>
        <v>3840.79</v>
      </c>
    </row>
    <row r="455" spans="1:13" x14ac:dyDescent="0.25">
      <c r="A455">
        <v>1000</v>
      </c>
      <c r="B455">
        <v>1000</v>
      </c>
      <c r="C455" s="1">
        <v>45961</v>
      </c>
      <c r="D455">
        <v>94204</v>
      </c>
      <c r="E455">
        <v>261.25</v>
      </c>
      <c r="F455" s="2">
        <v>5824.95</v>
      </c>
      <c r="G455" s="1">
        <v>45965</v>
      </c>
      <c r="I455" t="s">
        <v>9</v>
      </c>
      <c r="J455" s="14">
        <f>IFERROR(VLOOKUP(D455,'INf. RRHH'!$A:$B,2,0),0)</f>
        <v>2900</v>
      </c>
      <c r="K455" s="16">
        <f t="shared" si="21"/>
        <v>2924.95</v>
      </c>
      <c r="L455" s="17">
        <f t="shared" si="22"/>
        <v>966.67</v>
      </c>
      <c r="M455" s="18">
        <f t="shared" si="23"/>
        <v>3891.62</v>
      </c>
    </row>
    <row r="456" spans="1:13" x14ac:dyDescent="0.25">
      <c r="A456">
        <v>1000</v>
      </c>
      <c r="B456">
        <v>1000</v>
      </c>
      <c r="C456" s="1">
        <v>45961</v>
      </c>
      <c r="D456">
        <v>94266</v>
      </c>
      <c r="E456">
        <v>308</v>
      </c>
      <c r="F456" s="2">
        <v>7081.87</v>
      </c>
      <c r="G456" s="1">
        <v>45965</v>
      </c>
      <c r="I456" t="s">
        <v>9</v>
      </c>
      <c r="J456" s="14">
        <f>IFERROR(VLOOKUP(D456,'INf. RRHH'!$A:$B,2,0),0)</f>
        <v>2900</v>
      </c>
      <c r="K456" s="16">
        <f t="shared" si="21"/>
        <v>4181.87</v>
      </c>
      <c r="L456" s="17">
        <f t="shared" si="22"/>
        <v>966.67</v>
      </c>
      <c r="M456" s="18">
        <f t="shared" si="23"/>
        <v>5148.54</v>
      </c>
    </row>
    <row r="457" spans="1:13" x14ac:dyDescent="0.25">
      <c r="A457">
        <v>1000</v>
      </c>
      <c r="B457">
        <v>1000</v>
      </c>
      <c r="C457" s="1">
        <v>45961</v>
      </c>
      <c r="D457">
        <v>94438</v>
      </c>
      <c r="E457">
        <v>193.66</v>
      </c>
      <c r="F457" s="2">
        <v>5391.58</v>
      </c>
      <c r="G457" s="1">
        <v>45965</v>
      </c>
      <c r="I457" t="s">
        <v>9</v>
      </c>
      <c r="J457" s="14">
        <f>IFERROR(VLOOKUP(D457,'INf. RRHH'!$A:$B,2,0),0)</f>
        <v>2900</v>
      </c>
      <c r="K457" s="16">
        <f t="shared" si="21"/>
        <v>2491.58</v>
      </c>
      <c r="L457" s="17">
        <f t="shared" si="22"/>
        <v>966.67</v>
      </c>
      <c r="M457" s="18">
        <f t="shared" si="23"/>
        <v>3458.25</v>
      </c>
    </row>
    <row r="458" spans="1:13" x14ac:dyDescent="0.25">
      <c r="A458">
        <v>1000</v>
      </c>
      <c r="B458">
        <v>1000</v>
      </c>
      <c r="C458" s="1">
        <v>45961</v>
      </c>
      <c r="D458">
        <v>94591</v>
      </c>
      <c r="E458">
        <v>311</v>
      </c>
      <c r="F458" s="2">
        <v>7223.23</v>
      </c>
      <c r="G458" s="1">
        <v>45965</v>
      </c>
      <c r="I458" t="s">
        <v>9</v>
      </c>
      <c r="J458" s="14">
        <f>IFERROR(VLOOKUP(D458,'INf. RRHH'!$A:$B,2,0),0)</f>
        <v>2900</v>
      </c>
      <c r="K458" s="16">
        <f t="shared" si="21"/>
        <v>4323.2299999999996</v>
      </c>
      <c r="L458" s="17">
        <f t="shared" si="22"/>
        <v>966.67</v>
      </c>
      <c r="M458" s="18">
        <f t="shared" si="23"/>
        <v>5289.9</v>
      </c>
    </row>
    <row r="459" spans="1:13" x14ac:dyDescent="0.25">
      <c r="A459">
        <v>1000</v>
      </c>
      <c r="B459">
        <v>1000</v>
      </c>
      <c r="C459" s="1">
        <v>45961</v>
      </c>
      <c r="D459">
        <v>95041</v>
      </c>
      <c r="E459">
        <v>244</v>
      </c>
      <c r="F459" s="2">
        <v>5774.26</v>
      </c>
      <c r="G459" s="1">
        <v>45965</v>
      </c>
      <c r="I459" t="s">
        <v>9</v>
      </c>
      <c r="J459" s="14">
        <f>IFERROR(VLOOKUP(D459,'INf. RRHH'!$A:$B,2,0),0)</f>
        <v>2900</v>
      </c>
      <c r="K459" s="16">
        <f t="shared" si="21"/>
        <v>2874.26</v>
      </c>
      <c r="L459" s="17">
        <f t="shared" si="22"/>
        <v>966.67</v>
      </c>
      <c r="M459" s="18">
        <f t="shared" si="23"/>
        <v>3840.9300000000003</v>
      </c>
    </row>
    <row r="460" spans="1:13" x14ac:dyDescent="0.25">
      <c r="A460">
        <v>1000</v>
      </c>
      <c r="B460">
        <v>1000</v>
      </c>
      <c r="C460" s="1">
        <v>45961</v>
      </c>
      <c r="D460">
        <v>95158</v>
      </c>
      <c r="E460">
        <v>347</v>
      </c>
      <c r="F460" s="2">
        <v>7351.64</v>
      </c>
      <c r="G460" s="1">
        <v>45965</v>
      </c>
      <c r="I460" t="s">
        <v>9</v>
      </c>
      <c r="J460" s="14">
        <f>IFERROR(VLOOKUP(D460,'INf. RRHH'!$A:$B,2,0),0)</f>
        <v>2900</v>
      </c>
      <c r="K460" s="16">
        <f t="shared" si="21"/>
        <v>4451.6400000000003</v>
      </c>
      <c r="L460" s="17">
        <f t="shared" si="22"/>
        <v>966.67</v>
      </c>
      <c r="M460" s="18">
        <f t="shared" si="23"/>
        <v>5418.31</v>
      </c>
    </row>
    <row r="461" spans="1:13" x14ac:dyDescent="0.25">
      <c r="A461">
        <v>1000</v>
      </c>
      <c r="B461">
        <v>1000</v>
      </c>
      <c r="C461" s="1">
        <v>45961</v>
      </c>
      <c r="D461">
        <v>95167</v>
      </c>
      <c r="E461">
        <v>240</v>
      </c>
      <c r="F461" s="2">
        <v>5133.67</v>
      </c>
      <c r="G461" s="1">
        <v>45965</v>
      </c>
      <c r="I461" t="s">
        <v>9</v>
      </c>
      <c r="J461" s="14">
        <f>IFERROR(VLOOKUP(D461,'INf. RRHH'!$A:$B,2,0),0)</f>
        <v>2900</v>
      </c>
      <c r="K461" s="16">
        <f t="shared" si="21"/>
        <v>2233.67</v>
      </c>
      <c r="L461" s="17">
        <f t="shared" si="22"/>
        <v>966.67</v>
      </c>
      <c r="M461" s="18">
        <f t="shared" si="23"/>
        <v>3200.34</v>
      </c>
    </row>
    <row r="462" spans="1:13" x14ac:dyDescent="0.25">
      <c r="A462">
        <v>1000</v>
      </c>
      <c r="B462">
        <v>1000</v>
      </c>
      <c r="C462" s="1">
        <v>45961</v>
      </c>
      <c r="D462">
        <v>95241</v>
      </c>
      <c r="E462">
        <v>240</v>
      </c>
      <c r="F462" s="2">
        <v>5133.45</v>
      </c>
      <c r="G462" s="1">
        <v>45965</v>
      </c>
      <c r="I462" t="s">
        <v>9</v>
      </c>
      <c r="J462" s="14">
        <f>IFERROR(VLOOKUP(D462,'INf. RRHH'!$A:$B,2,0),0)</f>
        <v>2900</v>
      </c>
      <c r="K462" s="16">
        <f t="shared" si="21"/>
        <v>2233.4499999999998</v>
      </c>
      <c r="L462" s="17">
        <f t="shared" si="22"/>
        <v>966.67</v>
      </c>
      <c r="M462" s="18">
        <f t="shared" si="23"/>
        <v>3200.12</v>
      </c>
    </row>
    <row r="463" spans="1:13" x14ac:dyDescent="0.25">
      <c r="A463">
        <v>1000</v>
      </c>
      <c r="B463">
        <v>1000</v>
      </c>
      <c r="C463" s="1">
        <v>45961</v>
      </c>
      <c r="D463">
        <v>95248</v>
      </c>
      <c r="E463">
        <v>275</v>
      </c>
      <c r="F463" s="2">
        <v>7014.36</v>
      </c>
      <c r="G463" s="1">
        <v>45965</v>
      </c>
      <c r="I463" t="s">
        <v>9</v>
      </c>
      <c r="J463" s="14">
        <f>IFERROR(VLOOKUP(D463,'INf. RRHH'!$A:$B,2,0),0)</f>
        <v>2900</v>
      </c>
      <c r="K463" s="16">
        <f t="shared" si="21"/>
        <v>4114.3599999999997</v>
      </c>
      <c r="L463" s="17">
        <f t="shared" si="22"/>
        <v>966.67</v>
      </c>
      <c r="M463" s="18">
        <f t="shared" si="23"/>
        <v>5081.03</v>
      </c>
    </row>
    <row r="464" spans="1:13" x14ac:dyDescent="0.25">
      <c r="A464">
        <v>1000</v>
      </c>
      <c r="B464">
        <v>1000</v>
      </c>
      <c r="C464" s="1">
        <v>45961</v>
      </c>
      <c r="D464">
        <v>95265</v>
      </c>
      <c r="E464">
        <v>240</v>
      </c>
      <c r="F464" s="2">
        <v>5133.32</v>
      </c>
      <c r="G464" s="1">
        <v>45965</v>
      </c>
      <c r="I464" t="s">
        <v>9</v>
      </c>
      <c r="J464" s="14">
        <f>IFERROR(VLOOKUP(D464,'INf. RRHH'!$A:$B,2,0),0)</f>
        <v>2900</v>
      </c>
      <c r="K464" s="16">
        <f t="shared" si="21"/>
        <v>2233.3199999999997</v>
      </c>
      <c r="L464" s="17">
        <f t="shared" si="22"/>
        <v>966.67</v>
      </c>
      <c r="M464" s="18">
        <f t="shared" si="23"/>
        <v>3199.99</v>
      </c>
    </row>
    <row r="465" spans="1:13" x14ac:dyDescent="0.25">
      <c r="A465">
        <v>1000</v>
      </c>
      <c r="B465">
        <v>1000</v>
      </c>
      <c r="C465" s="1">
        <v>45961</v>
      </c>
      <c r="D465">
        <v>95428</v>
      </c>
      <c r="E465">
        <v>343.5</v>
      </c>
      <c r="F465" s="2">
        <v>6130.8</v>
      </c>
      <c r="G465" s="1">
        <v>45965</v>
      </c>
      <c r="I465" t="s">
        <v>9</v>
      </c>
      <c r="J465" s="14">
        <f>IFERROR(VLOOKUP(D465,'INf. RRHH'!$A:$B,2,0),0)</f>
        <v>1450</v>
      </c>
      <c r="K465" s="16">
        <f t="shared" si="21"/>
        <v>4680.8</v>
      </c>
      <c r="L465" s="17">
        <f t="shared" si="22"/>
        <v>483.33</v>
      </c>
      <c r="M465" s="18">
        <f t="shared" si="23"/>
        <v>5164.13</v>
      </c>
    </row>
    <row r="466" spans="1:13" x14ac:dyDescent="0.25">
      <c r="A466">
        <v>1000</v>
      </c>
      <c r="B466">
        <v>1000</v>
      </c>
      <c r="C466" s="1">
        <v>45961</v>
      </c>
      <c r="D466">
        <v>95429</v>
      </c>
      <c r="E466">
        <v>325</v>
      </c>
      <c r="F466" s="2">
        <v>5979.95</v>
      </c>
      <c r="G466" s="1">
        <v>45965</v>
      </c>
      <c r="I466" t="s">
        <v>9</v>
      </c>
      <c r="J466" s="14">
        <f>IFERROR(VLOOKUP(D466,'INf. RRHH'!$A:$B,2,0),0)</f>
        <v>1450</v>
      </c>
      <c r="K466" s="16">
        <f t="shared" si="21"/>
        <v>4529.95</v>
      </c>
      <c r="L466" s="17">
        <f t="shared" si="22"/>
        <v>483.33</v>
      </c>
      <c r="M466" s="18">
        <f t="shared" si="23"/>
        <v>5013.28</v>
      </c>
    </row>
    <row r="467" spans="1:13" x14ac:dyDescent="0.25">
      <c r="A467">
        <v>1000</v>
      </c>
      <c r="B467">
        <v>1000</v>
      </c>
      <c r="C467" s="1">
        <v>45961</v>
      </c>
      <c r="D467">
        <v>95452</v>
      </c>
      <c r="E467">
        <v>252.5</v>
      </c>
      <c r="F467" s="2">
        <v>3824.03</v>
      </c>
      <c r="G467" s="1">
        <v>45965</v>
      </c>
      <c r="I467" t="s">
        <v>9</v>
      </c>
      <c r="J467" s="14">
        <f>IFERROR(VLOOKUP(D467,'INf. RRHH'!$A:$B,2,0),0)</f>
        <v>1450</v>
      </c>
      <c r="K467" s="16">
        <f t="shared" si="21"/>
        <v>2374.0300000000002</v>
      </c>
      <c r="L467" s="17">
        <f t="shared" si="22"/>
        <v>483.33</v>
      </c>
      <c r="M467" s="18">
        <f t="shared" si="23"/>
        <v>2857.36</v>
      </c>
    </row>
    <row r="468" spans="1:13" x14ac:dyDescent="0.25">
      <c r="A468">
        <v>1000</v>
      </c>
      <c r="B468">
        <v>1000</v>
      </c>
      <c r="C468" s="1">
        <v>45961</v>
      </c>
      <c r="D468">
        <v>95456</v>
      </c>
      <c r="E468">
        <v>257</v>
      </c>
      <c r="F468" s="2">
        <v>2265.89</v>
      </c>
      <c r="G468" s="1">
        <v>45965</v>
      </c>
      <c r="I468" t="s">
        <v>9</v>
      </c>
      <c r="J468" s="14">
        <f>IFERROR(VLOOKUP(D468,'INf. RRHH'!$A:$B,2,0),0)</f>
        <v>0</v>
      </c>
      <c r="K468" s="16">
        <f t="shared" si="21"/>
        <v>2265.89</v>
      </c>
      <c r="L468" s="17">
        <f t="shared" si="22"/>
        <v>0</v>
      </c>
      <c r="M468" s="18">
        <f t="shared" si="23"/>
        <v>2265.89</v>
      </c>
    </row>
    <row r="469" spans="1:13" x14ac:dyDescent="0.25">
      <c r="A469">
        <v>1000</v>
      </c>
      <c r="B469">
        <v>1000</v>
      </c>
      <c r="C469" s="1">
        <v>45961</v>
      </c>
      <c r="D469">
        <v>95507</v>
      </c>
      <c r="E469">
        <v>240</v>
      </c>
      <c r="F469" s="2">
        <v>5185.03</v>
      </c>
      <c r="G469" s="1">
        <v>45965</v>
      </c>
      <c r="I469" t="s">
        <v>9</v>
      </c>
      <c r="J469" s="14">
        <f>IFERROR(VLOOKUP(D469,'INf. RRHH'!$A:$B,2,0),0)</f>
        <v>2900</v>
      </c>
      <c r="K469" s="16">
        <f t="shared" si="21"/>
        <v>2285.0299999999997</v>
      </c>
      <c r="L469" s="17">
        <f t="shared" si="22"/>
        <v>966.67</v>
      </c>
      <c r="M469" s="18">
        <f t="shared" si="23"/>
        <v>3251.7</v>
      </c>
    </row>
    <row r="470" spans="1:13" x14ac:dyDescent="0.25">
      <c r="A470">
        <v>1000</v>
      </c>
      <c r="B470">
        <v>1000</v>
      </c>
      <c r="C470" s="1">
        <v>45961</v>
      </c>
      <c r="D470">
        <v>7550</v>
      </c>
      <c r="E470">
        <v>240</v>
      </c>
      <c r="F470" s="2">
        <v>567.1</v>
      </c>
      <c r="G470" s="1">
        <v>45965</v>
      </c>
      <c r="I470" t="s">
        <v>9</v>
      </c>
      <c r="J470" s="14">
        <f>IFERROR(VLOOKUP(D470,'INf. RRHH'!$A:$B,2,0),0)</f>
        <v>2900</v>
      </c>
      <c r="K470" s="16">
        <f t="shared" si="21"/>
        <v>-2332.9</v>
      </c>
      <c r="L470" s="17">
        <f t="shared" si="22"/>
        <v>966.67</v>
      </c>
      <c r="M470" s="18">
        <f t="shared" si="23"/>
        <v>-1366.23</v>
      </c>
    </row>
    <row r="471" spans="1:13" x14ac:dyDescent="0.25">
      <c r="A471">
        <v>1000</v>
      </c>
      <c r="B471">
        <v>1000</v>
      </c>
      <c r="C471" s="1">
        <v>45961</v>
      </c>
      <c r="D471">
        <v>7901</v>
      </c>
      <c r="E471">
        <v>304</v>
      </c>
      <c r="F471" s="2">
        <v>8005.41</v>
      </c>
      <c r="G471" s="1">
        <v>45965</v>
      </c>
      <c r="I471" t="s">
        <v>9</v>
      </c>
      <c r="J471" s="14">
        <f>IFERROR(VLOOKUP(D471,'INf. RRHH'!$A:$B,2,0),0)</f>
        <v>2900</v>
      </c>
      <c r="K471" s="16">
        <f t="shared" si="21"/>
        <v>5105.41</v>
      </c>
      <c r="L471" s="17">
        <f t="shared" si="22"/>
        <v>966.67</v>
      </c>
      <c r="M471" s="18">
        <f t="shared" si="23"/>
        <v>6072.08</v>
      </c>
    </row>
    <row r="472" spans="1:13" x14ac:dyDescent="0.25">
      <c r="A472">
        <v>1000</v>
      </c>
      <c r="B472">
        <v>1000</v>
      </c>
      <c r="C472" s="1">
        <v>45961</v>
      </c>
      <c r="D472">
        <v>7943</v>
      </c>
      <c r="E472">
        <v>413</v>
      </c>
      <c r="F472" s="2">
        <v>7284.53</v>
      </c>
      <c r="G472" s="1">
        <v>45965</v>
      </c>
      <c r="I472" t="s">
        <v>9</v>
      </c>
      <c r="J472" s="14">
        <f>IFERROR(VLOOKUP(D472,'INf. RRHH'!$A:$B,2,0),0)</f>
        <v>2900</v>
      </c>
      <c r="K472" s="16">
        <f t="shared" si="21"/>
        <v>4384.53</v>
      </c>
      <c r="L472" s="17">
        <f t="shared" si="22"/>
        <v>966.67</v>
      </c>
      <c r="M472" s="18">
        <f t="shared" si="23"/>
        <v>5351.2</v>
      </c>
    </row>
    <row r="473" spans="1:13" x14ac:dyDescent="0.25">
      <c r="A473">
        <v>1000</v>
      </c>
      <c r="B473">
        <v>1000</v>
      </c>
      <c r="C473" s="1">
        <v>45961</v>
      </c>
      <c r="D473">
        <v>8243</v>
      </c>
      <c r="E473">
        <v>128</v>
      </c>
      <c r="F473" s="2">
        <v>6845.11</v>
      </c>
      <c r="G473" s="1">
        <v>45965</v>
      </c>
      <c r="I473" t="s">
        <v>9</v>
      </c>
      <c r="J473" s="14">
        <f>IFERROR(VLOOKUP(D473,'INf. RRHH'!$A:$B,2,0),0)</f>
        <v>2900</v>
      </c>
      <c r="K473" s="16">
        <f t="shared" si="21"/>
        <v>3945.1099999999997</v>
      </c>
      <c r="L473" s="17">
        <f t="shared" si="22"/>
        <v>966.67</v>
      </c>
      <c r="M473" s="18">
        <f t="shared" si="23"/>
        <v>4911.78</v>
      </c>
    </row>
    <row r="474" spans="1:13" x14ac:dyDescent="0.25">
      <c r="A474">
        <v>1000</v>
      </c>
      <c r="B474">
        <v>1000</v>
      </c>
      <c r="C474" s="1">
        <v>45961</v>
      </c>
      <c r="D474">
        <v>9293</v>
      </c>
      <c r="E474">
        <v>64</v>
      </c>
      <c r="F474" s="2">
        <v>12578.56</v>
      </c>
      <c r="G474" s="1">
        <v>45965</v>
      </c>
      <c r="I474" t="s">
        <v>9</v>
      </c>
      <c r="J474" s="14">
        <f>IFERROR(VLOOKUP(D474,'INf. RRHH'!$A:$B,2,0),0)</f>
        <v>0</v>
      </c>
      <c r="K474" s="16">
        <f t="shared" si="21"/>
        <v>12578.56</v>
      </c>
      <c r="L474" s="17">
        <f t="shared" si="22"/>
        <v>0</v>
      </c>
      <c r="M474" s="18">
        <f t="shared" si="23"/>
        <v>12578.56</v>
      </c>
    </row>
    <row r="475" spans="1:13" x14ac:dyDescent="0.25">
      <c r="A475">
        <v>1000</v>
      </c>
      <c r="B475">
        <v>1000</v>
      </c>
      <c r="C475" s="1">
        <v>45961</v>
      </c>
      <c r="D475">
        <v>90052</v>
      </c>
      <c r="E475">
        <v>240</v>
      </c>
      <c r="F475" s="2">
        <v>5398.45</v>
      </c>
      <c r="G475" s="1">
        <v>45965</v>
      </c>
      <c r="I475" t="s">
        <v>9</v>
      </c>
      <c r="J475" s="14">
        <f>IFERROR(VLOOKUP(D475,'INf. RRHH'!$A:$B,2,0),0)</f>
        <v>2900</v>
      </c>
      <c r="K475" s="16">
        <f t="shared" si="21"/>
        <v>2498.4499999999998</v>
      </c>
      <c r="L475" s="17">
        <f t="shared" si="22"/>
        <v>966.67</v>
      </c>
      <c r="M475" s="18">
        <f t="shared" si="23"/>
        <v>3465.12</v>
      </c>
    </row>
    <row r="476" spans="1:13" x14ac:dyDescent="0.25">
      <c r="A476">
        <v>1000</v>
      </c>
      <c r="B476">
        <v>1000</v>
      </c>
      <c r="C476" s="1">
        <v>45961</v>
      </c>
      <c r="D476">
        <v>90311</v>
      </c>
      <c r="E476">
        <v>391</v>
      </c>
      <c r="F476" s="2">
        <v>6808.81</v>
      </c>
      <c r="G476" s="1">
        <v>45965</v>
      </c>
      <c r="I476" t="s">
        <v>9</v>
      </c>
      <c r="J476" s="14">
        <f>IFERROR(VLOOKUP(D476,'INf. RRHH'!$A:$B,2,0),0)</f>
        <v>2900</v>
      </c>
      <c r="K476" s="16">
        <f t="shared" si="21"/>
        <v>3908.8100000000004</v>
      </c>
      <c r="L476" s="17">
        <f t="shared" si="22"/>
        <v>966.67</v>
      </c>
      <c r="M476" s="18">
        <f t="shared" si="23"/>
        <v>4875.4800000000005</v>
      </c>
    </row>
    <row r="477" spans="1:13" x14ac:dyDescent="0.25">
      <c r="A477">
        <v>1000</v>
      </c>
      <c r="B477">
        <v>1000</v>
      </c>
      <c r="C477" s="1">
        <v>45961</v>
      </c>
      <c r="D477">
        <v>90344</v>
      </c>
      <c r="E477">
        <v>296.83</v>
      </c>
      <c r="F477" s="2">
        <v>7717.52</v>
      </c>
      <c r="G477" s="1">
        <v>45965</v>
      </c>
      <c r="I477" t="s">
        <v>9</v>
      </c>
      <c r="J477" s="14">
        <f>IFERROR(VLOOKUP(D477,'INf. RRHH'!$A:$B,2,0),0)</f>
        <v>2900</v>
      </c>
      <c r="K477" s="16">
        <f t="shared" si="21"/>
        <v>4817.5200000000004</v>
      </c>
      <c r="L477" s="17">
        <f t="shared" si="22"/>
        <v>966.67</v>
      </c>
      <c r="M477" s="18">
        <f t="shared" si="23"/>
        <v>5784.1900000000005</v>
      </c>
    </row>
    <row r="478" spans="1:13" x14ac:dyDescent="0.25">
      <c r="A478">
        <v>1000</v>
      </c>
      <c r="B478">
        <v>1000</v>
      </c>
      <c r="C478" s="1">
        <v>45961</v>
      </c>
      <c r="D478">
        <v>90651</v>
      </c>
      <c r="E478">
        <v>0</v>
      </c>
      <c r="F478" s="2">
        <v>2290.64</v>
      </c>
      <c r="G478" s="1">
        <v>45965</v>
      </c>
      <c r="I478" t="s">
        <v>9</v>
      </c>
      <c r="J478" s="14">
        <f>IFERROR(VLOOKUP(D478,'INf. RRHH'!$A:$B,2,0),0)</f>
        <v>2900</v>
      </c>
      <c r="K478" s="16">
        <f t="shared" si="21"/>
        <v>-609.36000000000013</v>
      </c>
      <c r="L478" s="17">
        <f t="shared" si="22"/>
        <v>966.67</v>
      </c>
      <c r="M478" s="18">
        <f t="shared" si="23"/>
        <v>357.30999999999983</v>
      </c>
    </row>
    <row r="479" spans="1:13" x14ac:dyDescent="0.25">
      <c r="A479">
        <v>1000</v>
      </c>
      <c r="B479">
        <v>1000</v>
      </c>
      <c r="C479" s="1">
        <v>45961</v>
      </c>
      <c r="D479">
        <v>91043</v>
      </c>
      <c r="E479">
        <v>192</v>
      </c>
      <c r="F479" s="2">
        <v>4954.34</v>
      </c>
      <c r="G479" s="1">
        <v>45965</v>
      </c>
      <c r="I479" t="s">
        <v>9</v>
      </c>
      <c r="J479" s="14">
        <f>IFERROR(VLOOKUP(D479,'INf. RRHH'!$A:$B,2,0),0)</f>
        <v>2900</v>
      </c>
      <c r="K479" s="16">
        <f t="shared" si="21"/>
        <v>2054.34</v>
      </c>
      <c r="L479" s="17">
        <f t="shared" si="22"/>
        <v>966.67</v>
      </c>
      <c r="M479" s="18">
        <f t="shared" si="23"/>
        <v>3021.01</v>
      </c>
    </row>
    <row r="480" spans="1:13" x14ac:dyDescent="0.25">
      <c r="A480">
        <v>1000</v>
      </c>
      <c r="B480">
        <v>1000</v>
      </c>
      <c r="C480" s="1">
        <v>45961</v>
      </c>
      <c r="D480">
        <v>91105</v>
      </c>
      <c r="E480">
        <v>234.25</v>
      </c>
      <c r="F480" s="2">
        <v>6734.94</v>
      </c>
      <c r="G480" s="1">
        <v>45965</v>
      </c>
      <c r="I480" t="s">
        <v>9</v>
      </c>
      <c r="J480" s="14">
        <f>IFERROR(VLOOKUP(D480,'INf. RRHH'!$A:$B,2,0),0)</f>
        <v>2900</v>
      </c>
      <c r="K480" s="16">
        <f t="shared" si="21"/>
        <v>3834.9399999999996</v>
      </c>
      <c r="L480" s="17">
        <f t="shared" si="22"/>
        <v>966.67</v>
      </c>
      <c r="M480" s="18">
        <f t="shared" si="23"/>
        <v>4801.6099999999997</v>
      </c>
    </row>
    <row r="481" spans="1:13" x14ac:dyDescent="0.25">
      <c r="A481">
        <v>1000</v>
      </c>
      <c r="B481">
        <v>1000</v>
      </c>
      <c r="C481" s="1">
        <v>45961</v>
      </c>
      <c r="D481">
        <v>91412</v>
      </c>
      <c r="E481">
        <v>208</v>
      </c>
      <c r="F481" s="2">
        <v>4541.87</v>
      </c>
      <c r="G481" s="1">
        <v>45965</v>
      </c>
      <c r="I481" t="s">
        <v>9</v>
      </c>
      <c r="J481" s="14">
        <f>IFERROR(VLOOKUP(D481,'INf. RRHH'!$A:$B,2,0),0)</f>
        <v>2900</v>
      </c>
      <c r="K481" s="16">
        <f t="shared" si="21"/>
        <v>1641.87</v>
      </c>
      <c r="L481" s="17">
        <f t="shared" si="22"/>
        <v>966.67</v>
      </c>
      <c r="M481" s="18">
        <f t="shared" si="23"/>
        <v>2608.54</v>
      </c>
    </row>
    <row r="482" spans="1:13" x14ac:dyDescent="0.25">
      <c r="A482">
        <v>1000</v>
      </c>
      <c r="B482">
        <v>1000</v>
      </c>
      <c r="C482" s="1">
        <v>45961</v>
      </c>
      <c r="D482">
        <v>91430</v>
      </c>
      <c r="E482">
        <v>240</v>
      </c>
      <c r="F482" s="2">
        <v>4634.71</v>
      </c>
      <c r="G482" s="1">
        <v>45965</v>
      </c>
      <c r="I482" t="s">
        <v>9</v>
      </c>
      <c r="J482" s="14">
        <f>IFERROR(VLOOKUP(D482,'INf. RRHH'!$A:$B,2,0),0)</f>
        <v>2900</v>
      </c>
      <c r="K482" s="16">
        <f t="shared" si="21"/>
        <v>1734.71</v>
      </c>
      <c r="L482" s="17">
        <f t="shared" si="22"/>
        <v>966.67</v>
      </c>
      <c r="M482" s="18">
        <f t="shared" si="23"/>
        <v>2701.38</v>
      </c>
    </row>
    <row r="483" spans="1:13" x14ac:dyDescent="0.25">
      <c r="A483">
        <v>1000</v>
      </c>
      <c r="B483">
        <v>1000</v>
      </c>
      <c r="C483" s="1">
        <v>45961</v>
      </c>
      <c r="D483">
        <v>91440</v>
      </c>
      <c r="E483">
        <v>232</v>
      </c>
      <c r="F483" s="2">
        <v>4628.68</v>
      </c>
      <c r="G483" s="1">
        <v>45965</v>
      </c>
      <c r="I483" t="s">
        <v>9</v>
      </c>
      <c r="J483" s="14">
        <f>IFERROR(VLOOKUP(D483,'INf. RRHH'!$A:$B,2,0),0)</f>
        <v>2900</v>
      </c>
      <c r="K483" s="16">
        <f t="shared" si="21"/>
        <v>1728.6800000000003</v>
      </c>
      <c r="L483" s="17">
        <f t="shared" si="22"/>
        <v>966.67</v>
      </c>
      <c r="M483" s="18">
        <f t="shared" si="23"/>
        <v>2695.3500000000004</v>
      </c>
    </row>
    <row r="484" spans="1:13" x14ac:dyDescent="0.25">
      <c r="A484">
        <v>1000</v>
      </c>
      <c r="B484">
        <v>1000</v>
      </c>
      <c r="C484" s="1">
        <v>45961</v>
      </c>
      <c r="D484">
        <v>91465</v>
      </c>
      <c r="E484">
        <v>271</v>
      </c>
      <c r="F484" s="2">
        <v>5712.58</v>
      </c>
      <c r="G484" s="1">
        <v>45965</v>
      </c>
      <c r="I484" t="s">
        <v>9</v>
      </c>
      <c r="J484" s="14">
        <f>IFERROR(VLOOKUP(D484,'INf. RRHH'!$A:$B,2,0),0)</f>
        <v>2900</v>
      </c>
      <c r="K484" s="16">
        <f t="shared" si="21"/>
        <v>2812.58</v>
      </c>
      <c r="L484" s="17">
        <f t="shared" si="22"/>
        <v>966.67</v>
      </c>
      <c r="M484" s="18">
        <f t="shared" si="23"/>
        <v>3779.25</v>
      </c>
    </row>
    <row r="485" spans="1:13" x14ac:dyDescent="0.25">
      <c r="A485">
        <v>1000</v>
      </c>
      <c r="B485">
        <v>1000</v>
      </c>
      <c r="C485" s="1">
        <v>45961</v>
      </c>
      <c r="D485">
        <v>91620</v>
      </c>
      <c r="E485">
        <v>267</v>
      </c>
      <c r="F485" s="2">
        <v>6488.05</v>
      </c>
      <c r="G485" s="1">
        <v>45965</v>
      </c>
      <c r="I485" t="s">
        <v>9</v>
      </c>
      <c r="J485" s="14">
        <f>IFERROR(VLOOKUP(D485,'INf. RRHH'!$A:$B,2,0),0)</f>
        <v>2900</v>
      </c>
      <c r="K485" s="16">
        <f t="shared" si="21"/>
        <v>3588.05</v>
      </c>
      <c r="L485" s="17">
        <f t="shared" si="22"/>
        <v>966.67</v>
      </c>
      <c r="M485" s="18">
        <f t="shared" si="23"/>
        <v>4554.72</v>
      </c>
    </row>
    <row r="486" spans="1:13" x14ac:dyDescent="0.25">
      <c r="A486">
        <v>1000</v>
      </c>
      <c r="B486">
        <v>1000</v>
      </c>
      <c r="C486" s="1">
        <v>45961</v>
      </c>
      <c r="D486">
        <v>91821</v>
      </c>
      <c r="E486">
        <v>288</v>
      </c>
      <c r="F486" s="2">
        <v>4405.34</v>
      </c>
      <c r="G486" s="1">
        <v>45965</v>
      </c>
      <c r="I486" t="s">
        <v>9</v>
      </c>
      <c r="J486" s="14">
        <f>IFERROR(VLOOKUP(D486,'INf. RRHH'!$A:$B,2,0),0)</f>
        <v>2900</v>
      </c>
      <c r="K486" s="16">
        <f t="shared" si="21"/>
        <v>1505.3400000000001</v>
      </c>
      <c r="L486" s="17">
        <f t="shared" si="22"/>
        <v>966.67</v>
      </c>
      <c r="M486" s="18">
        <f t="shared" si="23"/>
        <v>2472.0100000000002</v>
      </c>
    </row>
    <row r="487" spans="1:13" x14ac:dyDescent="0.25">
      <c r="A487">
        <v>1000</v>
      </c>
      <c r="B487">
        <v>1000</v>
      </c>
      <c r="C487" s="1">
        <v>45961</v>
      </c>
      <c r="D487">
        <v>92132</v>
      </c>
      <c r="E487">
        <v>402</v>
      </c>
      <c r="F487" s="2">
        <v>5954.5</v>
      </c>
      <c r="G487" s="1">
        <v>45965</v>
      </c>
      <c r="I487" t="s">
        <v>9</v>
      </c>
      <c r="J487" s="14">
        <f>IFERROR(VLOOKUP(D487,'INf. RRHH'!$A:$B,2,0),0)</f>
        <v>2900</v>
      </c>
      <c r="K487" s="16">
        <f t="shared" si="21"/>
        <v>3054.5</v>
      </c>
      <c r="L487" s="17">
        <f t="shared" si="22"/>
        <v>966.67</v>
      </c>
      <c r="M487" s="18">
        <f t="shared" si="23"/>
        <v>4021.17</v>
      </c>
    </row>
    <row r="488" spans="1:13" x14ac:dyDescent="0.25">
      <c r="A488">
        <v>1000</v>
      </c>
      <c r="B488">
        <v>1000</v>
      </c>
      <c r="C488" s="1">
        <v>45961</v>
      </c>
      <c r="D488">
        <v>92134</v>
      </c>
      <c r="E488">
        <v>300</v>
      </c>
      <c r="F488" s="2">
        <v>5708.98</v>
      </c>
      <c r="G488" s="1">
        <v>45965</v>
      </c>
      <c r="I488" t="s">
        <v>9</v>
      </c>
      <c r="J488" s="14">
        <f>IFERROR(VLOOKUP(D488,'INf. RRHH'!$A:$B,2,0),0)</f>
        <v>2900</v>
      </c>
      <c r="K488" s="16">
        <f t="shared" si="21"/>
        <v>2808.9799999999996</v>
      </c>
      <c r="L488" s="17">
        <f t="shared" si="22"/>
        <v>966.67</v>
      </c>
      <c r="M488" s="18">
        <f t="shared" si="23"/>
        <v>3775.6499999999996</v>
      </c>
    </row>
    <row r="489" spans="1:13" x14ac:dyDescent="0.25">
      <c r="A489">
        <v>1000</v>
      </c>
      <c r="B489">
        <v>1000</v>
      </c>
      <c r="C489" s="1">
        <v>45961</v>
      </c>
      <c r="D489">
        <v>92163</v>
      </c>
      <c r="E489">
        <v>336</v>
      </c>
      <c r="F489" s="2">
        <v>5723.82</v>
      </c>
      <c r="G489" s="1">
        <v>45965</v>
      </c>
      <c r="I489" t="s">
        <v>9</v>
      </c>
      <c r="J489" s="14">
        <f>IFERROR(VLOOKUP(D489,'INf. RRHH'!$A:$B,2,0),0)</f>
        <v>2900</v>
      </c>
      <c r="K489" s="16">
        <f t="shared" si="21"/>
        <v>2823.8199999999997</v>
      </c>
      <c r="L489" s="17">
        <f t="shared" si="22"/>
        <v>966.67</v>
      </c>
      <c r="M489" s="18">
        <f t="shared" si="23"/>
        <v>3790.49</v>
      </c>
    </row>
    <row r="490" spans="1:13" x14ac:dyDescent="0.25">
      <c r="A490">
        <v>1000</v>
      </c>
      <c r="B490">
        <v>1000</v>
      </c>
      <c r="C490" s="1">
        <v>45961</v>
      </c>
      <c r="D490">
        <v>92250</v>
      </c>
      <c r="E490">
        <v>227.5</v>
      </c>
      <c r="F490" s="2">
        <v>6169.86</v>
      </c>
      <c r="G490" s="1">
        <v>45965</v>
      </c>
      <c r="I490" t="s">
        <v>9</v>
      </c>
      <c r="J490" s="14">
        <f>IFERROR(VLOOKUP(D490,'INf. RRHH'!$A:$B,2,0),0)</f>
        <v>2900</v>
      </c>
      <c r="K490" s="16">
        <f t="shared" si="21"/>
        <v>3269.8599999999997</v>
      </c>
      <c r="L490" s="17">
        <f t="shared" si="22"/>
        <v>966.67</v>
      </c>
      <c r="M490" s="18">
        <f t="shared" si="23"/>
        <v>4236.53</v>
      </c>
    </row>
    <row r="491" spans="1:13" x14ac:dyDescent="0.25">
      <c r="A491">
        <v>1000</v>
      </c>
      <c r="B491">
        <v>1000</v>
      </c>
      <c r="C491" s="1">
        <v>45961</v>
      </c>
      <c r="D491">
        <v>92320</v>
      </c>
      <c r="E491">
        <v>162</v>
      </c>
      <c r="F491" s="2">
        <v>5443.29</v>
      </c>
      <c r="G491" s="1">
        <v>45965</v>
      </c>
      <c r="I491" t="s">
        <v>9</v>
      </c>
      <c r="J491" s="14">
        <f>IFERROR(VLOOKUP(D491,'INf. RRHH'!$A:$B,2,0),0)</f>
        <v>2900</v>
      </c>
      <c r="K491" s="16">
        <f t="shared" si="21"/>
        <v>2543.29</v>
      </c>
      <c r="L491" s="17">
        <f t="shared" si="22"/>
        <v>966.67</v>
      </c>
      <c r="M491" s="18">
        <f t="shared" si="23"/>
        <v>3509.96</v>
      </c>
    </row>
    <row r="492" spans="1:13" x14ac:dyDescent="0.25">
      <c r="A492">
        <v>1000</v>
      </c>
      <c r="B492">
        <v>1000</v>
      </c>
      <c r="C492" s="1">
        <v>45961</v>
      </c>
      <c r="D492">
        <v>92331</v>
      </c>
      <c r="E492">
        <v>300.5</v>
      </c>
      <c r="F492" s="2">
        <v>6477.41</v>
      </c>
      <c r="G492" s="1">
        <v>45965</v>
      </c>
      <c r="I492" t="s">
        <v>9</v>
      </c>
      <c r="J492" s="14">
        <f>IFERROR(VLOOKUP(D492,'INf. RRHH'!$A:$B,2,0),0)</f>
        <v>2900</v>
      </c>
      <c r="K492" s="16">
        <f t="shared" si="21"/>
        <v>3577.41</v>
      </c>
      <c r="L492" s="17">
        <f t="shared" si="22"/>
        <v>966.67</v>
      </c>
      <c r="M492" s="18">
        <f t="shared" si="23"/>
        <v>4544.08</v>
      </c>
    </row>
    <row r="493" spans="1:13" x14ac:dyDescent="0.25">
      <c r="A493">
        <v>1000</v>
      </c>
      <c r="B493">
        <v>1000</v>
      </c>
      <c r="C493" s="1">
        <v>45961</v>
      </c>
      <c r="D493">
        <v>92346</v>
      </c>
      <c r="E493">
        <v>390</v>
      </c>
      <c r="F493" s="2">
        <v>6809.89</v>
      </c>
      <c r="G493" s="1">
        <v>45965</v>
      </c>
      <c r="I493" t="s">
        <v>9</v>
      </c>
      <c r="J493" s="14">
        <f>IFERROR(VLOOKUP(D493,'INf. RRHH'!$A:$B,2,0),0)</f>
        <v>2900</v>
      </c>
      <c r="K493" s="16">
        <f t="shared" si="21"/>
        <v>3909.8900000000003</v>
      </c>
      <c r="L493" s="17">
        <f t="shared" si="22"/>
        <v>966.67</v>
      </c>
      <c r="M493" s="18">
        <f t="shared" si="23"/>
        <v>4876.5600000000004</v>
      </c>
    </row>
    <row r="494" spans="1:13" x14ac:dyDescent="0.25">
      <c r="A494">
        <v>1000</v>
      </c>
      <c r="B494">
        <v>1000</v>
      </c>
      <c r="C494" s="1">
        <v>45961</v>
      </c>
      <c r="D494">
        <v>92406</v>
      </c>
      <c r="E494">
        <v>248</v>
      </c>
      <c r="F494" s="2">
        <v>5642.05</v>
      </c>
      <c r="G494" s="1">
        <v>45965</v>
      </c>
      <c r="I494" t="s">
        <v>9</v>
      </c>
      <c r="J494" s="14">
        <f>IFERROR(VLOOKUP(D494,'INf. RRHH'!$A:$B,2,0),0)</f>
        <v>2900</v>
      </c>
      <c r="K494" s="16">
        <f t="shared" si="21"/>
        <v>2742.05</v>
      </c>
      <c r="L494" s="17">
        <f t="shared" si="22"/>
        <v>966.67</v>
      </c>
      <c r="M494" s="18">
        <f t="shared" si="23"/>
        <v>3708.7200000000003</v>
      </c>
    </row>
    <row r="495" spans="1:13" x14ac:dyDescent="0.25">
      <c r="A495">
        <v>1000</v>
      </c>
      <c r="B495">
        <v>1000</v>
      </c>
      <c r="C495" s="1">
        <v>45961</v>
      </c>
      <c r="D495">
        <v>92427</v>
      </c>
      <c r="E495">
        <v>315</v>
      </c>
      <c r="F495" s="2">
        <v>5896.73</v>
      </c>
      <c r="G495" s="1">
        <v>45965</v>
      </c>
      <c r="I495" t="s">
        <v>9</v>
      </c>
      <c r="J495" s="14">
        <f>IFERROR(VLOOKUP(D495,'INf. RRHH'!$A:$B,2,0),0)</f>
        <v>2900</v>
      </c>
      <c r="K495" s="16">
        <f t="shared" si="21"/>
        <v>2996.7299999999996</v>
      </c>
      <c r="L495" s="17">
        <f t="shared" si="22"/>
        <v>966.67</v>
      </c>
      <c r="M495" s="18">
        <f t="shared" si="23"/>
        <v>3963.3999999999996</v>
      </c>
    </row>
    <row r="496" spans="1:13" x14ac:dyDescent="0.25">
      <c r="A496">
        <v>1000</v>
      </c>
      <c r="B496">
        <v>1000</v>
      </c>
      <c r="C496" s="1">
        <v>45961</v>
      </c>
      <c r="D496">
        <v>92441</v>
      </c>
      <c r="E496">
        <v>224</v>
      </c>
      <c r="F496" s="2">
        <v>5219.57</v>
      </c>
      <c r="G496" s="1">
        <v>45965</v>
      </c>
      <c r="I496" t="s">
        <v>9</v>
      </c>
      <c r="J496" s="14">
        <f>IFERROR(VLOOKUP(D496,'INf. RRHH'!$A:$B,2,0),0)</f>
        <v>2900</v>
      </c>
      <c r="K496" s="16">
        <f t="shared" si="21"/>
        <v>2319.5699999999997</v>
      </c>
      <c r="L496" s="17">
        <f t="shared" si="22"/>
        <v>966.67</v>
      </c>
      <c r="M496" s="18">
        <f t="shared" si="23"/>
        <v>3286.24</v>
      </c>
    </row>
    <row r="497" spans="1:13" x14ac:dyDescent="0.25">
      <c r="A497">
        <v>1000</v>
      </c>
      <c r="B497">
        <v>1000</v>
      </c>
      <c r="C497" s="1">
        <v>45961</v>
      </c>
      <c r="D497">
        <v>92468</v>
      </c>
      <c r="E497">
        <v>240</v>
      </c>
      <c r="F497" s="2">
        <v>4400.29</v>
      </c>
      <c r="G497" s="1">
        <v>45965</v>
      </c>
      <c r="I497" t="s">
        <v>9</v>
      </c>
      <c r="J497" s="14">
        <f>IFERROR(VLOOKUP(D497,'INf. RRHH'!$A:$B,2,0),0)</f>
        <v>2900</v>
      </c>
      <c r="K497" s="16">
        <f t="shared" si="21"/>
        <v>1500.29</v>
      </c>
      <c r="L497" s="17">
        <f t="shared" si="22"/>
        <v>966.67</v>
      </c>
      <c r="M497" s="18">
        <f t="shared" si="23"/>
        <v>2466.96</v>
      </c>
    </row>
    <row r="498" spans="1:13" x14ac:dyDescent="0.25">
      <c r="A498">
        <v>1000</v>
      </c>
      <c r="B498">
        <v>1000</v>
      </c>
      <c r="C498" s="1">
        <v>45961</v>
      </c>
      <c r="D498">
        <v>92613</v>
      </c>
      <c r="E498">
        <v>288</v>
      </c>
      <c r="F498" s="2">
        <v>4641.6099999999997</v>
      </c>
      <c r="G498" s="1">
        <v>45965</v>
      </c>
      <c r="I498" t="s">
        <v>9</v>
      </c>
      <c r="J498" s="14">
        <f>IFERROR(VLOOKUP(D498,'INf. RRHH'!$A:$B,2,0),0)</f>
        <v>2900</v>
      </c>
      <c r="K498" s="16">
        <f t="shared" si="21"/>
        <v>1741.6099999999997</v>
      </c>
      <c r="L498" s="17">
        <f t="shared" si="22"/>
        <v>966.67</v>
      </c>
      <c r="M498" s="18">
        <f t="shared" si="23"/>
        <v>2708.2799999999997</v>
      </c>
    </row>
    <row r="499" spans="1:13" x14ac:dyDescent="0.25">
      <c r="A499">
        <v>1000</v>
      </c>
      <c r="B499">
        <v>1000</v>
      </c>
      <c r="C499" s="1">
        <v>45961</v>
      </c>
      <c r="D499">
        <v>92620</v>
      </c>
      <c r="E499">
        <v>349</v>
      </c>
      <c r="F499" s="2">
        <v>5844.21</v>
      </c>
      <c r="G499" s="1">
        <v>45965</v>
      </c>
      <c r="I499" t="s">
        <v>9</v>
      </c>
      <c r="J499" s="14">
        <f>IFERROR(VLOOKUP(D499,'INf. RRHH'!$A:$B,2,0),0)</f>
        <v>2900</v>
      </c>
      <c r="K499" s="16">
        <f t="shared" si="21"/>
        <v>2944.21</v>
      </c>
      <c r="L499" s="17">
        <f t="shared" si="22"/>
        <v>966.67</v>
      </c>
      <c r="M499" s="18">
        <f t="shared" si="23"/>
        <v>3910.88</v>
      </c>
    </row>
    <row r="500" spans="1:13" x14ac:dyDescent="0.25">
      <c r="A500">
        <v>1000</v>
      </c>
      <c r="B500">
        <v>1000</v>
      </c>
      <c r="C500" s="1">
        <v>45961</v>
      </c>
      <c r="D500">
        <v>92733</v>
      </c>
      <c r="E500">
        <v>362</v>
      </c>
      <c r="F500" s="2">
        <v>6626.27</v>
      </c>
      <c r="G500" s="1">
        <v>45965</v>
      </c>
      <c r="I500" t="s">
        <v>9</v>
      </c>
      <c r="J500" s="14">
        <f>IFERROR(VLOOKUP(D500,'INf. RRHH'!$A:$B,2,0),0)</f>
        <v>2900</v>
      </c>
      <c r="K500" s="16">
        <f t="shared" si="21"/>
        <v>3726.2700000000004</v>
      </c>
      <c r="L500" s="17">
        <f t="shared" si="22"/>
        <v>966.67</v>
      </c>
      <c r="M500" s="18">
        <f t="shared" si="23"/>
        <v>4692.9400000000005</v>
      </c>
    </row>
    <row r="501" spans="1:13" x14ac:dyDescent="0.25">
      <c r="A501">
        <v>1000</v>
      </c>
      <c r="B501">
        <v>1000</v>
      </c>
      <c r="C501" s="1">
        <v>45961</v>
      </c>
      <c r="D501">
        <v>92802</v>
      </c>
      <c r="E501">
        <v>240</v>
      </c>
      <c r="F501" s="2">
        <v>3796.5</v>
      </c>
      <c r="G501" s="1">
        <v>45965</v>
      </c>
      <c r="I501" t="s">
        <v>9</v>
      </c>
      <c r="J501" s="14">
        <f>IFERROR(VLOOKUP(D501,'INf. RRHH'!$A:$B,2,0),0)</f>
        <v>2900</v>
      </c>
      <c r="K501" s="16">
        <f t="shared" si="21"/>
        <v>896.5</v>
      </c>
      <c r="L501" s="17">
        <f t="shared" si="22"/>
        <v>966.67</v>
      </c>
      <c r="M501" s="18">
        <f t="shared" si="23"/>
        <v>1863.17</v>
      </c>
    </row>
    <row r="502" spans="1:13" x14ac:dyDescent="0.25">
      <c r="A502">
        <v>1000</v>
      </c>
      <c r="B502">
        <v>1000</v>
      </c>
      <c r="C502" s="1">
        <v>45961</v>
      </c>
      <c r="D502">
        <v>92804</v>
      </c>
      <c r="E502">
        <v>263.25</v>
      </c>
      <c r="F502" s="2">
        <v>5491.85</v>
      </c>
      <c r="G502" s="1">
        <v>45965</v>
      </c>
      <c r="I502" t="s">
        <v>9</v>
      </c>
      <c r="J502" s="14">
        <f>IFERROR(VLOOKUP(D502,'INf. RRHH'!$A:$B,2,0),0)</f>
        <v>2900</v>
      </c>
      <c r="K502" s="16">
        <f t="shared" si="21"/>
        <v>2591.8500000000004</v>
      </c>
      <c r="L502" s="17">
        <f t="shared" si="22"/>
        <v>966.67</v>
      </c>
      <c r="M502" s="18">
        <f t="shared" si="23"/>
        <v>3558.5200000000004</v>
      </c>
    </row>
    <row r="503" spans="1:13" x14ac:dyDescent="0.25">
      <c r="A503">
        <v>1000</v>
      </c>
      <c r="B503">
        <v>1000</v>
      </c>
      <c r="C503" s="1">
        <v>45961</v>
      </c>
      <c r="D503">
        <v>92906</v>
      </c>
      <c r="E503">
        <v>280</v>
      </c>
      <c r="F503" s="2">
        <v>6835.11</v>
      </c>
      <c r="G503" s="1">
        <v>45965</v>
      </c>
      <c r="I503" t="s">
        <v>9</v>
      </c>
      <c r="J503" s="14">
        <f>IFERROR(VLOOKUP(D503,'INf. RRHH'!$A:$B,2,0),0)</f>
        <v>2900</v>
      </c>
      <c r="K503" s="16">
        <f t="shared" si="21"/>
        <v>3935.1099999999997</v>
      </c>
      <c r="L503" s="17">
        <f t="shared" si="22"/>
        <v>966.67</v>
      </c>
      <c r="M503" s="18">
        <f t="shared" si="23"/>
        <v>4901.78</v>
      </c>
    </row>
    <row r="504" spans="1:13" x14ac:dyDescent="0.25">
      <c r="A504">
        <v>1000</v>
      </c>
      <c r="B504">
        <v>1000</v>
      </c>
      <c r="C504" s="1">
        <v>45961</v>
      </c>
      <c r="D504">
        <v>93016</v>
      </c>
      <c r="E504">
        <v>340</v>
      </c>
      <c r="F504" s="2">
        <v>6598.74</v>
      </c>
      <c r="G504" s="1">
        <v>45965</v>
      </c>
      <c r="I504" t="s">
        <v>9</v>
      </c>
      <c r="J504" s="14">
        <f>IFERROR(VLOOKUP(D504,'INf. RRHH'!$A:$B,2,0),0)</f>
        <v>2900</v>
      </c>
      <c r="K504" s="16">
        <f t="shared" si="21"/>
        <v>3698.74</v>
      </c>
      <c r="L504" s="17">
        <f t="shared" si="22"/>
        <v>966.67</v>
      </c>
      <c r="M504" s="18">
        <f t="shared" si="23"/>
        <v>4665.41</v>
      </c>
    </row>
    <row r="505" spans="1:13" x14ac:dyDescent="0.25">
      <c r="A505">
        <v>1000</v>
      </c>
      <c r="B505">
        <v>1000</v>
      </c>
      <c r="C505" s="1">
        <v>45961</v>
      </c>
      <c r="D505">
        <v>93043</v>
      </c>
      <c r="E505">
        <v>413</v>
      </c>
      <c r="F505" s="2">
        <v>7345.35</v>
      </c>
      <c r="G505" s="1">
        <v>45965</v>
      </c>
      <c r="I505" t="s">
        <v>9</v>
      </c>
      <c r="J505" s="14">
        <f>IFERROR(VLOOKUP(D505,'INf. RRHH'!$A:$B,2,0),0)</f>
        <v>2900</v>
      </c>
      <c r="K505" s="16">
        <f t="shared" si="21"/>
        <v>4445.3500000000004</v>
      </c>
      <c r="L505" s="17">
        <f t="shared" si="22"/>
        <v>966.67</v>
      </c>
      <c r="M505" s="18">
        <f t="shared" si="23"/>
        <v>5412.02</v>
      </c>
    </row>
    <row r="506" spans="1:13" x14ac:dyDescent="0.25">
      <c r="A506">
        <v>1000</v>
      </c>
      <c r="B506">
        <v>1000</v>
      </c>
      <c r="C506" s="1">
        <v>45961</v>
      </c>
      <c r="D506">
        <v>93070</v>
      </c>
      <c r="E506">
        <v>239.95</v>
      </c>
      <c r="F506" s="2">
        <v>5419.85</v>
      </c>
      <c r="G506" s="1">
        <v>45965</v>
      </c>
      <c r="I506" t="s">
        <v>9</v>
      </c>
      <c r="J506" s="14">
        <f>IFERROR(VLOOKUP(D506,'INf. RRHH'!$A:$B,2,0),0)</f>
        <v>2900</v>
      </c>
      <c r="K506" s="16">
        <f t="shared" si="21"/>
        <v>2519.8500000000004</v>
      </c>
      <c r="L506" s="17">
        <f t="shared" si="22"/>
        <v>966.67</v>
      </c>
      <c r="M506" s="18">
        <f t="shared" si="23"/>
        <v>3486.5200000000004</v>
      </c>
    </row>
    <row r="507" spans="1:13" x14ac:dyDescent="0.25">
      <c r="A507">
        <v>1000</v>
      </c>
      <c r="B507">
        <v>1000</v>
      </c>
      <c r="C507" s="1">
        <v>45961</v>
      </c>
      <c r="D507">
        <v>93113</v>
      </c>
      <c r="E507">
        <v>250</v>
      </c>
      <c r="F507" s="2">
        <v>6632.81</v>
      </c>
      <c r="G507" s="1">
        <v>45965</v>
      </c>
      <c r="I507" t="s">
        <v>9</v>
      </c>
      <c r="J507" s="14">
        <f>IFERROR(VLOOKUP(D507,'INf. RRHH'!$A:$B,2,0),0)</f>
        <v>2900</v>
      </c>
      <c r="K507" s="16">
        <f t="shared" si="21"/>
        <v>3732.8100000000004</v>
      </c>
      <c r="L507" s="17">
        <f t="shared" si="22"/>
        <v>966.67</v>
      </c>
      <c r="M507" s="18">
        <f t="shared" si="23"/>
        <v>4699.4800000000005</v>
      </c>
    </row>
    <row r="508" spans="1:13" x14ac:dyDescent="0.25">
      <c r="A508">
        <v>1000</v>
      </c>
      <c r="B508">
        <v>1000</v>
      </c>
      <c r="C508" s="1">
        <v>45961</v>
      </c>
      <c r="D508">
        <v>93122</v>
      </c>
      <c r="E508">
        <v>295.5</v>
      </c>
      <c r="F508" s="2">
        <v>7161.07</v>
      </c>
      <c r="G508" s="1">
        <v>45965</v>
      </c>
      <c r="I508" t="s">
        <v>9</v>
      </c>
      <c r="J508" s="14">
        <f>IFERROR(VLOOKUP(D508,'INf. RRHH'!$A:$B,2,0),0)</f>
        <v>2900</v>
      </c>
      <c r="K508" s="16">
        <f t="shared" si="21"/>
        <v>4261.07</v>
      </c>
      <c r="L508" s="17">
        <f t="shared" si="22"/>
        <v>966.67</v>
      </c>
      <c r="M508" s="18">
        <f t="shared" si="23"/>
        <v>5227.74</v>
      </c>
    </row>
    <row r="509" spans="1:13" x14ac:dyDescent="0.25">
      <c r="A509">
        <v>1000</v>
      </c>
      <c r="B509">
        <v>1000</v>
      </c>
      <c r="C509" s="1">
        <v>45961</v>
      </c>
      <c r="D509">
        <v>93207</v>
      </c>
      <c r="E509">
        <v>258</v>
      </c>
      <c r="F509" s="2">
        <v>5433.75</v>
      </c>
      <c r="G509" s="1">
        <v>45965</v>
      </c>
      <c r="I509" t="s">
        <v>9</v>
      </c>
      <c r="J509" s="14">
        <f>IFERROR(VLOOKUP(D509,'INf. RRHH'!$A:$B,2,0),0)</f>
        <v>2900</v>
      </c>
      <c r="K509" s="16">
        <f t="shared" si="21"/>
        <v>2533.75</v>
      </c>
      <c r="L509" s="17">
        <f t="shared" si="22"/>
        <v>966.67</v>
      </c>
      <c r="M509" s="18">
        <f t="shared" si="23"/>
        <v>3500.42</v>
      </c>
    </row>
    <row r="510" spans="1:13" x14ac:dyDescent="0.25">
      <c r="A510">
        <v>1000</v>
      </c>
      <c r="B510">
        <v>1000</v>
      </c>
      <c r="C510" s="1">
        <v>45961</v>
      </c>
      <c r="D510">
        <v>93287</v>
      </c>
      <c r="E510">
        <v>294</v>
      </c>
      <c r="F510" s="2">
        <v>6824.37</v>
      </c>
      <c r="G510" s="1">
        <v>45965</v>
      </c>
      <c r="I510" t="s">
        <v>9</v>
      </c>
      <c r="J510" s="14">
        <f>IFERROR(VLOOKUP(D510,'INf. RRHH'!$A:$B,2,0),0)</f>
        <v>2900</v>
      </c>
      <c r="K510" s="16">
        <f t="shared" si="21"/>
        <v>3924.37</v>
      </c>
      <c r="L510" s="17">
        <f t="shared" si="22"/>
        <v>966.67</v>
      </c>
      <c r="M510" s="18">
        <f t="shared" si="23"/>
        <v>4891.04</v>
      </c>
    </row>
    <row r="511" spans="1:13" x14ac:dyDescent="0.25">
      <c r="A511">
        <v>1000</v>
      </c>
      <c r="B511">
        <v>1000</v>
      </c>
      <c r="C511" s="1">
        <v>45961</v>
      </c>
      <c r="D511">
        <v>93312</v>
      </c>
      <c r="E511">
        <v>331</v>
      </c>
      <c r="F511" s="2">
        <v>6705.88</v>
      </c>
      <c r="G511" s="1">
        <v>45965</v>
      </c>
      <c r="I511" t="s">
        <v>9</v>
      </c>
      <c r="J511" s="14">
        <f>IFERROR(VLOOKUP(D511,'INf. RRHH'!$A:$B,2,0),0)</f>
        <v>2900</v>
      </c>
      <c r="K511" s="16">
        <f t="shared" si="21"/>
        <v>3805.88</v>
      </c>
      <c r="L511" s="17">
        <f t="shared" si="22"/>
        <v>966.67</v>
      </c>
      <c r="M511" s="18">
        <f t="shared" si="23"/>
        <v>4772.55</v>
      </c>
    </row>
    <row r="512" spans="1:13" x14ac:dyDescent="0.25">
      <c r="A512">
        <v>1000</v>
      </c>
      <c r="B512">
        <v>1000</v>
      </c>
      <c r="C512" s="1">
        <v>45961</v>
      </c>
      <c r="D512">
        <v>93455</v>
      </c>
      <c r="E512">
        <v>328.5</v>
      </c>
      <c r="F512" s="2">
        <v>6428.21</v>
      </c>
      <c r="G512" s="1">
        <v>45965</v>
      </c>
      <c r="I512" t="s">
        <v>9</v>
      </c>
      <c r="J512" s="14">
        <f>IFERROR(VLOOKUP(D512,'INf. RRHH'!$A:$B,2,0),0)</f>
        <v>2900</v>
      </c>
      <c r="K512" s="16">
        <f t="shared" si="21"/>
        <v>3528.21</v>
      </c>
      <c r="L512" s="17">
        <f t="shared" si="22"/>
        <v>966.67</v>
      </c>
      <c r="M512" s="18">
        <f t="shared" si="23"/>
        <v>4494.88</v>
      </c>
    </row>
    <row r="513" spans="1:13" x14ac:dyDescent="0.25">
      <c r="A513">
        <v>1000</v>
      </c>
      <c r="B513">
        <v>1000</v>
      </c>
      <c r="C513" s="1">
        <v>45961</v>
      </c>
      <c r="D513">
        <v>94221</v>
      </c>
      <c r="E513">
        <v>331</v>
      </c>
      <c r="F513" s="2">
        <v>6262.64</v>
      </c>
      <c r="G513" s="1">
        <v>45965</v>
      </c>
      <c r="I513" t="s">
        <v>9</v>
      </c>
      <c r="J513" s="14">
        <f>IFERROR(VLOOKUP(D513,'INf. RRHH'!$A:$B,2,0),0)</f>
        <v>2900</v>
      </c>
      <c r="K513" s="16">
        <f t="shared" si="21"/>
        <v>3362.6400000000003</v>
      </c>
      <c r="L513" s="17">
        <f t="shared" si="22"/>
        <v>966.67</v>
      </c>
      <c r="M513" s="18">
        <f t="shared" si="23"/>
        <v>4329.3100000000004</v>
      </c>
    </row>
    <row r="514" spans="1:13" x14ac:dyDescent="0.25">
      <c r="A514">
        <v>1000</v>
      </c>
      <c r="B514">
        <v>1000</v>
      </c>
      <c r="C514" s="1">
        <v>45961</v>
      </c>
      <c r="D514">
        <v>94363</v>
      </c>
      <c r="E514">
        <v>236.79</v>
      </c>
      <c r="F514" s="2">
        <v>5886.03</v>
      </c>
      <c r="G514" s="1">
        <v>45965</v>
      </c>
      <c r="I514" t="s">
        <v>9</v>
      </c>
      <c r="J514" s="14">
        <f>IFERROR(VLOOKUP(D514,'INf. RRHH'!$A:$B,2,0),0)</f>
        <v>2900</v>
      </c>
      <c r="K514" s="16">
        <f t="shared" si="21"/>
        <v>2986.0299999999997</v>
      </c>
      <c r="L514" s="17">
        <f t="shared" si="22"/>
        <v>966.67</v>
      </c>
      <c r="M514" s="18">
        <f t="shared" si="23"/>
        <v>3952.7</v>
      </c>
    </row>
    <row r="515" spans="1:13" x14ac:dyDescent="0.25">
      <c r="A515">
        <v>1000</v>
      </c>
      <c r="B515">
        <v>1000</v>
      </c>
      <c r="C515" s="1">
        <v>45961</v>
      </c>
      <c r="D515">
        <v>94706</v>
      </c>
      <c r="E515">
        <v>279.22000000000003</v>
      </c>
      <c r="F515" s="2">
        <v>6244.7</v>
      </c>
      <c r="G515" s="1">
        <v>45965</v>
      </c>
      <c r="I515" t="s">
        <v>9</v>
      </c>
      <c r="J515" s="14">
        <f>IFERROR(VLOOKUP(D515,'INf. RRHH'!$A:$B,2,0),0)</f>
        <v>2900</v>
      </c>
      <c r="K515" s="16">
        <f t="shared" ref="K515:K578" si="24">+F515-J515</f>
        <v>3344.7</v>
      </c>
      <c r="L515" s="17">
        <f t="shared" ref="L515:L578" si="25">ROUND(J515/3,2)</f>
        <v>966.67</v>
      </c>
      <c r="M515" s="18">
        <f t="shared" ref="M515:M578" si="26">+K515+L515</f>
        <v>4311.37</v>
      </c>
    </row>
    <row r="516" spans="1:13" x14ac:dyDescent="0.25">
      <c r="A516">
        <v>1000</v>
      </c>
      <c r="B516">
        <v>1000</v>
      </c>
      <c r="C516" s="1">
        <v>45961</v>
      </c>
      <c r="D516">
        <v>95070</v>
      </c>
      <c r="E516">
        <v>1920</v>
      </c>
      <c r="F516" s="2">
        <v>16955.2</v>
      </c>
      <c r="G516" s="1">
        <v>45965</v>
      </c>
      <c r="I516" t="s">
        <v>9</v>
      </c>
      <c r="J516" s="14">
        <f>IFERROR(VLOOKUP(D516,'INf. RRHH'!$A:$B,2,0),0)</f>
        <v>0</v>
      </c>
      <c r="K516" s="16">
        <f t="shared" si="24"/>
        <v>16955.2</v>
      </c>
      <c r="L516" s="17">
        <f t="shared" si="25"/>
        <v>0</v>
      </c>
      <c r="M516" s="18">
        <f t="shared" si="26"/>
        <v>16955.2</v>
      </c>
    </row>
    <row r="517" spans="1:13" x14ac:dyDescent="0.25">
      <c r="A517">
        <v>1000</v>
      </c>
      <c r="B517">
        <v>1000</v>
      </c>
      <c r="C517" s="1">
        <v>45961</v>
      </c>
      <c r="D517">
        <v>95283</v>
      </c>
      <c r="E517">
        <v>224</v>
      </c>
      <c r="F517" s="2">
        <v>4830.24</v>
      </c>
      <c r="G517" s="1">
        <v>45965</v>
      </c>
      <c r="I517" t="s">
        <v>9</v>
      </c>
      <c r="J517" s="14">
        <f>IFERROR(VLOOKUP(D517,'INf. RRHH'!$A:$B,2,0),0)</f>
        <v>2900</v>
      </c>
      <c r="K517" s="16">
        <f t="shared" si="24"/>
        <v>1930.2399999999998</v>
      </c>
      <c r="L517" s="17">
        <f t="shared" si="25"/>
        <v>966.67</v>
      </c>
      <c r="M517" s="18">
        <f t="shared" si="26"/>
        <v>2896.91</v>
      </c>
    </row>
    <row r="518" spans="1:13" x14ac:dyDescent="0.25">
      <c r="A518">
        <v>1000</v>
      </c>
      <c r="B518">
        <v>1000</v>
      </c>
      <c r="C518" s="1">
        <v>45961</v>
      </c>
      <c r="D518">
        <v>95454</v>
      </c>
      <c r="E518">
        <v>213.55</v>
      </c>
      <c r="F518" s="2">
        <v>3303.18</v>
      </c>
      <c r="G518" s="1">
        <v>45965</v>
      </c>
      <c r="I518" t="s">
        <v>9</v>
      </c>
      <c r="J518" s="14">
        <f>IFERROR(VLOOKUP(D518,'INf. RRHH'!$A:$B,2,0),0)</f>
        <v>1450</v>
      </c>
      <c r="K518" s="16">
        <f t="shared" si="24"/>
        <v>1853.1799999999998</v>
      </c>
      <c r="L518" s="17">
        <f t="shared" si="25"/>
        <v>483.33</v>
      </c>
      <c r="M518" s="18">
        <f t="shared" si="26"/>
        <v>2336.5099999999998</v>
      </c>
    </row>
    <row r="519" spans="1:13" x14ac:dyDescent="0.25">
      <c r="A519">
        <v>1000</v>
      </c>
      <c r="B519">
        <v>1000</v>
      </c>
      <c r="C519" s="1">
        <v>45961</v>
      </c>
      <c r="D519">
        <v>95457</v>
      </c>
      <c r="E519">
        <v>257</v>
      </c>
      <c r="F519" s="2">
        <v>2226.1999999999998</v>
      </c>
      <c r="G519" s="1">
        <v>45965</v>
      </c>
      <c r="I519" t="s">
        <v>9</v>
      </c>
      <c r="J519" s="14">
        <f>IFERROR(VLOOKUP(D519,'INf. RRHH'!$A:$B,2,0),0)</f>
        <v>0</v>
      </c>
      <c r="K519" s="16">
        <f t="shared" si="24"/>
        <v>2226.1999999999998</v>
      </c>
      <c r="L519" s="17">
        <f t="shared" si="25"/>
        <v>0</v>
      </c>
      <c r="M519" s="18">
        <f t="shared" si="26"/>
        <v>2226.1999999999998</v>
      </c>
    </row>
    <row r="520" spans="1:13" x14ac:dyDescent="0.25">
      <c r="A520">
        <v>1000</v>
      </c>
      <c r="B520">
        <v>1000</v>
      </c>
      <c r="C520" s="1">
        <v>45961</v>
      </c>
      <c r="D520">
        <v>3549</v>
      </c>
      <c r="E520">
        <v>399</v>
      </c>
      <c r="F520" s="2">
        <v>7685.9</v>
      </c>
      <c r="G520" s="1">
        <v>45965</v>
      </c>
      <c r="I520" t="s">
        <v>9</v>
      </c>
      <c r="J520" s="14">
        <f>IFERROR(VLOOKUP(D520,'INf. RRHH'!$A:$B,2,0),0)</f>
        <v>2900</v>
      </c>
      <c r="K520" s="16">
        <f t="shared" si="24"/>
        <v>4785.8999999999996</v>
      </c>
      <c r="L520" s="17">
        <f t="shared" si="25"/>
        <v>966.67</v>
      </c>
      <c r="M520" s="18">
        <f t="shared" si="26"/>
        <v>5752.57</v>
      </c>
    </row>
    <row r="521" spans="1:13" x14ac:dyDescent="0.25">
      <c r="A521">
        <v>1000</v>
      </c>
      <c r="B521">
        <v>1000</v>
      </c>
      <c r="C521" s="1">
        <v>45961</v>
      </c>
      <c r="D521">
        <v>7509</v>
      </c>
      <c r="E521">
        <v>325</v>
      </c>
      <c r="F521" s="2">
        <v>7885.44</v>
      </c>
      <c r="G521" s="1">
        <v>45965</v>
      </c>
      <c r="I521" t="s">
        <v>9</v>
      </c>
      <c r="J521" s="14">
        <f>IFERROR(VLOOKUP(D521,'INf. RRHH'!$A:$B,2,0),0)</f>
        <v>2900</v>
      </c>
      <c r="K521" s="16">
        <f t="shared" si="24"/>
        <v>4985.4399999999996</v>
      </c>
      <c r="L521" s="17">
        <f t="shared" si="25"/>
        <v>966.67</v>
      </c>
      <c r="M521" s="18">
        <f t="shared" si="26"/>
        <v>5952.11</v>
      </c>
    </row>
    <row r="522" spans="1:13" x14ac:dyDescent="0.25">
      <c r="A522">
        <v>1000</v>
      </c>
      <c r="B522">
        <v>1000</v>
      </c>
      <c r="C522" s="1">
        <v>45961</v>
      </c>
      <c r="D522">
        <v>7542</v>
      </c>
      <c r="E522">
        <v>240</v>
      </c>
      <c r="F522" s="2">
        <v>4071.4</v>
      </c>
      <c r="G522" s="1">
        <v>45965</v>
      </c>
      <c r="I522" t="s">
        <v>9</v>
      </c>
      <c r="J522" s="14">
        <f>IFERROR(VLOOKUP(D522,'INf. RRHH'!$A:$B,2,0),0)</f>
        <v>2900</v>
      </c>
      <c r="K522" s="16">
        <f t="shared" si="24"/>
        <v>1171.4000000000001</v>
      </c>
      <c r="L522" s="17">
        <f t="shared" si="25"/>
        <v>966.67</v>
      </c>
      <c r="M522" s="18">
        <f t="shared" si="26"/>
        <v>2138.0700000000002</v>
      </c>
    </row>
    <row r="523" spans="1:13" x14ac:dyDescent="0.25">
      <c r="A523">
        <v>1000</v>
      </c>
      <c r="B523">
        <v>1000</v>
      </c>
      <c r="C523" s="1">
        <v>45961</v>
      </c>
      <c r="D523">
        <v>7647</v>
      </c>
      <c r="E523">
        <v>394</v>
      </c>
      <c r="F523" s="2">
        <v>7488.98</v>
      </c>
      <c r="G523" s="1">
        <v>45965</v>
      </c>
      <c r="I523" t="s">
        <v>9</v>
      </c>
      <c r="J523" s="14">
        <f>IFERROR(VLOOKUP(D523,'INf. RRHH'!$A:$B,2,0),0)</f>
        <v>2900</v>
      </c>
      <c r="K523" s="16">
        <f t="shared" si="24"/>
        <v>4588.9799999999996</v>
      </c>
      <c r="L523" s="17">
        <f t="shared" si="25"/>
        <v>966.67</v>
      </c>
      <c r="M523" s="18">
        <f t="shared" si="26"/>
        <v>5555.65</v>
      </c>
    </row>
    <row r="524" spans="1:13" x14ac:dyDescent="0.25">
      <c r="A524">
        <v>1000</v>
      </c>
      <c r="B524">
        <v>1000</v>
      </c>
      <c r="C524" s="1">
        <v>45961</v>
      </c>
      <c r="D524">
        <v>9252</v>
      </c>
      <c r="E524">
        <v>1920</v>
      </c>
      <c r="F524" s="2">
        <v>8646.85</v>
      </c>
      <c r="G524" s="1">
        <v>45965</v>
      </c>
      <c r="I524" t="s">
        <v>9</v>
      </c>
      <c r="J524" s="14">
        <f>IFERROR(VLOOKUP(D524,'INf. RRHH'!$A:$B,2,0),0)</f>
        <v>0</v>
      </c>
      <c r="K524" s="16">
        <f t="shared" si="24"/>
        <v>8646.85</v>
      </c>
      <c r="L524" s="17">
        <f t="shared" si="25"/>
        <v>0</v>
      </c>
      <c r="M524" s="18">
        <f t="shared" si="26"/>
        <v>8646.85</v>
      </c>
    </row>
    <row r="525" spans="1:13" x14ac:dyDescent="0.25">
      <c r="A525">
        <v>1000</v>
      </c>
      <c r="B525">
        <v>1000</v>
      </c>
      <c r="C525" s="1">
        <v>45961</v>
      </c>
      <c r="D525">
        <v>9420</v>
      </c>
      <c r="E525">
        <v>1920</v>
      </c>
      <c r="F525" s="2">
        <v>8358.81</v>
      </c>
      <c r="G525" s="1">
        <v>45965</v>
      </c>
      <c r="I525" t="s">
        <v>9</v>
      </c>
      <c r="J525" s="14">
        <f>IFERROR(VLOOKUP(D525,'INf. RRHH'!$A:$B,2,0),0)</f>
        <v>0</v>
      </c>
      <c r="K525" s="16">
        <f t="shared" si="24"/>
        <v>8358.81</v>
      </c>
      <c r="L525" s="17">
        <f t="shared" si="25"/>
        <v>0</v>
      </c>
      <c r="M525" s="18">
        <f t="shared" si="26"/>
        <v>8358.81</v>
      </c>
    </row>
    <row r="526" spans="1:13" x14ac:dyDescent="0.25">
      <c r="A526">
        <v>1000</v>
      </c>
      <c r="B526">
        <v>1000</v>
      </c>
      <c r="C526" s="1">
        <v>45961</v>
      </c>
      <c r="D526">
        <v>9456</v>
      </c>
      <c r="E526">
        <v>152</v>
      </c>
      <c r="F526" s="2">
        <v>4812.1499999999996</v>
      </c>
      <c r="G526" s="1">
        <v>45965</v>
      </c>
      <c r="I526" t="s">
        <v>9</v>
      </c>
      <c r="J526" s="14">
        <f>IFERROR(VLOOKUP(D526,'INf. RRHH'!$A:$B,2,0),0)</f>
        <v>0</v>
      </c>
      <c r="K526" s="16">
        <f t="shared" si="24"/>
        <v>4812.1499999999996</v>
      </c>
      <c r="L526" s="17">
        <f t="shared" si="25"/>
        <v>0</v>
      </c>
      <c r="M526" s="18">
        <f t="shared" si="26"/>
        <v>4812.1499999999996</v>
      </c>
    </row>
    <row r="527" spans="1:13" x14ac:dyDescent="0.25">
      <c r="A527">
        <v>1000</v>
      </c>
      <c r="B527">
        <v>1000</v>
      </c>
      <c r="C527" s="1">
        <v>45961</v>
      </c>
      <c r="D527">
        <v>90057</v>
      </c>
      <c r="E527">
        <v>440</v>
      </c>
      <c r="F527" s="2">
        <v>7952.85</v>
      </c>
      <c r="G527" s="1">
        <v>45965</v>
      </c>
      <c r="I527" t="s">
        <v>9</v>
      </c>
      <c r="J527" s="14">
        <f>IFERROR(VLOOKUP(D527,'INf. RRHH'!$A:$B,2,0),0)</f>
        <v>2900</v>
      </c>
      <c r="K527" s="16">
        <f t="shared" si="24"/>
        <v>5052.8500000000004</v>
      </c>
      <c r="L527" s="17">
        <f t="shared" si="25"/>
        <v>966.67</v>
      </c>
      <c r="M527" s="18">
        <f t="shared" si="26"/>
        <v>6019.52</v>
      </c>
    </row>
    <row r="528" spans="1:13" x14ac:dyDescent="0.25">
      <c r="A528">
        <v>1000</v>
      </c>
      <c r="B528">
        <v>1000</v>
      </c>
      <c r="C528" s="1">
        <v>45961</v>
      </c>
      <c r="D528">
        <v>90152</v>
      </c>
      <c r="E528">
        <v>321</v>
      </c>
      <c r="F528" s="2">
        <v>6535.85</v>
      </c>
      <c r="G528" s="1">
        <v>45965</v>
      </c>
      <c r="I528" t="s">
        <v>9</v>
      </c>
      <c r="J528" s="14">
        <f>IFERROR(VLOOKUP(D528,'INf. RRHH'!$A:$B,2,0),0)</f>
        <v>2900</v>
      </c>
      <c r="K528" s="16">
        <f t="shared" si="24"/>
        <v>3635.8500000000004</v>
      </c>
      <c r="L528" s="17">
        <f t="shared" si="25"/>
        <v>966.67</v>
      </c>
      <c r="M528" s="18">
        <f t="shared" si="26"/>
        <v>4602.5200000000004</v>
      </c>
    </row>
    <row r="529" spans="1:13" x14ac:dyDescent="0.25">
      <c r="A529">
        <v>1000</v>
      </c>
      <c r="B529">
        <v>1000</v>
      </c>
      <c r="C529" s="1">
        <v>45961</v>
      </c>
      <c r="D529">
        <v>90680</v>
      </c>
      <c r="E529">
        <v>236</v>
      </c>
      <c r="F529" s="2">
        <v>5290.5</v>
      </c>
      <c r="G529" s="1">
        <v>45965</v>
      </c>
      <c r="I529" t="s">
        <v>9</v>
      </c>
      <c r="J529" s="14">
        <f>IFERROR(VLOOKUP(D529,'INf. RRHH'!$A:$B,2,0),0)</f>
        <v>2900</v>
      </c>
      <c r="K529" s="16">
        <f t="shared" si="24"/>
        <v>2390.5</v>
      </c>
      <c r="L529" s="17">
        <f t="shared" si="25"/>
        <v>966.67</v>
      </c>
      <c r="M529" s="18">
        <f t="shared" si="26"/>
        <v>3357.17</v>
      </c>
    </row>
    <row r="530" spans="1:13" x14ac:dyDescent="0.25">
      <c r="A530">
        <v>1000</v>
      </c>
      <c r="B530">
        <v>1000</v>
      </c>
      <c r="C530" s="1">
        <v>45961</v>
      </c>
      <c r="D530">
        <v>90706</v>
      </c>
      <c r="E530">
        <v>240</v>
      </c>
      <c r="F530" s="2">
        <v>3819.05</v>
      </c>
      <c r="G530" s="1">
        <v>45965</v>
      </c>
      <c r="I530" t="s">
        <v>9</v>
      </c>
      <c r="J530" s="14">
        <f>IFERROR(VLOOKUP(D530,'INf. RRHH'!$A:$B,2,0),0)</f>
        <v>2900</v>
      </c>
      <c r="K530" s="16">
        <f t="shared" si="24"/>
        <v>919.05000000000018</v>
      </c>
      <c r="L530" s="17">
        <f t="shared" si="25"/>
        <v>966.67</v>
      </c>
      <c r="M530" s="18">
        <f t="shared" si="26"/>
        <v>1885.7200000000003</v>
      </c>
    </row>
    <row r="531" spans="1:13" x14ac:dyDescent="0.25">
      <c r="A531">
        <v>1000</v>
      </c>
      <c r="B531">
        <v>1000</v>
      </c>
      <c r="C531" s="1">
        <v>45961</v>
      </c>
      <c r="D531">
        <v>90940</v>
      </c>
      <c r="E531">
        <v>240</v>
      </c>
      <c r="F531" s="2">
        <v>2725.1</v>
      </c>
      <c r="G531" s="1">
        <v>45965</v>
      </c>
      <c r="I531" t="s">
        <v>9</v>
      </c>
      <c r="J531" s="14">
        <f>IFERROR(VLOOKUP(D531,'INf. RRHH'!$A:$B,2,0),0)</f>
        <v>2900</v>
      </c>
      <c r="K531" s="16">
        <f t="shared" si="24"/>
        <v>-174.90000000000009</v>
      </c>
      <c r="L531" s="17">
        <f t="shared" si="25"/>
        <v>966.67</v>
      </c>
      <c r="M531" s="18">
        <f t="shared" si="26"/>
        <v>791.76999999999987</v>
      </c>
    </row>
    <row r="532" spans="1:13" x14ac:dyDescent="0.25">
      <c r="A532">
        <v>1000</v>
      </c>
      <c r="B532">
        <v>1000</v>
      </c>
      <c r="C532" s="1">
        <v>45961</v>
      </c>
      <c r="D532">
        <v>91004</v>
      </c>
      <c r="E532">
        <v>255</v>
      </c>
      <c r="F532" s="2">
        <v>5839.26</v>
      </c>
      <c r="G532" s="1">
        <v>45965</v>
      </c>
      <c r="I532" t="s">
        <v>9</v>
      </c>
      <c r="J532" s="14">
        <f>IFERROR(VLOOKUP(D532,'INf. RRHH'!$A:$B,2,0),0)</f>
        <v>2900</v>
      </c>
      <c r="K532" s="16">
        <f t="shared" si="24"/>
        <v>2939.26</v>
      </c>
      <c r="L532" s="17">
        <f t="shared" si="25"/>
        <v>966.67</v>
      </c>
      <c r="M532" s="18">
        <f t="shared" si="26"/>
        <v>3905.9300000000003</v>
      </c>
    </row>
    <row r="533" spans="1:13" x14ac:dyDescent="0.25">
      <c r="A533">
        <v>1000</v>
      </c>
      <c r="B533">
        <v>1000</v>
      </c>
      <c r="C533" s="1">
        <v>45961</v>
      </c>
      <c r="D533">
        <v>91305</v>
      </c>
      <c r="E533">
        <v>372.5</v>
      </c>
      <c r="F533" s="2">
        <v>8212.8700000000008</v>
      </c>
      <c r="G533" s="1">
        <v>45965</v>
      </c>
      <c r="I533" t="s">
        <v>9</v>
      </c>
      <c r="J533" s="14">
        <f>IFERROR(VLOOKUP(D533,'INf. RRHH'!$A:$B,2,0),0)</f>
        <v>2900</v>
      </c>
      <c r="K533" s="16">
        <f t="shared" si="24"/>
        <v>5312.8700000000008</v>
      </c>
      <c r="L533" s="17">
        <f t="shared" si="25"/>
        <v>966.67</v>
      </c>
      <c r="M533" s="18">
        <f t="shared" si="26"/>
        <v>6279.5400000000009</v>
      </c>
    </row>
    <row r="534" spans="1:13" x14ac:dyDescent="0.25">
      <c r="A534">
        <v>1000</v>
      </c>
      <c r="B534">
        <v>1000</v>
      </c>
      <c r="C534" s="1">
        <v>45961</v>
      </c>
      <c r="D534">
        <v>91435</v>
      </c>
      <c r="E534">
        <v>278</v>
      </c>
      <c r="F534" s="2">
        <v>6208.02</v>
      </c>
      <c r="G534" s="1">
        <v>45965</v>
      </c>
      <c r="I534" t="s">
        <v>9</v>
      </c>
      <c r="J534" s="14">
        <f>IFERROR(VLOOKUP(D534,'INf. RRHH'!$A:$B,2,0),0)</f>
        <v>2900</v>
      </c>
      <c r="K534" s="16">
        <f t="shared" si="24"/>
        <v>3308.0200000000004</v>
      </c>
      <c r="L534" s="17">
        <f t="shared" si="25"/>
        <v>966.67</v>
      </c>
      <c r="M534" s="18">
        <f t="shared" si="26"/>
        <v>4274.6900000000005</v>
      </c>
    </row>
    <row r="535" spans="1:13" x14ac:dyDescent="0.25">
      <c r="A535">
        <v>1000</v>
      </c>
      <c r="B535">
        <v>1000</v>
      </c>
      <c r="C535" s="1">
        <v>45961</v>
      </c>
      <c r="D535">
        <v>91462</v>
      </c>
      <c r="E535">
        <v>240</v>
      </c>
      <c r="F535" s="2">
        <v>5135.32</v>
      </c>
      <c r="G535" s="1">
        <v>45965</v>
      </c>
      <c r="I535" t="s">
        <v>9</v>
      </c>
      <c r="J535" s="14">
        <f>IFERROR(VLOOKUP(D535,'INf. RRHH'!$A:$B,2,0),0)</f>
        <v>2900</v>
      </c>
      <c r="K535" s="16">
        <f t="shared" si="24"/>
        <v>2235.3199999999997</v>
      </c>
      <c r="L535" s="17">
        <f t="shared" si="25"/>
        <v>966.67</v>
      </c>
      <c r="M535" s="18">
        <f t="shared" si="26"/>
        <v>3201.99</v>
      </c>
    </row>
    <row r="536" spans="1:13" x14ac:dyDescent="0.25">
      <c r="A536">
        <v>1000</v>
      </c>
      <c r="B536">
        <v>1000</v>
      </c>
      <c r="C536" s="1">
        <v>45961</v>
      </c>
      <c r="D536">
        <v>91801</v>
      </c>
      <c r="E536">
        <v>353</v>
      </c>
      <c r="F536" s="2">
        <v>6692.83</v>
      </c>
      <c r="G536" s="1">
        <v>45965</v>
      </c>
      <c r="I536" t="s">
        <v>9</v>
      </c>
      <c r="J536" s="14">
        <f>IFERROR(VLOOKUP(D536,'INf. RRHH'!$A:$B,2,0),0)</f>
        <v>2900</v>
      </c>
      <c r="K536" s="16">
        <f t="shared" si="24"/>
        <v>3792.83</v>
      </c>
      <c r="L536" s="17">
        <f t="shared" si="25"/>
        <v>966.67</v>
      </c>
      <c r="M536" s="18">
        <f t="shared" si="26"/>
        <v>4759.5</v>
      </c>
    </row>
    <row r="537" spans="1:13" x14ac:dyDescent="0.25">
      <c r="A537">
        <v>1000</v>
      </c>
      <c r="B537">
        <v>1000</v>
      </c>
      <c r="C537" s="1">
        <v>45961</v>
      </c>
      <c r="D537">
        <v>92006</v>
      </c>
      <c r="E537">
        <v>246</v>
      </c>
      <c r="F537" s="2">
        <v>5947.56</v>
      </c>
      <c r="G537" s="1">
        <v>45965</v>
      </c>
      <c r="I537" t="s">
        <v>9</v>
      </c>
      <c r="J537" s="14">
        <f>IFERROR(VLOOKUP(D537,'INf. RRHH'!$A:$B,2,0),0)</f>
        <v>2900</v>
      </c>
      <c r="K537" s="16">
        <f t="shared" si="24"/>
        <v>3047.5600000000004</v>
      </c>
      <c r="L537" s="17">
        <f t="shared" si="25"/>
        <v>966.67</v>
      </c>
      <c r="M537" s="18">
        <f t="shared" si="26"/>
        <v>4014.2300000000005</v>
      </c>
    </row>
    <row r="538" spans="1:13" x14ac:dyDescent="0.25">
      <c r="A538">
        <v>1000</v>
      </c>
      <c r="B538">
        <v>1000</v>
      </c>
      <c r="C538" s="1">
        <v>45961</v>
      </c>
      <c r="D538">
        <v>92009</v>
      </c>
      <c r="E538">
        <v>238</v>
      </c>
      <c r="F538" s="2">
        <v>6006.77</v>
      </c>
      <c r="G538" s="1">
        <v>45965</v>
      </c>
      <c r="I538" t="s">
        <v>9</v>
      </c>
      <c r="J538" s="14">
        <f>IFERROR(VLOOKUP(D538,'INf. RRHH'!$A:$B,2,0),0)</f>
        <v>2900</v>
      </c>
      <c r="K538" s="16">
        <f t="shared" si="24"/>
        <v>3106.7700000000004</v>
      </c>
      <c r="L538" s="17">
        <f t="shared" si="25"/>
        <v>966.67</v>
      </c>
      <c r="M538" s="18">
        <f t="shared" si="26"/>
        <v>4073.4400000000005</v>
      </c>
    </row>
    <row r="539" spans="1:13" x14ac:dyDescent="0.25">
      <c r="A539">
        <v>1000</v>
      </c>
      <c r="B539">
        <v>1000</v>
      </c>
      <c r="C539" s="1">
        <v>45961</v>
      </c>
      <c r="D539">
        <v>92015</v>
      </c>
      <c r="E539">
        <v>273.45</v>
      </c>
      <c r="F539" s="2">
        <v>6364.75</v>
      </c>
      <c r="G539" s="1">
        <v>45965</v>
      </c>
      <c r="I539" t="s">
        <v>9</v>
      </c>
      <c r="J539" s="14">
        <f>IFERROR(VLOOKUP(D539,'INf. RRHH'!$A:$B,2,0),0)</f>
        <v>2900</v>
      </c>
      <c r="K539" s="16">
        <f t="shared" si="24"/>
        <v>3464.75</v>
      </c>
      <c r="L539" s="17">
        <f t="shared" si="25"/>
        <v>966.67</v>
      </c>
      <c r="M539" s="18">
        <f t="shared" si="26"/>
        <v>4431.42</v>
      </c>
    </row>
    <row r="540" spans="1:13" x14ac:dyDescent="0.25">
      <c r="A540">
        <v>1000</v>
      </c>
      <c r="B540">
        <v>1000</v>
      </c>
      <c r="C540" s="1">
        <v>45961</v>
      </c>
      <c r="D540">
        <v>92046</v>
      </c>
      <c r="E540">
        <v>240</v>
      </c>
      <c r="F540" s="2">
        <v>5375.96</v>
      </c>
      <c r="G540" s="1">
        <v>45965</v>
      </c>
      <c r="I540" t="s">
        <v>9</v>
      </c>
      <c r="J540" s="14">
        <f>IFERROR(VLOOKUP(D540,'INf. RRHH'!$A:$B,2,0),0)</f>
        <v>2900</v>
      </c>
      <c r="K540" s="16">
        <f t="shared" si="24"/>
        <v>2475.96</v>
      </c>
      <c r="L540" s="17">
        <f t="shared" si="25"/>
        <v>966.67</v>
      </c>
      <c r="M540" s="18">
        <f t="shared" si="26"/>
        <v>3442.63</v>
      </c>
    </row>
    <row r="541" spans="1:13" x14ac:dyDescent="0.25">
      <c r="A541">
        <v>1000</v>
      </c>
      <c r="B541">
        <v>1000</v>
      </c>
      <c r="C541" s="1">
        <v>45961</v>
      </c>
      <c r="D541">
        <v>92127</v>
      </c>
      <c r="E541">
        <v>240</v>
      </c>
      <c r="F541" s="2">
        <v>5210.46</v>
      </c>
      <c r="G541" s="1">
        <v>45965</v>
      </c>
      <c r="I541" t="s">
        <v>9</v>
      </c>
      <c r="J541" s="14">
        <f>IFERROR(VLOOKUP(D541,'INf. RRHH'!$A:$B,2,0),0)</f>
        <v>2900</v>
      </c>
      <c r="K541" s="16">
        <f t="shared" si="24"/>
        <v>2310.46</v>
      </c>
      <c r="L541" s="17">
        <f t="shared" si="25"/>
        <v>966.67</v>
      </c>
      <c r="M541" s="18">
        <f t="shared" si="26"/>
        <v>3277.13</v>
      </c>
    </row>
    <row r="542" spans="1:13" x14ac:dyDescent="0.25">
      <c r="A542">
        <v>1000</v>
      </c>
      <c r="B542">
        <v>1000</v>
      </c>
      <c r="C542" s="1">
        <v>45961</v>
      </c>
      <c r="D542">
        <v>92231</v>
      </c>
      <c r="E542">
        <v>274</v>
      </c>
      <c r="F542" s="2">
        <v>5951.65</v>
      </c>
      <c r="G542" s="1">
        <v>45965</v>
      </c>
      <c r="I542" t="s">
        <v>9</v>
      </c>
      <c r="J542" s="14">
        <f>IFERROR(VLOOKUP(D542,'INf. RRHH'!$A:$B,2,0),0)</f>
        <v>2900</v>
      </c>
      <c r="K542" s="16">
        <f t="shared" si="24"/>
        <v>3051.6499999999996</v>
      </c>
      <c r="L542" s="17">
        <f t="shared" si="25"/>
        <v>966.67</v>
      </c>
      <c r="M542" s="18">
        <f t="shared" si="26"/>
        <v>4018.3199999999997</v>
      </c>
    </row>
    <row r="543" spans="1:13" x14ac:dyDescent="0.25">
      <c r="A543">
        <v>1000</v>
      </c>
      <c r="B543">
        <v>1000</v>
      </c>
      <c r="C543" s="1">
        <v>45961</v>
      </c>
      <c r="D543">
        <v>92350</v>
      </c>
      <c r="E543">
        <v>342.5</v>
      </c>
      <c r="F543" s="2">
        <v>7861.23</v>
      </c>
      <c r="G543" s="1">
        <v>45965</v>
      </c>
      <c r="I543" t="s">
        <v>9</v>
      </c>
      <c r="J543" s="14">
        <f>IFERROR(VLOOKUP(D543,'INf. RRHH'!$A:$B,2,0),0)</f>
        <v>2900</v>
      </c>
      <c r="K543" s="16">
        <f t="shared" si="24"/>
        <v>4961.2299999999996</v>
      </c>
      <c r="L543" s="17">
        <f t="shared" si="25"/>
        <v>966.67</v>
      </c>
      <c r="M543" s="18">
        <f t="shared" si="26"/>
        <v>5927.9</v>
      </c>
    </row>
    <row r="544" spans="1:13" x14ac:dyDescent="0.25">
      <c r="A544">
        <v>1000</v>
      </c>
      <c r="B544">
        <v>1000</v>
      </c>
      <c r="C544" s="1">
        <v>45961</v>
      </c>
      <c r="D544">
        <v>92407</v>
      </c>
      <c r="E544">
        <v>272</v>
      </c>
      <c r="F544" s="2">
        <v>4707.3599999999997</v>
      </c>
      <c r="G544" s="1">
        <v>45965</v>
      </c>
      <c r="I544" t="s">
        <v>9</v>
      </c>
      <c r="J544" s="14">
        <f>IFERROR(VLOOKUP(D544,'INf. RRHH'!$A:$B,2,0),0)</f>
        <v>2900</v>
      </c>
      <c r="K544" s="16">
        <f t="shared" si="24"/>
        <v>1807.3599999999997</v>
      </c>
      <c r="L544" s="17">
        <f t="shared" si="25"/>
        <v>966.67</v>
      </c>
      <c r="M544" s="18">
        <f t="shared" si="26"/>
        <v>2774.0299999999997</v>
      </c>
    </row>
    <row r="545" spans="1:13" x14ac:dyDescent="0.25">
      <c r="A545">
        <v>1000</v>
      </c>
      <c r="B545">
        <v>1000</v>
      </c>
      <c r="C545" s="1">
        <v>45961</v>
      </c>
      <c r="D545">
        <v>92496</v>
      </c>
      <c r="E545">
        <v>325</v>
      </c>
      <c r="F545" s="2">
        <v>7167.67</v>
      </c>
      <c r="G545" s="1">
        <v>45965</v>
      </c>
      <c r="I545" t="s">
        <v>9</v>
      </c>
      <c r="J545" s="14">
        <f>IFERROR(VLOOKUP(D545,'INf. RRHH'!$A:$B,2,0),0)</f>
        <v>2900</v>
      </c>
      <c r="K545" s="16">
        <f t="shared" si="24"/>
        <v>4267.67</v>
      </c>
      <c r="L545" s="17">
        <f t="shared" si="25"/>
        <v>966.67</v>
      </c>
      <c r="M545" s="18">
        <f t="shared" si="26"/>
        <v>5234.34</v>
      </c>
    </row>
    <row r="546" spans="1:13" x14ac:dyDescent="0.25">
      <c r="A546">
        <v>1000</v>
      </c>
      <c r="B546">
        <v>1000</v>
      </c>
      <c r="C546" s="1">
        <v>45961</v>
      </c>
      <c r="D546">
        <v>92530</v>
      </c>
      <c r="E546">
        <v>321.5</v>
      </c>
      <c r="F546" s="2">
        <v>7119.4</v>
      </c>
      <c r="G546" s="1">
        <v>45965</v>
      </c>
      <c r="I546" t="s">
        <v>9</v>
      </c>
      <c r="J546" s="14">
        <f>IFERROR(VLOOKUP(D546,'INf. RRHH'!$A:$B,2,0),0)</f>
        <v>2900</v>
      </c>
      <c r="K546" s="16">
        <f t="shared" si="24"/>
        <v>4219.3999999999996</v>
      </c>
      <c r="L546" s="17">
        <f t="shared" si="25"/>
        <v>966.67</v>
      </c>
      <c r="M546" s="18">
        <f t="shared" si="26"/>
        <v>5186.07</v>
      </c>
    </row>
    <row r="547" spans="1:13" x14ac:dyDescent="0.25">
      <c r="A547">
        <v>1000</v>
      </c>
      <c r="B547">
        <v>1000</v>
      </c>
      <c r="C547" s="1">
        <v>45961</v>
      </c>
      <c r="D547">
        <v>93008</v>
      </c>
      <c r="E547">
        <v>366</v>
      </c>
      <c r="F547" s="2">
        <v>6441.5</v>
      </c>
      <c r="G547" s="1">
        <v>45965</v>
      </c>
      <c r="I547" t="s">
        <v>9</v>
      </c>
      <c r="J547" s="14">
        <f>IFERROR(VLOOKUP(D547,'INf. RRHH'!$A:$B,2,0),0)</f>
        <v>2900</v>
      </c>
      <c r="K547" s="16">
        <f t="shared" si="24"/>
        <v>3541.5</v>
      </c>
      <c r="L547" s="17">
        <f t="shared" si="25"/>
        <v>966.67</v>
      </c>
      <c r="M547" s="18">
        <f t="shared" si="26"/>
        <v>4508.17</v>
      </c>
    </row>
    <row r="548" spans="1:13" x14ac:dyDescent="0.25">
      <c r="A548">
        <v>1000</v>
      </c>
      <c r="B548">
        <v>1000</v>
      </c>
      <c r="C548" s="1">
        <v>45961</v>
      </c>
      <c r="D548">
        <v>93062</v>
      </c>
      <c r="E548">
        <v>344</v>
      </c>
      <c r="F548" s="2">
        <v>5885.39</v>
      </c>
      <c r="G548" s="1">
        <v>45965</v>
      </c>
      <c r="I548" t="s">
        <v>9</v>
      </c>
      <c r="J548" s="14">
        <f>IFERROR(VLOOKUP(D548,'INf. RRHH'!$A:$B,2,0),0)</f>
        <v>2900</v>
      </c>
      <c r="K548" s="16">
        <f t="shared" si="24"/>
        <v>2985.3900000000003</v>
      </c>
      <c r="L548" s="17">
        <f t="shared" si="25"/>
        <v>966.67</v>
      </c>
      <c r="M548" s="18">
        <f t="shared" si="26"/>
        <v>3952.0600000000004</v>
      </c>
    </row>
    <row r="549" spans="1:13" x14ac:dyDescent="0.25">
      <c r="A549">
        <v>1000</v>
      </c>
      <c r="B549">
        <v>1000</v>
      </c>
      <c r="C549" s="1">
        <v>45961</v>
      </c>
      <c r="D549">
        <v>93072</v>
      </c>
      <c r="E549">
        <v>240</v>
      </c>
      <c r="F549" s="2">
        <v>5308.18</v>
      </c>
      <c r="G549" s="1">
        <v>45965</v>
      </c>
      <c r="I549" t="s">
        <v>9</v>
      </c>
      <c r="J549" s="14">
        <f>IFERROR(VLOOKUP(D549,'INf. RRHH'!$A:$B,2,0),0)</f>
        <v>2900</v>
      </c>
      <c r="K549" s="16">
        <f t="shared" si="24"/>
        <v>2408.1800000000003</v>
      </c>
      <c r="L549" s="17">
        <f t="shared" si="25"/>
        <v>966.67</v>
      </c>
      <c r="M549" s="18">
        <f t="shared" si="26"/>
        <v>3374.8500000000004</v>
      </c>
    </row>
    <row r="550" spans="1:13" x14ac:dyDescent="0.25">
      <c r="A550">
        <v>1000</v>
      </c>
      <c r="B550">
        <v>1000</v>
      </c>
      <c r="C550" s="1">
        <v>45961</v>
      </c>
      <c r="D550">
        <v>93105</v>
      </c>
      <c r="E550">
        <v>328</v>
      </c>
      <c r="F550" s="2">
        <v>6622.98</v>
      </c>
      <c r="G550" s="1">
        <v>45965</v>
      </c>
      <c r="I550" t="s">
        <v>9</v>
      </c>
      <c r="J550" s="14">
        <f>IFERROR(VLOOKUP(D550,'INf. RRHH'!$A:$B,2,0),0)</f>
        <v>2900</v>
      </c>
      <c r="K550" s="16">
        <f t="shared" si="24"/>
        <v>3722.9799999999996</v>
      </c>
      <c r="L550" s="17">
        <f t="shared" si="25"/>
        <v>966.67</v>
      </c>
      <c r="M550" s="18">
        <f t="shared" si="26"/>
        <v>4689.6499999999996</v>
      </c>
    </row>
    <row r="551" spans="1:13" x14ac:dyDescent="0.25">
      <c r="A551">
        <v>1000</v>
      </c>
      <c r="B551">
        <v>1000</v>
      </c>
      <c r="C551" s="1">
        <v>45961</v>
      </c>
      <c r="D551">
        <v>93118</v>
      </c>
      <c r="E551">
        <v>240</v>
      </c>
      <c r="F551" s="2">
        <v>5375.59</v>
      </c>
      <c r="G551" s="1">
        <v>45965</v>
      </c>
      <c r="I551" t="s">
        <v>9</v>
      </c>
      <c r="J551" s="14">
        <f>IFERROR(VLOOKUP(D551,'INf. RRHH'!$A:$B,2,0),0)</f>
        <v>2900</v>
      </c>
      <c r="K551" s="16">
        <f t="shared" si="24"/>
        <v>2475.59</v>
      </c>
      <c r="L551" s="17">
        <f t="shared" si="25"/>
        <v>966.67</v>
      </c>
      <c r="M551" s="18">
        <f t="shared" si="26"/>
        <v>3442.26</v>
      </c>
    </row>
    <row r="552" spans="1:13" x14ac:dyDescent="0.25">
      <c r="A552">
        <v>1000</v>
      </c>
      <c r="B552">
        <v>1000</v>
      </c>
      <c r="C552" s="1">
        <v>45961</v>
      </c>
      <c r="D552">
        <v>93217</v>
      </c>
      <c r="E552">
        <v>240</v>
      </c>
      <c r="F552" s="2">
        <v>5153.8900000000003</v>
      </c>
      <c r="G552" s="1">
        <v>45965</v>
      </c>
      <c r="I552" t="s">
        <v>9</v>
      </c>
      <c r="J552" s="14">
        <f>IFERROR(VLOOKUP(D552,'INf. RRHH'!$A:$B,2,0),0)</f>
        <v>2900</v>
      </c>
      <c r="K552" s="16">
        <f t="shared" si="24"/>
        <v>2253.8900000000003</v>
      </c>
      <c r="L552" s="17">
        <f t="shared" si="25"/>
        <v>966.67</v>
      </c>
      <c r="M552" s="18">
        <f t="shared" si="26"/>
        <v>3220.5600000000004</v>
      </c>
    </row>
    <row r="553" spans="1:13" x14ac:dyDescent="0.25">
      <c r="A553">
        <v>1000</v>
      </c>
      <c r="B553">
        <v>1000</v>
      </c>
      <c r="C553" s="1">
        <v>45961</v>
      </c>
      <c r="D553">
        <v>93221</v>
      </c>
      <c r="E553">
        <v>153</v>
      </c>
      <c r="F553" s="2">
        <v>5410.54</v>
      </c>
      <c r="G553" s="1">
        <v>45965</v>
      </c>
      <c r="I553" t="s">
        <v>9</v>
      </c>
      <c r="J553" s="14">
        <f>IFERROR(VLOOKUP(D553,'INf. RRHH'!$A:$B,2,0),0)</f>
        <v>2900</v>
      </c>
      <c r="K553" s="16">
        <f t="shared" si="24"/>
        <v>2510.54</v>
      </c>
      <c r="L553" s="17">
        <f t="shared" si="25"/>
        <v>966.67</v>
      </c>
      <c r="M553" s="18">
        <f t="shared" si="26"/>
        <v>3477.21</v>
      </c>
    </row>
    <row r="554" spans="1:13" x14ac:dyDescent="0.25">
      <c r="A554">
        <v>1000</v>
      </c>
      <c r="B554">
        <v>1000</v>
      </c>
      <c r="C554" s="1">
        <v>45961</v>
      </c>
      <c r="D554">
        <v>93541</v>
      </c>
      <c r="E554">
        <v>280</v>
      </c>
      <c r="F554" s="2">
        <v>4476.95</v>
      </c>
      <c r="G554" s="1">
        <v>45965</v>
      </c>
      <c r="I554" t="s">
        <v>9</v>
      </c>
      <c r="J554" s="14">
        <f>IFERROR(VLOOKUP(D554,'INf. RRHH'!$A:$B,2,0),0)</f>
        <v>2900</v>
      </c>
      <c r="K554" s="16">
        <f t="shared" si="24"/>
        <v>1576.9499999999998</v>
      </c>
      <c r="L554" s="17">
        <f t="shared" si="25"/>
        <v>966.67</v>
      </c>
      <c r="M554" s="18">
        <f t="shared" si="26"/>
        <v>2543.62</v>
      </c>
    </row>
    <row r="555" spans="1:13" x14ac:dyDescent="0.25">
      <c r="A555">
        <v>1000</v>
      </c>
      <c r="B555">
        <v>1000</v>
      </c>
      <c r="C555" s="1">
        <v>45961</v>
      </c>
      <c r="D555">
        <v>93601</v>
      </c>
      <c r="E555">
        <v>353</v>
      </c>
      <c r="F555" s="2">
        <v>7053.82</v>
      </c>
      <c r="G555" s="1">
        <v>45965</v>
      </c>
      <c r="I555" t="s">
        <v>9</v>
      </c>
      <c r="J555" s="14">
        <f>IFERROR(VLOOKUP(D555,'INf. RRHH'!$A:$B,2,0),0)</f>
        <v>2900</v>
      </c>
      <c r="K555" s="16">
        <f t="shared" si="24"/>
        <v>4153.82</v>
      </c>
      <c r="L555" s="17">
        <f t="shared" si="25"/>
        <v>966.67</v>
      </c>
      <c r="M555" s="18">
        <f t="shared" si="26"/>
        <v>5120.49</v>
      </c>
    </row>
    <row r="556" spans="1:13" x14ac:dyDescent="0.25">
      <c r="A556">
        <v>1000</v>
      </c>
      <c r="B556">
        <v>1000</v>
      </c>
      <c r="C556" s="1">
        <v>45961</v>
      </c>
      <c r="D556">
        <v>94102</v>
      </c>
      <c r="E556">
        <v>240</v>
      </c>
      <c r="F556" s="2">
        <v>5211.72</v>
      </c>
      <c r="G556" s="1">
        <v>45965</v>
      </c>
      <c r="I556" t="s">
        <v>9</v>
      </c>
      <c r="J556" s="14">
        <f>IFERROR(VLOOKUP(D556,'INf. RRHH'!$A:$B,2,0),0)</f>
        <v>2900</v>
      </c>
      <c r="K556" s="16">
        <f t="shared" si="24"/>
        <v>2311.7200000000003</v>
      </c>
      <c r="L556" s="17">
        <f t="shared" si="25"/>
        <v>966.67</v>
      </c>
      <c r="M556" s="18">
        <f t="shared" si="26"/>
        <v>3278.3900000000003</v>
      </c>
    </row>
    <row r="557" spans="1:13" x14ac:dyDescent="0.25">
      <c r="A557">
        <v>1000</v>
      </c>
      <c r="B557">
        <v>1000</v>
      </c>
      <c r="C557" s="1">
        <v>45961</v>
      </c>
      <c r="D557">
        <v>94132</v>
      </c>
      <c r="E557">
        <v>331</v>
      </c>
      <c r="F557" s="2">
        <v>6530.6</v>
      </c>
      <c r="G557" s="1">
        <v>45965</v>
      </c>
      <c r="I557" t="s">
        <v>9</v>
      </c>
      <c r="J557" s="14">
        <f>IFERROR(VLOOKUP(D557,'INf. RRHH'!$A:$B,2,0),0)</f>
        <v>2900</v>
      </c>
      <c r="K557" s="16">
        <f t="shared" si="24"/>
        <v>3630.6000000000004</v>
      </c>
      <c r="L557" s="17">
        <f t="shared" si="25"/>
        <v>966.67</v>
      </c>
      <c r="M557" s="18">
        <f t="shared" si="26"/>
        <v>4597.2700000000004</v>
      </c>
    </row>
    <row r="558" spans="1:13" x14ac:dyDescent="0.25">
      <c r="A558">
        <v>1000</v>
      </c>
      <c r="B558">
        <v>1000</v>
      </c>
      <c r="C558" s="1">
        <v>45961</v>
      </c>
      <c r="D558">
        <v>94176</v>
      </c>
      <c r="E558">
        <v>112</v>
      </c>
      <c r="F558" s="2">
        <v>4834.6499999999996</v>
      </c>
      <c r="G558" s="1">
        <v>45965</v>
      </c>
      <c r="I558" t="s">
        <v>9</v>
      </c>
      <c r="J558" s="14">
        <f>IFERROR(VLOOKUP(D558,'INf. RRHH'!$A:$B,2,0),0)</f>
        <v>2900</v>
      </c>
      <c r="K558" s="16">
        <f t="shared" si="24"/>
        <v>1934.6499999999996</v>
      </c>
      <c r="L558" s="17">
        <f t="shared" si="25"/>
        <v>966.67</v>
      </c>
      <c r="M558" s="18">
        <f t="shared" si="26"/>
        <v>2901.3199999999997</v>
      </c>
    </row>
    <row r="559" spans="1:13" x14ac:dyDescent="0.25">
      <c r="A559">
        <v>1000</v>
      </c>
      <c r="B559">
        <v>1000</v>
      </c>
      <c r="C559" s="1">
        <v>45961</v>
      </c>
      <c r="D559">
        <v>94216</v>
      </c>
      <c r="E559">
        <v>240</v>
      </c>
      <c r="F559" s="2">
        <v>5409.41</v>
      </c>
      <c r="G559" s="1">
        <v>45965</v>
      </c>
      <c r="I559" t="s">
        <v>9</v>
      </c>
      <c r="J559" s="14">
        <f>IFERROR(VLOOKUP(D559,'INf. RRHH'!$A:$B,2,0),0)</f>
        <v>2900</v>
      </c>
      <c r="K559" s="16">
        <f t="shared" si="24"/>
        <v>2509.41</v>
      </c>
      <c r="L559" s="17">
        <f t="shared" si="25"/>
        <v>966.67</v>
      </c>
      <c r="M559" s="18">
        <f t="shared" si="26"/>
        <v>3476.08</v>
      </c>
    </row>
    <row r="560" spans="1:13" x14ac:dyDescent="0.25">
      <c r="A560">
        <v>1000</v>
      </c>
      <c r="B560">
        <v>1000</v>
      </c>
      <c r="C560" s="1">
        <v>45961</v>
      </c>
      <c r="D560">
        <v>94338</v>
      </c>
      <c r="E560">
        <v>240</v>
      </c>
      <c r="F560" s="2">
        <v>4018.62</v>
      </c>
      <c r="G560" s="1">
        <v>45965</v>
      </c>
      <c r="I560" t="s">
        <v>9</v>
      </c>
      <c r="J560" s="14">
        <f>IFERROR(VLOOKUP(D560,'INf. RRHH'!$A:$B,2,0),0)</f>
        <v>2900</v>
      </c>
      <c r="K560" s="16">
        <f t="shared" si="24"/>
        <v>1118.6199999999999</v>
      </c>
      <c r="L560" s="17">
        <f t="shared" si="25"/>
        <v>966.67</v>
      </c>
      <c r="M560" s="18">
        <f t="shared" si="26"/>
        <v>2085.29</v>
      </c>
    </row>
    <row r="561" spans="1:13" x14ac:dyDescent="0.25">
      <c r="A561">
        <v>1000</v>
      </c>
      <c r="B561">
        <v>1000</v>
      </c>
      <c r="C561" s="1">
        <v>45961</v>
      </c>
      <c r="D561">
        <v>94342</v>
      </c>
      <c r="E561">
        <v>240</v>
      </c>
      <c r="F561" s="2">
        <v>3719.91</v>
      </c>
      <c r="G561" s="1">
        <v>45965</v>
      </c>
      <c r="I561" t="s">
        <v>9</v>
      </c>
      <c r="J561" s="14">
        <f>IFERROR(VLOOKUP(D561,'INf. RRHH'!$A:$B,2,0),0)</f>
        <v>2900</v>
      </c>
      <c r="K561" s="16">
        <f t="shared" si="24"/>
        <v>819.90999999999985</v>
      </c>
      <c r="L561" s="17">
        <f t="shared" si="25"/>
        <v>966.67</v>
      </c>
      <c r="M561" s="18">
        <f t="shared" si="26"/>
        <v>1786.58</v>
      </c>
    </row>
    <row r="562" spans="1:13" x14ac:dyDescent="0.25">
      <c r="A562">
        <v>1000</v>
      </c>
      <c r="B562">
        <v>1000</v>
      </c>
      <c r="C562" s="1">
        <v>45961</v>
      </c>
      <c r="D562">
        <v>94450</v>
      </c>
      <c r="E562">
        <v>365</v>
      </c>
      <c r="F562" s="2">
        <v>6256.7</v>
      </c>
      <c r="G562" s="1">
        <v>45965</v>
      </c>
      <c r="I562" t="s">
        <v>9</v>
      </c>
      <c r="J562" s="14">
        <f>IFERROR(VLOOKUP(D562,'INf. RRHH'!$A:$B,2,0),0)</f>
        <v>2900</v>
      </c>
      <c r="K562" s="16">
        <f t="shared" si="24"/>
        <v>3356.7</v>
      </c>
      <c r="L562" s="17">
        <f t="shared" si="25"/>
        <v>966.67</v>
      </c>
      <c r="M562" s="18">
        <f t="shared" si="26"/>
        <v>4323.37</v>
      </c>
    </row>
    <row r="563" spans="1:13" x14ac:dyDescent="0.25">
      <c r="A563">
        <v>1000</v>
      </c>
      <c r="B563">
        <v>1000</v>
      </c>
      <c r="C563" s="1">
        <v>45961</v>
      </c>
      <c r="D563">
        <v>94540</v>
      </c>
      <c r="E563">
        <v>232</v>
      </c>
      <c r="F563" s="2">
        <v>5423.5</v>
      </c>
      <c r="G563" s="1">
        <v>45965</v>
      </c>
      <c r="I563" t="s">
        <v>9</v>
      </c>
      <c r="J563" s="14">
        <f>IFERROR(VLOOKUP(D563,'INf. RRHH'!$A:$B,2,0),0)</f>
        <v>2900</v>
      </c>
      <c r="K563" s="16">
        <f t="shared" si="24"/>
        <v>2523.5</v>
      </c>
      <c r="L563" s="17">
        <f t="shared" si="25"/>
        <v>966.67</v>
      </c>
      <c r="M563" s="18">
        <f t="shared" si="26"/>
        <v>3490.17</v>
      </c>
    </row>
    <row r="564" spans="1:13" x14ac:dyDescent="0.25">
      <c r="A564">
        <v>1000</v>
      </c>
      <c r="B564">
        <v>1000</v>
      </c>
      <c r="C564" s="1">
        <v>45961</v>
      </c>
      <c r="D564">
        <v>94770</v>
      </c>
      <c r="E564">
        <v>276</v>
      </c>
      <c r="F564" s="2">
        <v>5884.66</v>
      </c>
      <c r="G564" s="1">
        <v>45965</v>
      </c>
      <c r="I564" t="s">
        <v>9</v>
      </c>
      <c r="J564" s="14">
        <f>IFERROR(VLOOKUP(D564,'INf. RRHH'!$A:$B,2,0),0)</f>
        <v>2900</v>
      </c>
      <c r="K564" s="16">
        <f t="shared" si="24"/>
        <v>2984.66</v>
      </c>
      <c r="L564" s="17">
        <f t="shared" si="25"/>
        <v>966.67</v>
      </c>
      <c r="M564" s="18">
        <f t="shared" si="26"/>
        <v>3951.33</v>
      </c>
    </row>
    <row r="565" spans="1:13" x14ac:dyDescent="0.25">
      <c r="A565">
        <v>1000</v>
      </c>
      <c r="B565">
        <v>1000</v>
      </c>
      <c r="C565" s="1">
        <v>45961</v>
      </c>
      <c r="D565">
        <v>94900</v>
      </c>
      <c r="E565">
        <v>243</v>
      </c>
      <c r="F565" s="2">
        <v>5368.16</v>
      </c>
      <c r="G565" s="1">
        <v>45965</v>
      </c>
      <c r="I565" t="s">
        <v>9</v>
      </c>
      <c r="J565" s="14">
        <f>IFERROR(VLOOKUP(D565,'INf. RRHH'!$A:$B,2,0),0)</f>
        <v>2900</v>
      </c>
      <c r="K565" s="16">
        <f t="shared" si="24"/>
        <v>2468.16</v>
      </c>
      <c r="L565" s="17">
        <f t="shared" si="25"/>
        <v>966.67</v>
      </c>
      <c r="M565" s="18">
        <f t="shared" si="26"/>
        <v>3434.83</v>
      </c>
    </row>
    <row r="566" spans="1:13" x14ac:dyDescent="0.25">
      <c r="A566">
        <v>1000</v>
      </c>
      <c r="B566">
        <v>1000</v>
      </c>
      <c r="C566" s="1">
        <v>45961</v>
      </c>
      <c r="D566">
        <v>94953</v>
      </c>
      <c r="E566">
        <v>315</v>
      </c>
      <c r="F566" s="2">
        <v>7827.21</v>
      </c>
      <c r="G566" s="1">
        <v>45965</v>
      </c>
      <c r="I566" t="s">
        <v>9</v>
      </c>
      <c r="J566" s="14">
        <f>IFERROR(VLOOKUP(D566,'INf. RRHH'!$A:$B,2,0),0)</f>
        <v>2900</v>
      </c>
      <c r="K566" s="16">
        <f t="shared" si="24"/>
        <v>4927.21</v>
      </c>
      <c r="L566" s="17">
        <f t="shared" si="25"/>
        <v>966.67</v>
      </c>
      <c r="M566" s="18">
        <f t="shared" si="26"/>
        <v>5893.88</v>
      </c>
    </row>
    <row r="567" spans="1:13" x14ac:dyDescent="0.25">
      <c r="A567">
        <v>1000</v>
      </c>
      <c r="B567">
        <v>1000</v>
      </c>
      <c r="C567" s="1">
        <v>45961</v>
      </c>
      <c r="D567">
        <v>95284</v>
      </c>
      <c r="E567">
        <v>216</v>
      </c>
      <c r="F567" s="2">
        <v>4922.38</v>
      </c>
      <c r="G567" s="1">
        <v>45965</v>
      </c>
      <c r="I567" t="s">
        <v>9</v>
      </c>
      <c r="J567" s="14">
        <f>IFERROR(VLOOKUP(D567,'INf. RRHH'!$A:$B,2,0),0)</f>
        <v>2900</v>
      </c>
      <c r="K567" s="16">
        <f t="shared" si="24"/>
        <v>2022.38</v>
      </c>
      <c r="L567" s="17">
        <f t="shared" si="25"/>
        <v>966.67</v>
      </c>
      <c r="M567" s="18">
        <f t="shared" si="26"/>
        <v>2989.05</v>
      </c>
    </row>
    <row r="568" spans="1:13" x14ac:dyDescent="0.25">
      <c r="A568">
        <v>1000</v>
      </c>
      <c r="B568">
        <v>1000</v>
      </c>
      <c r="C568" s="1">
        <v>45961</v>
      </c>
      <c r="D568">
        <v>95317</v>
      </c>
      <c r="E568">
        <v>285</v>
      </c>
      <c r="F568" s="2">
        <v>6084.37</v>
      </c>
      <c r="G568" s="1">
        <v>45965</v>
      </c>
      <c r="I568" t="s">
        <v>9</v>
      </c>
      <c r="J568" s="14">
        <f>IFERROR(VLOOKUP(D568,'INf. RRHH'!$A:$B,2,0),0)</f>
        <v>2900</v>
      </c>
      <c r="K568" s="16">
        <f t="shared" si="24"/>
        <v>3184.37</v>
      </c>
      <c r="L568" s="17">
        <f t="shared" si="25"/>
        <v>966.67</v>
      </c>
      <c r="M568" s="18">
        <f t="shared" si="26"/>
        <v>4151.04</v>
      </c>
    </row>
    <row r="569" spans="1:13" x14ac:dyDescent="0.25">
      <c r="A569">
        <v>1000</v>
      </c>
      <c r="B569">
        <v>1000</v>
      </c>
      <c r="C569" s="1">
        <v>45961</v>
      </c>
      <c r="D569">
        <v>95469</v>
      </c>
      <c r="E569">
        <v>248</v>
      </c>
      <c r="F569" s="2">
        <v>3305.07</v>
      </c>
      <c r="G569" s="1">
        <v>45965</v>
      </c>
      <c r="I569" t="s">
        <v>9</v>
      </c>
      <c r="J569" s="14">
        <f>IFERROR(VLOOKUP(D569,'INf. RRHH'!$A:$B,2,0),0)</f>
        <v>0</v>
      </c>
      <c r="K569" s="16">
        <f t="shared" si="24"/>
        <v>3305.07</v>
      </c>
      <c r="L569" s="17">
        <f t="shared" si="25"/>
        <v>0</v>
      </c>
      <c r="M569" s="18">
        <f t="shared" si="26"/>
        <v>3305.07</v>
      </c>
    </row>
    <row r="570" spans="1:13" x14ac:dyDescent="0.25">
      <c r="A570">
        <v>1000</v>
      </c>
      <c r="B570">
        <v>1000</v>
      </c>
      <c r="C570" s="1">
        <v>45961</v>
      </c>
      <c r="D570">
        <v>4951</v>
      </c>
      <c r="E570">
        <v>328.5</v>
      </c>
      <c r="F570" s="2">
        <v>7216.89</v>
      </c>
      <c r="G570" s="1">
        <v>45965</v>
      </c>
      <c r="I570" t="s">
        <v>9</v>
      </c>
      <c r="J570" s="14">
        <f>IFERROR(VLOOKUP(D570,'INf. RRHH'!$A:$B,2,0),0)</f>
        <v>2900</v>
      </c>
      <c r="K570" s="16">
        <f t="shared" si="24"/>
        <v>4316.8900000000003</v>
      </c>
      <c r="L570" s="17">
        <f t="shared" si="25"/>
        <v>966.67</v>
      </c>
      <c r="M570" s="18">
        <f t="shared" si="26"/>
        <v>5283.56</v>
      </c>
    </row>
    <row r="571" spans="1:13" x14ac:dyDescent="0.25">
      <c r="A571">
        <v>1000</v>
      </c>
      <c r="B571">
        <v>1000</v>
      </c>
      <c r="C571" s="1">
        <v>45961</v>
      </c>
      <c r="D571">
        <v>7336</v>
      </c>
      <c r="E571">
        <v>240</v>
      </c>
      <c r="F571" s="2">
        <v>6292.61</v>
      </c>
      <c r="G571" s="1">
        <v>45965</v>
      </c>
      <c r="I571" t="s">
        <v>9</v>
      </c>
      <c r="J571" s="14">
        <f>IFERROR(VLOOKUP(D571,'INf. RRHH'!$A:$B,2,0),0)</f>
        <v>2900</v>
      </c>
      <c r="K571" s="16">
        <f t="shared" si="24"/>
        <v>3392.6099999999997</v>
      </c>
      <c r="L571" s="17">
        <f t="shared" si="25"/>
        <v>966.67</v>
      </c>
      <c r="M571" s="18">
        <f t="shared" si="26"/>
        <v>4359.28</v>
      </c>
    </row>
    <row r="572" spans="1:13" x14ac:dyDescent="0.25">
      <c r="A572">
        <v>1000</v>
      </c>
      <c r="B572">
        <v>1000</v>
      </c>
      <c r="C572" s="1">
        <v>45961</v>
      </c>
      <c r="D572">
        <v>7779</v>
      </c>
      <c r="E572">
        <v>251</v>
      </c>
      <c r="F572" s="2">
        <v>6143.25</v>
      </c>
      <c r="G572" s="1">
        <v>45965</v>
      </c>
      <c r="I572" t="s">
        <v>9</v>
      </c>
      <c r="J572" s="14">
        <f>IFERROR(VLOOKUP(D572,'INf. RRHH'!$A:$B,2,0),0)</f>
        <v>2900</v>
      </c>
      <c r="K572" s="16">
        <f t="shared" si="24"/>
        <v>3243.25</v>
      </c>
      <c r="L572" s="17">
        <f t="shared" si="25"/>
        <v>966.67</v>
      </c>
      <c r="M572" s="18">
        <f t="shared" si="26"/>
        <v>4209.92</v>
      </c>
    </row>
    <row r="573" spans="1:13" x14ac:dyDescent="0.25">
      <c r="A573">
        <v>1000</v>
      </c>
      <c r="B573">
        <v>1000</v>
      </c>
      <c r="C573" s="1">
        <v>45961</v>
      </c>
      <c r="D573">
        <v>7947</v>
      </c>
      <c r="E573">
        <v>245.5</v>
      </c>
      <c r="F573" s="2">
        <v>6159.93</v>
      </c>
      <c r="G573" s="1">
        <v>45965</v>
      </c>
      <c r="I573" t="s">
        <v>9</v>
      </c>
      <c r="J573" s="14">
        <f>IFERROR(VLOOKUP(D573,'INf. RRHH'!$A:$B,2,0),0)</f>
        <v>2900</v>
      </c>
      <c r="K573" s="16">
        <f t="shared" si="24"/>
        <v>3259.9300000000003</v>
      </c>
      <c r="L573" s="17">
        <f t="shared" si="25"/>
        <v>966.67</v>
      </c>
      <c r="M573" s="18">
        <f t="shared" si="26"/>
        <v>4226.6000000000004</v>
      </c>
    </row>
    <row r="574" spans="1:13" x14ac:dyDescent="0.25">
      <c r="A574">
        <v>1000</v>
      </c>
      <c r="B574">
        <v>1000</v>
      </c>
      <c r="C574" s="1">
        <v>45961</v>
      </c>
      <c r="D574">
        <v>90049</v>
      </c>
      <c r="E574">
        <v>402</v>
      </c>
      <c r="F574" s="2">
        <v>8307.9699999999993</v>
      </c>
      <c r="G574" s="1">
        <v>45965</v>
      </c>
      <c r="I574" t="s">
        <v>9</v>
      </c>
      <c r="J574" s="14">
        <f>IFERROR(VLOOKUP(D574,'INf. RRHH'!$A:$B,2,0),0)</f>
        <v>2900</v>
      </c>
      <c r="K574" s="16">
        <f t="shared" si="24"/>
        <v>5407.9699999999993</v>
      </c>
      <c r="L574" s="17">
        <f t="shared" si="25"/>
        <v>966.67</v>
      </c>
      <c r="M574" s="18">
        <f t="shared" si="26"/>
        <v>6374.6399999999994</v>
      </c>
    </row>
    <row r="575" spans="1:13" x14ac:dyDescent="0.25">
      <c r="A575">
        <v>1000</v>
      </c>
      <c r="B575">
        <v>1000</v>
      </c>
      <c r="C575" s="1">
        <v>45961</v>
      </c>
      <c r="D575">
        <v>90063</v>
      </c>
      <c r="E575">
        <v>48</v>
      </c>
      <c r="F575" s="2">
        <v>5744.67</v>
      </c>
      <c r="G575" s="1">
        <v>45965</v>
      </c>
      <c r="I575" t="s">
        <v>9</v>
      </c>
      <c r="J575" s="14">
        <f>IFERROR(VLOOKUP(D575,'INf. RRHH'!$A:$B,2,0),0)</f>
        <v>2900</v>
      </c>
      <c r="K575" s="16">
        <f t="shared" si="24"/>
        <v>2844.67</v>
      </c>
      <c r="L575" s="17">
        <f t="shared" si="25"/>
        <v>966.67</v>
      </c>
      <c r="M575" s="18">
        <f t="shared" si="26"/>
        <v>3811.34</v>
      </c>
    </row>
    <row r="576" spans="1:13" x14ac:dyDescent="0.25">
      <c r="A576">
        <v>1000</v>
      </c>
      <c r="B576">
        <v>1000</v>
      </c>
      <c r="C576" s="1">
        <v>45961</v>
      </c>
      <c r="D576">
        <v>90064</v>
      </c>
      <c r="E576">
        <v>329</v>
      </c>
      <c r="F576" s="2">
        <v>6431.24</v>
      </c>
      <c r="G576" s="1">
        <v>45965</v>
      </c>
      <c r="I576" t="s">
        <v>9</v>
      </c>
      <c r="J576" s="14">
        <f>IFERROR(VLOOKUP(D576,'INf. RRHH'!$A:$B,2,0),0)</f>
        <v>2900</v>
      </c>
      <c r="K576" s="16">
        <f t="shared" si="24"/>
        <v>3531.24</v>
      </c>
      <c r="L576" s="17">
        <f t="shared" si="25"/>
        <v>966.67</v>
      </c>
      <c r="M576" s="18">
        <f t="shared" si="26"/>
        <v>4497.91</v>
      </c>
    </row>
    <row r="577" spans="1:13" x14ac:dyDescent="0.25">
      <c r="A577">
        <v>1000</v>
      </c>
      <c r="B577">
        <v>1000</v>
      </c>
      <c r="C577" s="1">
        <v>45961</v>
      </c>
      <c r="D577">
        <v>90136</v>
      </c>
      <c r="E577">
        <v>402</v>
      </c>
      <c r="F577" s="2">
        <v>6122.99</v>
      </c>
      <c r="G577" s="1">
        <v>45965</v>
      </c>
      <c r="I577" t="s">
        <v>9</v>
      </c>
      <c r="J577" s="14">
        <f>IFERROR(VLOOKUP(D577,'INf. RRHH'!$A:$B,2,0),0)</f>
        <v>2900</v>
      </c>
      <c r="K577" s="16">
        <f t="shared" si="24"/>
        <v>3222.99</v>
      </c>
      <c r="L577" s="17">
        <f t="shared" si="25"/>
        <v>966.67</v>
      </c>
      <c r="M577" s="18">
        <f t="shared" si="26"/>
        <v>4189.66</v>
      </c>
    </row>
    <row r="578" spans="1:13" x14ac:dyDescent="0.25">
      <c r="A578">
        <v>1000</v>
      </c>
      <c r="B578">
        <v>1000</v>
      </c>
      <c r="C578" s="1">
        <v>45961</v>
      </c>
      <c r="D578">
        <v>90209</v>
      </c>
      <c r="E578">
        <v>240</v>
      </c>
      <c r="F578" s="2">
        <v>4832.83</v>
      </c>
      <c r="G578" s="1">
        <v>45965</v>
      </c>
      <c r="I578" t="s">
        <v>9</v>
      </c>
      <c r="J578" s="14">
        <f>IFERROR(VLOOKUP(D578,'INf. RRHH'!$A:$B,2,0),0)</f>
        <v>2900</v>
      </c>
      <c r="K578" s="16">
        <f t="shared" si="24"/>
        <v>1932.83</v>
      </c>
      <c r="L578" s="17">
        <f t="shared" si="25"/>
        <v>966.67</v>
      </c>
      <c r="M578" s="18">
        <f t="shared" si="26"/>
        <v>2899.5</v>
      </c>
    </row>
    <row r="579" spans="1:13" x14ac:dyDescent="0.25">
      <c r="A579">
        <v>1000</v>
      </c>
      <c r="B579">
        <v>1000</v>
      </c>
      <c r="C579" s="1">
        <v>45961</v>
      </c>
      <c r="D579">
        <v>90441</v>
      </c>
      <c r="E579">
        <v>262</v>
      </c>
      <c r="F579" s="2">
        <v>5948.74</v>
      </c>
      <c r="G579" s="1">
        <v>45965</v>
      </c>
      <c r="I579" t="s">
        <v>9</v>
      </c>
      <c r="J579" s="14">
        <f>IFERROR(VLOOKUP(D579,'INf. RRHH'!$A:$B,2,0),0)</f>
        <v>2900</v>
      </c>
      <c r="K579" s="16">
        <f t="shared" ref="K579:K642" si="27">+F579-J579</f>
        <v>3048.74</v>
      </c>
      <c r="L579" s="17">
        <f t="shared" ref="L579:L642" si="28">ROUND(J579/3,2)</f>
        <v>966.67</v>
      </c>
      <c r="M579" s="18">
        <f t="shared" ref="M579:M642" si="29">+K579+L579</f>
        <v>4015.41</v>
      </c>
    </row>
    <row r="580" spans="1:13" x14ac:dyDescent="0.25">
      <c r="A580">
        <v>1000</v>
      </c>
      <c r="B580">
        <v>1000</v>
      </c>
      <c r="C580" s="1">
        <v>45961</v>
      </c>
      <c r="D580">
        <v>90451</v>
      </c>
      <c r="E580">
        <v>353</v>
      </c>
      <c r="F580" s="2">
        <v>6700.92</v>
      </c>
      <c r="G580" s="1">
        <v>45965</v>
      </c>
      <c r="I580" t="s">
        <v>9</v>
      </c>
      <c r="J580" s="14">
        <f>IFERROR(VLOOKUP(D580,'INf. RRHH'!$A:$B,2,0),0)</f>
        <v>2900</v>
      </c>
      <c r="K580" s="16">
        <f t="shared" si="27"/>
        <v>3800.92</v>
      </c>
      <c r="L580" s="17">
        <f t="shared" si="28"/>
        <v>966.67</v>
      </c>
      <c r="M580" s="18">
        <f t="shared" si="29"/>
        <v>4767.59</v>
      </c>
    </row>
    <row r="581" spans="1:13" x14ac:dyDescent="0.25">
      <c r="A581">
        <v>1000</v>
      </c>
      <c r="B581">
        <v>1000</v>
      </c>
      <c r="C581" s="1">
        <v>45961</v>
      </c>
      <c r="D581">
        <v>90625</v>
      </c>
      <c r="E581">
        <v>320</v>
      </c>
      <c r="F581" s="2">
        <v>5548.32</v>
      </c>
      <c r="G581" s="1">
        <v>45965</v>
      </c>
      <c r="I581" t="s">
        <v>9</v>
      </c>
      <c r="J581" s="14">
        <f>IFERROR(VLOOKUP(D581,'INf. RRHH'!$A:$B,2,0),0)</f>
        <v>2900</v>
      </c>
      <c r="K581" s="16">
        <f t="shared" si="27"/>
        <v>2648.3199999999997</v>
      </c>
      <c r="L581" s="17">
        <f t="shared" si="28"/>
        <v>966.67</v>
      </c>
      <c r="M581" s="18">
        <f t="shared" si="29"/>
        <v>3614.99</v>
      </c>
    </row>
    <row r="582" spans="1:13" x14ac:dyDescent="0.25">
      <c r="A582">
        <v>1000</v>
      </c>
      <c r="B582">
        <v>1000</v>
      </c>
      <c r="C582" s="1">
        <v>45961</v>
      </c>
      <c r="D582">
        <v>90800</v>
      </c>
      <c r="E582">
        <v>16</v>
      </c>
      <c r="F582" s="2">
        <v>6060.49</v>
      </c>
      <c r="G582" s="1">
        <v>45965</v>
      </c>
      <c r="I582" t="s">
        <v>9</v>
      </c>
      <c r="J582" s="14">
        <f>IFERROR(VLOOKUP(D582,'INf. RRHH'!$A:$B,2,0),0)</f>
        <v>2900</v>
      </c>
      <c r="K582" s="16">
        <f t="shared" si="27"/>
        <v>3160.49</v>
      </c>
      <c r="L582" s="17">
        <f t="shared" si="28"/>
        <v>966.67</v>
      </c>
      <c r="M582" s="18">
        <f t="shared" si="29"/>
        <v>4127.16</v>
      </c>
    </row>
    <row r="583" spans="1:13" x14ac:dyDescent="0.25">
      <c r="A583">
        <v>1000</v>
      </c>
      <c r="B583">
        <v>1000</v>
      </c>
      <c r="C583" s="1">
        <v>45961</v>
      </c>
      <c r="D583">
        <v>90953</v>
      </c>
      <c r="E583">
        <v>301.75</v>
      </c>
      <c r="F583" s="2">
        <v>6941.07</v>
      </c>
      <c r="G583" s="1">
        <v>45965</v>
      </c>
      <c r="I583" t="s">
        <v>9</v>
      </c>
      <c r="J583" s="14">
        <f>IFERROR(VLOOKUP(D583,'INf. RRHH'!$A:$B,2,0),0)</f>
        <v>2900</v>
      </c>
      <c r="K583" s="16">
        <f t="shared" si="27"/>
        <v>4041.0699999999997</v>
      </c>
      <c r="L583" s="17">
        <f t="shared" si="28"/>
        <v>966.67</v>
      </c>
      <c r="M583" s="18">
        <f t="shared" si="29"/>
        <v>5007.74</v>
      </c>
    </row>
    <row r="584" spans="1:13" x14ac:dyDescent="0.25">
      <c r="A584">
        <v>1000</v>
      </c>
      <c r="B584">
        <v>1000</v>
      </c>
      <c r="C584" s="1">
        <v>45961</v>
      </c>
      <c r="D584">
        <v>91324</v>
      </c>
      <c r="E584">
        <v>240</v>
      </c>
      <c r="F584" s="2">
        <v>4555.92</v>
      </c>
      <c r="G584" s="1">
        <v>45965</v>
      </c>
      <c r="I584" t="s">
        <v>9</v>
      </c>
      <c r="J584" s="14">
        <f>IFERROR(VLOOKUP(D584,'INf. RRHH'!$A:$B,2,0),0)</f>
        <v>2900</v>
      </c>
      <c r="K584" s="16">
        <f t="shared" si="27"/>
        <v>1655.92</v>
      </c>
      <c r="L584" s="17">
        <f t="shared" si="28"/>
        <v>966.67</v>
      </c>
      <c r="M584" s="18">
        <f t="shared" si="29"/>
        <v>2622.59</v>
      </c>
    </row>
    <row r="585" spans="1:13" x14ac:dyDescent="0.25">
      <c r="A585">
        <v>1000</v>
      </c>
      <c r="B585">
        <v>1000</v>
      </c>
      <c r="C585" s="1">
        <v>45961</v>
      </c>
      <c r="D585">
        <v>91405</v>
      </c>
      <c r="E585">
        <v>32</v>
      </c>
      <c r="F585" s="2">
        <v>6501.48</v>
      </c>
      <c r="G585" s="1">
        <v>45965</v>
      </c>
      <c r="I585" t="s">
        <v>9</v>
      </c>
      <c r="J585" s="14">
        <f>IFERROR(VLOOKUP(D585,'INf. RRHH'!$A:$B,2,0),0)</f>
        <v>2900</v>
      </c>
      <c r="K585" s="16">
        <f t="shared" si="27"/>
        <v>3601.4799999999996</v>
      </c>
      <c r="L585" s="17">
        <f t="shared" si="28"/>
        <v>966.67</v>
      </c>
      <c r="M585" s="18">
        <f t="shared" si="29"/>
        <v>4568.1499999999996</v>
      </c>
    </row>
    <row r="586" spans="1:13" x14ac:dyDescent="0.25">
      <c r="A586">
        <v>1000</v>
      </c>
      <c r="B586">
        <v>1000</v>
      </c>
      <c r="C586" s="1">
        <v>45961</v>
      </c>
      <c r="D586">
        <v>91472</v>
      </c>
      <c r="E586">
        <v>305</v>
      </c>
      <c r="F586" s="2">
        <v>6366.33</v>
      </c>
      <c r="G586" s="1">
        <v>45965</v>
      </c>
      <c r="I586" t="s">
        <v>9</v>
      </c>
      <c r="J586" s="14">
        <f>IFERROR(VLOOKUP(D586,'INf. RRHH'!$A:$B,2,0),0)</f>
        <v>2900</v>
      </c>
      <c r="K586" s="16">
        <f t="shared" si="27"/>
        <v>3466.33</v>
      </c>
      <c r="L586" s="17">
        <f t="shared" si="28"/>
        <v>966.67</v>
      </c>
      <c r="M586" s="18">
        <f t="shared" si="29"/>
        <v>4433</v>
      </c>
    </row>
    <row r="587" spans="1:13" x14ac:dyDescent="0.25">
      <c r="A587">
        <v>1000</v>
      </c>
      <c r="B587">
        <v>1000</v>
      </c>
      <c r="C587" s="1">
        <v>45961</v>
      </c>
      <c r="D587">
        <v>91652</v>
      </c>
      <c r="E587">
        <v>387</v>
      </c>
      <c r="F587" s="2">
        <v>4221.57</v>
      </c>
      <c r="G587" s="1">
        <v>45965</v>
      </c>
      <c r="I587" t="s">
        <v>9</v>
      </c>
      <c r="J587" s="14">
        <f>IFERROR(VLOOKUP(D587,'INf. RRHH'!$A:$B,2,0),0)</f>
        <v>2900</v>
      </c>
      <c r="K587" s="16">
        <f t="shared" si="27"/>
        <v>1321.5699999999997</v>
      </c>
      <c r="L587" s="17">
        <f t="shared" si="28"/>
        <v>966.67</v>
      </c>
      <c r="M587" s="18">
        <f t="shared" si="29"/>
        <v>2288.2399999999998</v>
      </c>
    </row>
    <row r="588" spans="1:13" x14ac:dyDescent="0.25">
      <c r="A588">
        <v>1000</v>
      </c>
      <c r="B588">
        <v>1000</v>
      </c>
      <c r="C588" s="1">
        <v>45961</v>
      </c>
      <c r="D588">
        <v>91751</v>
      </c>
      <c r="E588">
        <v>278.75</v>
      </c>
      <c r="F588" s="2">
        <v>6479.23</v>
      </c>
      <c r="G588" s="1">
        <v>45965</v>
      </c>
      <c r="I588" t="s">
        <v>9</v>
      </c>
      <c r="J588" s="14">
        <f>IFERROR(VLOOKUP(D588,'INf. RRHH'!$A:$B,2,0),0)</f>
        <v>2900</v>
      </c>
      <c r="K588" s="16">
        <f t="shared" si="27"/>
        <v>3579.2299999999996</v>
      </c>
      <c r="L588" s="17">
        <f t="shared" si="28"/>
        <v>966.67</v>
      </c>
      <c r="M588" s="18">
        <f t="shared" si="29"/>
        <v>4545.8999999999996</v>
      </c>
    </row>
    <row r="589" spans="1:13" x14ac:dyDescent="0.25">
      <c r="A589">
        <v>1000</v>
      </c>
      <c r="B589">
        <v>1000</v>
      </c>
      <c r="C589" s="1">
        <v>45961</v>
      </c>
      <c r="D589">
        <v>91802</v>
      </c>
      <c r="E589">
        <v>336.5</v>
      </c>
      <c r="F589" s="2">
        <v>7714.7</v>
      </c>
      <c r="G589" s="1">
        <v>45965</v>
      </c>
      <c r="I589" t="s">
        <v>9</v>
      </c>
      <c r="J589" s="14">
        <f>IFERROR(VLOOKUP(D589,'INf. RRHH'!$A:$B,2,0),0)</f>
        <v>2900</v>
      </c>
      <c r="K589" s="16">
        <f t="shared" si="27"/>
        <v>4814.7</v>
      </c>
      <c r="L589" s="17">
        <f t="shared" si="28"/>
        <v>966.67</v>
      </c>
      <c r="M589" s="18">
        <f t="shared" si="29"/>
        <v>5781.37</v>
      </c>
    </row>
    <row r="590" spans="1:13" x14ac:dyDescent="0.25">
      <c r="A590">
        <v>1000</v>
      </c>
      <c r="B590">
        <v>1000</v>
      </c>
      <c r="C590" s="1">
        <v>45961</v>
      </c>
      <c r="D590">
        <v>91823</v>
      </c>
      <c r="E590">
        <v>304</v>
      </c>
      <c r="F590" s="2">
        <v>4739.6099999999997</v>
      </c>
      <c r="G590" s="1">
        <v>45965</v>
      </c>
      <c r="I590" t="s">
        <v>9</v>
      </c>
      <c r="J590" s="14">
        <f>IFERROR(VLOOKUP(D590,'INf. RRHH'!$A:$B,2,0),0)</f>
        <v>2900</v>
      </c>
      <c r="K590" s="16">
        <f t="shared" si="27"/>
        <v>1839.6099999999997</v>
      </c>
      <c r="L590" s="17">
        <f t="shared" si="28"/>
        <v>966.67</v>
      </c>
      <c r="M590" s="18">
        <f t="shared" si="29"/>
        <v>2806.2799999999997</v>
      </c>
    </row>
    <row r="591" spans="1:13" x14ac:dyDescent="0.25">
      <c r="A591">
        <v>1000</v>
      </c>
      <c r="B591">
        <v>1000</v>
      </c>
      <c r="C591" s="1">
        <v>45961</v>
      </c>
      <c r="D591">
        <v>91850</v>
      </c>
      <c r="E591">
        <v>331</v>
      </c>
      <c r="F591" s="2">
        <v>4972.5600000000004</v>
      </c>
      <c r="G591" s="1">
        <v>45965</v>
      </c>
      <c r="I591" t="s">
        <v>9</v>
      </c>
      <c r="J591" s="14">
        <f>IFERROR(VLOOKUP(D591,'INf. RRHH'!$A:$B,2,0),0)</f>
        <v>2900</v>
      </c>
      <c r="K591" s="16">
        <f t="shared" si="27"/>
        <v>2072.5600000000004</v>
      </c>
      <c r="L591" s="17">
        <f t="shared" si="28"/>
        <v>966.67</v>
      </c>
      <c r="M591" s="18">
        <f t="shared" si="29"/>
        <v>3039.2300000000005</v>
      </c>
    </row>
    <row r="592" spans="1:13" x14ac:dyDescent="0.25">
      <c r="A592">
        <v>1000</v>
      </c>
      <c r="B592">
        <v>1000</v>
      </c>
      <c r="C592" s="1">
        <v>45961</v>
      </c>
      <c r="D592">
        <v>92053</v>
      </c>
      <c r="E592">
        <v>250.5</v>
      </c>
      <c r="F592" s="2">
        <v>6562.45</v>
      </c>
      <c r="G592" s="1">
        <v>45965</v>
      </c>
      <c r="I592" t="s">
        <v>9</v>
      </c>
      <c r="J592" s="14">
        <f>IFERROR(VLOOKUP(D592,'INf. RRHH'!$A:$B,2,0),0)</f>
        <v>2900</v>
      </c>
      <c r="K592" s="16">
        <f t="shared" si="27"/>
        <v>3662.45</v>
      </c>
      <c r="L592" s="17">
        <f t="shared" si="28"/>
        <v>966.67</v>
      </c>
      <c r="M592" s="18">
        <f t="shared" si="29"/>
        <v>4629.12</v>
      </c>
    </row>
    <row r="593" spans="1:13" x14ac:dyDescent="0.25">
      <c r="A593">
        <v>1000</v>
      </c>
      <c r="B593">
        <v>1000</v>
      </c>
      <c r="C593" s="1">
        <v>45961</v>
      </c>
      <c r="D593">
        <v>92071</v>
      </c>
      <c r="E593">
        <v>313</v>
      </c>
      <c r="F593" s="2">
        <v>6847.86</v>
      </c>
      <c r="G593" s="1">
        <v>45965</v>
      </c>
      <c r="I593" t="s">
        <v>9</v>
      </c>
      <c r="J593" s="14">
        <f>IFERROR(VLOOKUP(D593,'INf. RRHH'!$A:$B,2,0),0)</f>
        <v>2900</v>
      </c>
      <c r="K593" s="16">
        <f t="shared" si="27"/>
        <v>3947.8599999999997</v>
      </c>
      <c r="L593" s="17">
        <f t="shared" si="28"/>
        <v>966.67</v>
      </c>
      <c r="M593" s="18">
        <f t="shared" si="29"/>
        <v>4914.53</v>
      </c>
    </row>
    <row r="594" spans="1:13" x14ac:dyDescent="0.25">
      <c r="A594">
        <v>1000</v>
      </c>
      <c r="B594">
        <v>1000</v>
      </c>
      <c r="C594" s="1">
        <v>45961</v>
      </c>
      <c r="D594">
        <v>92125</v>
      </c>
      <c r="E594">
        <v>247.6</v>
      </c>
      <c r="F594" s="2">
        <v>6475</v>
      </c>
      <c r="G594" s="1">
        <v>45965</v>
      </c>
      <c r="I594" t="s">
        <v>9</v>
      </c>
      <c r="J594" s="14">
        <f>IFERROR(VLOOKUP(D594,'INf. RRHH'!$A:$B,2,0),0)</f>
        <v>2900</v>
      </c>
      <c r="K594" s="16">
        <f t="shared" si="27"/>
        <v>3575</v>
      </c>
      <c r="L594" s="17">
        <f t="shared" si="28"/>
        <v>966.67</v>
      </c>
      <c r="M594" s="18">
        <f t="shared" si="29"/>
        <v>4541.67</v>
      </c>
    </row>
    <row r="595" spans="1:13" x14ac:dyDescent="0.25">
      <c r="A595">
        <v>1000</v>
      </c>
      <c r="B595">
        <v>1000</v>
      </c>
      <c r="C595" s="1">
        <v>45961</v>
      </c>
      <c r="D595">
        <v>92215</v>
      </c>
      <c r="E595">
        <v>384.5</v>
      </c>
      <c r="F595" s="2">
        <v>7848.77</v>
      </c>
      <c r="G595" s="1">
        <v>45965</v>
      </c>
      <c r="I595" t="s">
        <v>9</v>
      </c>
      <c r="J595" s="14">
        <f>IFERROR(VLOOKUP(D595,'INf. RRHH'!$A:$B,2,0),0)</f>
        <v>2900</v>
      </c>
      <c r="K595" s="16">
        <f t="shared" si="27"/>
        <v>4948.7700000000004</v>
      </c>
      <c r="L595" s="17">
        <f t="shared" si="28"/>
        <v>966.67</v>
      </c>
      <c r="M595" s="18">
        <f t="shared" si="29"/>
        <v>5915.4400000000005</v>
      </c>
    </row>
    <row r="596" spans="1:13" x14ac:dyDescent="0.25">
      <c r="A596">
        <v>1000</v>
      </c>
      <c r="B596">
        <v>1000</v>
      </c>
      <c r="C596" s="1">
        <v>45961</v>
      </c>
      <c r="D596">
        <v>92226</v>
      </c>
      <c r="E596">
        <v>192</v>
      </c>
      <c r="F596" s="2">
        <v>5290.23</v>
      </c>
      <c r="G596" s="1">
        <v>45965</v>
      </c>
      <c r="I596" t="s">
        <v>9</v>
      </c>
      <c r="J596" s="14">
        <f>IFERROR(VLOOKUP(D596,'INf. RRHH'!$A:$B,2,0),0)</f>
        <v>2900</v>
      </c>
      <c r="K596" s="16">
        <f t="shared" si="27"/>
        <v>2390.2299999999996</v>
      </c>
      <c r="L596" s="17">
        <f t="shared" si="28"/>
        <v>966.67</v>
      </c>
      <c r="M596" s="18">
        <f t="shared" si="29"/>
        <v>3356.8999999999996</v>
      </c>
    </row>
    <row r="597" spans="1:13" x14ac:dyDescent="0.25">
      <c r="A597">
        <v>1000</v>
      </c>
      <c r="B597">
        <v>1000</v>
      </c>
      <c r="C597" s="1">
        <v>45961</v>
      </c>
      <c r="D597">
        <v>92241</v>
      </c>
      <c r="E597">
        <v>264.5</v>
      </c>
      <c r="F597" s="2">
        <v>5720.37</v>
      </c>
      <c r="G597" s="1">
        <v>45965</v>
      </c>
      <c r="I597" t="s">
        <v>9</v>
      </c>
      <c r="J597" s="14">
        <f>IFERROR(VLOOKUP(D597,'INf. RRHH'!$A:$B,2,0),0)</f>
        <v>2900</v>
      </c>
      <c r="K597" s="16">
        <f t="shared" si="27"/>
        <v>2820.37</v>
      </c>
      <c r="L597" s="17">
        <f t="shared" si="28"/>
        <v>966.67</v>
      </c>
      <c r="M597" s="18">
        <f t="shared" si="29"/>
        <v>3787.04</v>
      </c>
    </row>
    <row r="598" spans="1:13" x14ac:dyDescent="0.25">
      <c r="A598">
        <v>1000</v>
      </c>
      <c r="B598">
        <v>1000</v>
      </c>
      <c r="C598" s="1">
        <v>45961</v>
      </c>
      <c r="D598">
        <v>92525</v>
      </c>
      <c r="E598">
        <v>450</v>
      </c>
      <c r="F598" s="2">
        <v>6896.57</v>
      </c>
      <c r="G598" s="1">
        <v>45965</v>
      </c>
      <c r="I598" t="s">
        <v>9</v>
      </c>
      <c r="J598" s="14">
        <f>IFERROR(VLOOKUP(D598,'INf. RRHH'!$A:$B,2,0),0)</f>
        <v>2900</v>
      </c>
      <c r="K598" s="16">
        <f t="shared" si="27"/>
        <v>3996.5699999999997</v>
      </c>
      <c r="L598" s="17">
        <f t="shared" si="28"/>
        <v>966.67</v>
      </c>
      <c r="M598" s="18">
        <f t="shared" si="29"/>
        <v>4963.24</v>
      </c>
    </row>
    <row r="599" spans="1:13" x14ac:dyDescent="0.25">
      <c r="A599">
        <v>1000</v>
      </c>
      <c r="B599">
        <v>1000</v>
      </c>
      <c r="C599" s="1">
        <v>45961</v>
      </c>
      <c r="D599">
        <v>92604</v>
      </c>
      <c r="E599">
        <v>80</v>
      </c>
      <c r="F599" s="2">
        <v>6856.99</v>
      </c>
      <c r="G599" s="1">
        <v>45965</v>
      </c>
      <c r="I599" t="s">
        <v>9</v>
      </c>
      <c r="J599" s="14">
        <f>IFERROR(VLOOKUP(D599,'INf. RRHH'!$A:$B,2,0),0)</f>
        <v>2900</v>
      </c>
      <c r="K599" s="16">
        <f t="shared" si="27"/>
        <v>3956.99</v>
      </c>
      <c r="L599" s="17">
        <f t="shared" si="28"/>
        <v>966.67</v>
      </c>
      <c r="M599" s="18">
        <f t="shared" si="29"/>
        <v>4923.66</v>
      </c>
    </row>
    <row r="600" spans="1:13" x14ac:dyDescent="0.25">
      <c r="A600">
        <v>1000</v>
      </c>
      <c r="B600">
        <v>1000</v>
      </c>
      <c r="C600" s="1">
        <v>45961</v>
      </c>
      <c r="D600">
        <v>92929</v>
      </c>
      <c r="E600">
        <v>262</v>
      </c>
      <c r="F600" s="2">
        <v>6696.41</v>
      </c>
      <c r="G600" s="1">
        <v>45965</v>
      </c>
      <c r="I600" t="s">
        <v>9</v>
      </c>
      <c r="J600" s="14">
        <f>IFERROR(VLOOKUP(D600,'INf. RRHH'!$A:$B,2,0),0)</f>
        <v>2900</v>
      </c>
      <c r="K600" s="16">
        <f t="shared" si="27"/>
        <v>3796.41</v>
      </c>
      <c r="L600" s="17">
        <f t="shared" si="28"/>
        <v>966.67</v>
      </c>
      <c r="M600" s="18">
        <f t="shared" si="29"/>
        <v>4763.08</v>
      </c>
    </row>
    <row r="601" spans="1:13" x14ac:dyDescent="0.25">
      <c r="A601">
        <v>1000</v>
      </c>
      <c r="B601">
        <v>1000</v>
      </c>
      <c r="C601" s="1">
        <v>45961</v>
      </c>
      <c r="D601">
        <v>93124</v>
      </c>
      <c r="E601">
        <v>291.5</v>
      </c>
      <c r="F601" s="2">
        <v>7133.45</v>
      </c>
      <c r="G601" s="1">
        <v>45965</v>
      </c>
      <c r="I601" t="s">
        <v>9</v>
      </c>
      <c r="J601" s="14">
        <f>IFERROR(VLOOKUP(D601,'INf. RRHH'!$A:$B,2,0),0)</f>
        <v>2900</v>
      </c>
      <c r="K601" s="16">
        <f t="shared" si="27"/>
        <v>4233.45</v>
      </c>
      <c r="L601" s="17">
        <f t="shared" si="28"/>
        <v>966.67</v>
      </c>
      <c r="M601" s="18">
        <f t="shared" si="29"/>
        <v>5200.12</v>
      </c>
    </row>
    <row r="602" spans="1:13" x14ac:dyDescent="0.25">
      <c r="A602">
        <v>1000</v>
      </c>
      <c r="B602">
        <v>1000</v>
      </c>
      <c r="C602" s="1">
        <v>45961</v>
      </c>
      <c r="D602">
        <v>93150</v>
      </c>
      <c r="E602">
        <v>178</v>
      </c>
      <c r="F602" s="2">
        <v>5344.27</v>
      </c>
      <c r="G602" s="1">
        <v>45965</v>
      </c>
      <c r="I602" t="s">
        <v>9</v>
      </c>
      <c r="J602" s="14">
        <f>IFERROR(VLOOKUP(D602,'INf. RRHH'!$A:$B,2,0),0)</f>
        <v>2900</v>
      </c>
      <c r="K602" s="16">
        <f t="shared" si="27"/>
        <v>2444.2700000000004</v>
      </c>
      <c r="L602" s="17">
        <f t="shared" si="28"/>
        <v>966.67</v>
      </c>
      <c r="M602" s="18">
        <f t="shared" si="29"/>
        <v>3410.9400000000005</v>
      </c>
    </row>
    <row r="603" spans="1:13" x14ac:dyDescent="0.25">
      <c r="A603">
        <v>1000</v>
      </c>
      <c r="B603">
        <v>1000</v>
      </c>
      <c r="C603" s="1">
        <v>45961</v>
      </c>
      <c r="D603">
        <v>93191</v>
      </c>
      <c r="E603">
        <v>240</v>
      </c>
      <c r="F603" s="2">
        <v>5211.05</v>
      </c>
      <c r="G603" s="1">
        <v>45965</v>
      </c>
      <c r="I603" t="s">
        <v>9</v>
      </c>
      <c r="J603" s="14">
        <f>IFERROR(VLOOKUP(D603,'INf. RRHH'!$A:$B,2,0),0)</f>
        <v>2900</v>
      </c>
      <c r="K603" s="16">
        <f t="shared" si="27"/>
        <v>2311.0500000000002</v>
      </c>
      <c r="L603" s="17">
        <f t="shared" si="28"/>
        <v>966.67</v>
      </c>
      <c r="M603" s="18">
        <f t="shared" si="29"/>
        <v>3277.7200000000003</v>
      </c>
    </row>
    <row r="604" spans="1:13" x14ac:dyDescent="0.25">
      <c r="A604">
        <v>1000</v>
      </c>
      <c r="B604">
        <v>1000</v>
      </c>
      <c r="C604" s="1">
        <v>45961</v>
      </c>
      <c r="D604">
        <v>93380</v>
      </c>
      <c r="E604">
        <v>240</v>
      </c>
      <c r="F604" s="2">
        <v>5376.49</v>
      </c>
      <c r="G604" s="1">
        <v>45965</v>
      </c>
      <c r="I604" t="s">
        <v>9</v>
      </c>
      <c r="J604" s="14">
        <f>IFERROR(VLOOKUP(D604,'INf. RRHH'!$A:$B,2,0),0)</f>
        <v>2900</v>
      </c>
      <c r="K604" s="16">
        <f t="shared" si="27"/>
        <v>2476.4899999999998</v>
      </c>
      <c r="L604" s="17">
        <f t="shared" si="28"/>
        <v>966.67</v>
      </c>
      <c r="M604" s="18">
        <f t="shared" si="29"/>
        <v>3443.16</v>
      </c>
    </row>
    <row r="605" spans="1:13" x14ac:dyDescent="0.25">
      <c r="A605">
        <v>1000</v>
      </c>
      <c r="B605">
        <v>1000</v>
      </c>
      <c r="C605" s="1">
        <v>45961</v>
      </c>
      <c r="D605">
        <v>93503</v>
      </c>
      <c r="E605">
        <v>324.5</v>
      </c>
      <c r="F605" s="2">
        <v>6343.13</v>
      </c>
      <c r="G605" s="1">
        <v>45965</v>
      </c>
      <c r="I605" t="s">
        <v>9</v>
      </c>
      <c r="J605" s="14">
        <f>IFERROR(VLOOKUP(D605,'INf. RRHH'!$A:$B,2,0),0)</f>
        <v>2900</v>
      </c>
      <c r="K605" s="16">
        <f t="shared" si="27"/>
        <v>3443.13</v>
      </c>
      <c r="L605" s="17">
        <f t="shared" si="28"/>
        <v>966.67</v>
      </c>
      <c r="M605" s="18">
        <f t="shared" si="29"/>
        <v>4409.8</v>
      </c>
    </row>
    <row r="606" spans="1:13" x14ac:dyDescent="0.25">
      <c r="A606">
        <v>1000</v>
      </c>
      <c r="B606">
        <v>1000</v>
      </c>
      <c r="C606" s="1">
        <v>45961</v>
      </c>
      <c r="D606">
        <v>93510</v>
      </c>
      <c r="E606">
        <v>243</v>
      </c>
      <c r="F606" s="2">
        <v>5447.83</v>
      </c>
      <c r="G606" s="1">
        <v>45965</v>
      </c>
      <c r="I606" t="s">
        <v>9</v>
      </c>
      <c r="J606" s="14">
        <f>IFERROR(VLOOKUP(D606,'INf. RRHH'!$A:$B,2,0),0)</f>
        <v>2900</v>
      </c>
      <c r="K606" s="16">
        <f t="shared" si="27"/>
        <v>2547.83</v>
      </c>
      <c r="L606" s="17">
        <f t="shared" si="28"/>
        <v>966.67</v>
      </c>
      <c r="M606" s="18">
        <f t="shared" si="29"/>
        <v>3514.5</v>
      </c>
    </row>
    <row r="607" spans="1:13" x14ac:dyDescent="0.25">
      <c r="A607">
        <v>1000</v>
      </c>
      <c r="B607">
        <v>1000</v>
      </c>
      <c r="C607" s="1">
        <v>45961</v>
      </c>
      <c r="D607">
        <v>93527</v>
      </c>
      <c r="E607">
        <v>240</v>
      </c>
      <c r="F607" s="2">
        <v>4378.95</v>
      </c>
      <c r="G607" s="1">
        <v>45965</v>
      </c>
      <c r="I607" t="s">
        <v>9</v>
      </c>
      <c r="J607" s="14">
        <f>IFERROR(VLOOKUP(D607,'INf. RRHH'!$A:$B,2,0),0)</f>
        <v>2900</v>
      </c>
      <c r="K607" s="16">
        <f t="shared" si="27"/>
        <v>1478.9499999999998</v>
      </c>
      <c r="L607" s="17">
        <f t="shared" si="28"/>
        <v>966.67</v>
      </c>
      <c r="M607" s="18">
        <f t="shared" si="29"/>
        <v>2445.62</v>
      </c>
    </row>
    <row r="608" spans="1:13" x14ac:dyDescent="0.25">
      <c r="A608">
        <v>1000</v>
      </c>
      <c r="B608">
        <v>1000</v>
      </c>
      <c r="C608" s="1">
        <v>45961</v>
      </c>
      <c r="D608">
        <v>93556</v>
      </c>
      <c r="E608">
        <v>267</v>
      </c>
      <c r="F608" s="2">
        <v>5676.87</v>
      </c>
      <c r="G608" s="1">
        <v>45965</v>
      </c>
      <c r="I608" t="s">
        <v>9</v>
      </c>
      <c r="J608" s="14">
        <f>IFERROR(VLOOKUP(D608,'INf. RRHH'!$A:$B,2,0),0)</f>
        <v>2900</v>
      </c>
      <c r="K608" s="16">
        <f t="shared" si="27"/>
        <v>2776.87</v>
      </c>
      <c r="L608" s="17">
        <f t="shared" si="28"/>
        <v>966.67</v>
      </c>
      <c r="M608" s="18">
        <f t="shared" si="29"/>
        <v>3743.54</v>
      </c>
    </row>
    <row r="609" spans="1:13" x14ac:dyDescent="0.25">
      <c r="A609">
        <v>1000</v>
      </c>
      <c r="B609">
        <v>1000</v>
      </c>
      <c r="C609" s="1">
        <v>45961</v>
      </c>
      <c r="D609">
        <v>93701</v>
      </c>
      <c r="E609">
        <v>329.5</v>
      </c>
      <c r="F609" s="2">
        <v>7584.59</v>
      </c>
      <c r="G609" s="1">
        <v>45965</v>
      </c>
      <c r="I609" t="s">
        <v>9</v>
      </c>
      <c r="J609" s="14">
        <f>IFERROR(VLOOKUP(D609,'INf. RRHH'!$A:$B,2,0),0)</f>
        <v>2900</v>
      </c>
      <c r="K609" s="16">
        <f t="shared" si="27"/>
        <v>4684.59</v>
      </c>
      <c r="L609" s="17">
        <f t="shared" si="28"/>
        <v>966.67</v>
      </c>
      <c r="M609" s="18">
        <f t="shared" si="29"/>
        <v>5651.26</v>
      </c>
    </row>
    <row r="610" spans="1:13" x14ac:dyDescent="0.25">
      <c r="A610">
        <v>1000</v>
      </c>
      <c r="B610">
        <v>1000</v>
      </c>
      <c r="C610" s="1">
        <v>45961</v>
      </c>
      <c r="D610">
        <v>93883</v>
      </c>
      <c r="E610">
        <v>284.5</v>
      </c>
      <c r="F610" s="2">
        <v>7409.05</v>
      </c>
      <c r="G610" s="1">
        <v>45965</v>
      </c>
      <c r="I610" t="s">
        <v>9</v>
      </c>
      <c r="J610" s="14">
        <f>IFERROR(VLOOKUP(D610,'INf. RRHH'!$A:$B,2,0),0)</f>
        <v>2900</v>
      </c>
      <c r="K610" s="16">
        <f t="shared" si="27"/>
        <v>4509.05</v>
      </c>
      <c r="L610" s="17">
        <f t="shared" si="28"/>
        <v>966.67</v>
      </c>
      <c r="M610" s="18">
        <f t="shared" si="29"/>
        <v>5475.72</v>
      </c>
    </row>
    <row r="611" spans="1:13" x14ac:dyDescent="0.25">
      <c r="A611">
        <v>1000</v>
      </c>
      <c r="B611">
        <v>1000</v>
      </c>
      <c r="C611" s="1">
        <v>45961</v>
      </c>
      <c r="D611">
        <v>93902</v>
      </c>
      <c r="E611">
        <v>240</v>
      </c>
      <c r="F611" s="2">
        <v>5376.49</v>
      </c>
      <c r="G611" s="1">
        <v>45965</v>
      </c>
      <c r="I611" t="s">
        <v>9</v>
      </c>
      <c r="J611" s="14">
        <f>IFERROR(VLOOKUP(D611,'INf. RRHH'!$A:$B,2,0),0)</f>
        <v>2900</v>
      </c>
      <c r="K611" s="16">
        <f t="shared" si="27"/>
        <v>2476.4899999999998</v>
      </c>
      <c r="L611" s="17">
        <f t="shared" si="28"/>
        <v>966.67</v>
      </c>
      <c r="M611" s="18">
        <f t="shared" si="29"/>
        <v>3443.16</v>
      </c>
    </row>
    <row r="612" spans="1:13" x14ac:dyDescent="0.25">
      <c r="A612">
        <v>1000</v>
      </c>
      <c r="B612">
        <v>1000</v>
      </c>
      <c r="C612" s="1">
        <v>45961</v>
      </c>
      <c r="D612">
        <v>93964</v>
      </c>
      <c r="E612">
        <v>329</v>
      </c>
      <c r="F612" s="2">
        <v>6546.07</v>
      </c>
      <c r="G612" s="1">
        <v>45965</v>
      </c>
      <c r="I612" t="s">
        <v>9</v>
      </c>
      <c r="J612" s="14">
        <f>IFERROR(VLOOKUP(D612,'INf. RRHH'!$A:$B,2,0),0)</f>
        <v>2900</v>
      </c>
      <c r="K612" s="16">
        <f t="shared" si="27"/>
        <v>3646.0699999999997</v>
      </c>
      <c r="L612" s="17">
        <f t="shared" si="28"/>
        <v>966.67</v>
      </c>
      <c r="M612" s="18">
        <f t="shared" si="29"/>
        <v>4612.74</v>
      </c>
    </row>
    <row r="613" spans="1:13" x14ac:dyDescent="0.25">
      <c r="A613">
        <v>1000</v>
      </c>
      <c r="B613">
        <v>1000</v>
      </c>
      <c r="C613" s="1">
        <v>45961</v>
      </c>
      <c r="D613">
        <v>94158</v>
      </c>
      <c r="E613">
        <v>325</v>
      </c>
      <c r="F613" s="2">
        <v>6002.52</v>
      </c>
      <c r="G613" s="1">
        <v>45965</v>
      </c>
      <c r="I613" t="s">
        <v>9</v>
      </c>
      <c r="J613" s="14">
        <f>IFERROR(VLOOKUP(D613,'INf. RRHH'!$A:$B,2,0),0)</f>
        <v>2900</v>
      </c>
      <c r="K613" s="16">
        <f t="shared" si="27"/>
        <v>3102.5200000000004</v>
      </c>
      <c r="L613" s="17">
        <f t="shared" si="28"/>
        <v>966.67</v>
      </c>
      <c r="M613" s="18">
        <f t="shared" si="29"/>
        <v>4069.1900000000005</v>
      </c>
    </row>
    <row r="614" spans="1:13" x14ac:dyDescent="0.25">
      <c r="A614">
        <v>1000</v>
      </c>
      <c r="B614">
        <v>1000</v>
      </c>
      <c r="C614" s="1">
        <v>45961</v>
      </c>
      <c r="D614">
        <v>94177</v>
      </c>
      <c r="E614">
        <v>250</v>
      </c>
      <c r="F614" s="2">
        <v>4768.3500000000004</v>
      </c>
      <c r="G614" s="1">
        <v>45965</v>
      </c>
      <c r="I614" t="s">
        <v>9</v>
      </c>
      <c r="J614" s="14">
        <f>IFERROR(VLOOKUP(D614,'INf. RRHH'!$A:$B,2,0),0)</f>
        <v>2900</v>
      </c>
      <c r="K614" s="16">
        <f t="shared" si="27"/>
        <v>1868.3500000000004</v>
      </c>
      <c r="L614" s="17">
        <f t="shared" si="28"/>
        <v>966.67</v>
      </c>
      <c r="M614" s="18">
        <f t="shared" si="29"/>
        <v>2835.0200000000004</v>
      </c>
    </row>
    <row r="615" spans="1:13" x14ac:dyDescent="0.25">
      <c r="A615">
        <v>1000</v>
      </c>
      <c r="B615">
        <v>1000</v>
      </c>
      <c r="C615" s="1">
        <v>45961</v>
      </c>
      <c r="D615">
        <v>95373</v>
      </c>
      <c r="E615">
        <v>240</v>
      </c>
      <c r="F615" s="2">
        <v>4966.7700000000004</v>
      </c>
      <c r="G615" s="1">
        <v>45965</v>
      </c>
      <c r="I615" t="s">
        <v>9</v>
      </c>
      <c r="J615" s="14">
        <f>IFERROR(VLOOKUP(D615,'INf. RRHH'!$A:$B,2,0),0)</f>
        <v>2900</v>
      </c>
      <c r="K615" s="16">
        <f t="shared" si="27"/>
        <v>2066.7700000000004</v>
      </c>
      <c r="L615" s="17">
        <f t="shared" si="28"/>
        <v>966.67</v>
      </c>
      <c r="M615" s="18">
        <f t="shared" si="29"/>
        <v>3033.4400000000005</v>
      </c>
    </row>
    <row r="616" spans="1:13" x14ac:dyDescent="0.25">
      <c r="A616">
        <v>1000</v>
      </c>
      <c r="B616">
        <v>1000</v>
      </c>
      <c r="C616" s="1">
        <v>45961</v>
      </c>
      <c r="D616">
        <v>95467</v>
      </c>
      <c r="E616">
        <v>251.17</v>
      </c>
      <c r="F616" s="2">
        <v>4231.76</v>
      </c>
      <c r="G616" s="1">
        <v>45965</v>
      </c>
      <c r="I616" t="s">
        <v>9</v>
      </c>
      <c r="J616" s="14">
        <f>IFERROR(VLOOKUP(D616,'INf. RRHH'!$A:$B,2,0),0)</f>
        <v>0</v>
      </c>
      <c r="K616" s="16">
        <f t="shared" si="27"/>
        <v>4231.76</v>
      </c>
      <c r="L616" s="17">
        <f t="shared" si="28"/>
        <v>0</v>
      </c>
      <c r="M616" s="18">
        <f t="shared" si="29"/>
        <v>4231.76</v>
      </c>
    </row>
    <row r="617" spans="1:13" x14ac:dyDescent="0.25">
      <c r="A617">
        <v>1000</v>
      </c>
      <c r="B617">
        <v>1000</v>
      </c>
      <c r="C617" s="1">
        <v>45961</v>
      </c>
      <c r="D617">
        <v>95480</v>
      </c>
      <c r="E617">
        <v>230</v>
      </c>
      <c r="F617" s="2">
        <v>2039.38</v>
      </c>
      <c r="G617" s="1">
        <v>45965</v>
      </c>
      <c r="I617" t="s">
        <v>9</v>
      </c>
      <c r="J617" s="14">
        <f>IFERROR(VLOOKUP(D617,'INf. RRHH'!$A:$B,2,0),0)</f>
        <v>0</v>
      </c>
      <c r="K617" s="16">
        <f t="shared" si="27"/>
        <v>2039.38</v>
      </c>
      <c r="L617" s="17">
        <f t="shared" si="28"/>
        <v>0</v>
      </c>
      <c r="M617" s="18">
        <f t="shared" si="29"/>
        <v>2039.38</v>
      </c>
    </row>
    <row r="618" spans="1:13" x14ac:dyDescent="0.25">
      <c r="A618">
        <v>1000</v>
      </c>
      <c r="B618">
        <v>1000</v>
      </c>
      <c r="C618" s="1">
        <v>45961</v>
      </c>
      <c r="D618">
        <v>7326</v>
      </c>
      <c r="E618">
        <v>346.5</v>
      </c>
      <c r="F618" s="2">
        <v>8285.61</v>
      </c>
      <c r="G618" s="1">
        <v>45965</v>
      </c>
      <c r="I618" t="s">
        <v>9</v>
      </c>
      <c r="J618" s="14">
        <f>IFERROR(VLOOKUP(D618,'INf. RRHH'!$A:$B,2,0),0)</f>
        <v>2900</v>
      </c>
      <c r="K618" s="16">
        <f t="shared" si="27"/>
        <v>5385.6100000000006</v>
      </c>
      <c r="L618" s="17">
        <f t="shared" si="28"/>
        <v>966.67</v>
      </c>
      <c r="M618" s="18">
        <f t="shared" si="29"/>
        <v>6352.2800000000007</v>
      </c>
    </row>
    <row r="619" spans="1:13" x14ac:dyDescent="0.25">
      <c r="A619">
        <v>1000</v>
      </c>
      <c r="B619">
        <v>1000</v>
      </c>
      <c r="C619" s="1">
        <v>45961</v>
      </c>
      <c r="D619">
        <v>7643</v>
      </c>
      <c r="E619">
        <v>242.67</v>
      </c>
      <c r="F619" s="2">
        <v>6348.69</v>
      </c>
      <c r="G619" s="1">
        <v>45965</v>
      </c>
      <c r="I619" t="s">
        <v>9</v>
      </c>
      <c r="J619" s="14">
        <f>IFERROR(VLOOKUP(D619,'INf. RRHH'!$A:$B,2,0),0)</f>
        <v>2900</v>
      </c>
      <c r="K619" s="16">
        <f t="shared" si="27"/>
        <v>3448.6899999999996</v>
      </c>
      <c r="L619" s="17">
        <f t="shared" si="28"/>
        <v>966.67</v>
      </c>
      <c r="M619" s="18">
        <f t="shared" si="29"/>
        <v>4415.3599999999997</v>
      </c>
    </row>
    <row r="620" spans="1:13" x14ac:dyDescent="0.25">
      <c r="A620">
        <v>1000</v>
      </c>
      <c r="B620">
        <v>1000</v>
      </c>
      <c r="C620" s="1">
        <v>45961</v>
      </c>
      <c r="D620">
        <v>7682</v>
      </c>
      <c r="E620">
        <v>240</v>
      </c>
      <c r="F620" s="2">
        <v>5623.39</v>
      </c>
      <c r="G620" s="1">
        <v>45965</v>
      </c>
      <c r="I620" t="s">
        <v>9</v>
      </c>
      <c r="J620" s="14">
        <f>IFERROR(VLOOKUP(D620,'INf. RRHH'!$A:$B,2,0),0)</f>
        <v>2900</v>
      </c>
      <c r="K620" s="16">
        <f t="shared" si="27"/>
        <v>2723.3900000000003</v>
      </c>
      <c r="L620" s="17">
        <f t="shared" si="28"/>
        <v>966.67</v>
      </c>
      <c r="M620" s="18">
        <f t="shared" si="29"/>
        <v>3690.0600000000004</v>
      </c>
    </row>
    <row r="621" spans="1:13" x14ac:dyDescent="0.25">
      <c r="A621">
        <v>1000</v>
      </c>
      <c r="B621">
        <v>1000</v>
      </c>
      <c r="C621" s="1">
        <v>45961</v>
      </c>
      <c r="D621">
        <v>7904</v>
      </c>
      <c r="E621">
        <v>400</v>
      </c>
      <c r="F621" s="2">
        <v>6445.21</v>
      </c>
      <c r="G621" s="1">
        <v>45965</v>
      </c>
      <c r="I621" t="s">
        <v>9</v>
      </c>
      <c r="J621" s="14">
        <f>IFERROR(VLOOKUP(D621,'INf. RRHH'!$A:$B,2,0),0)</f>
        <v>2900</v>
      </c>
      <c r="K621" s="16">
        <f t="shared" si="27"/>
        <v>3545.21</v>
      </c>
      <c r="L621" s="17">
        <f t="shared" si="28"/>
        <v>966.67</v>
      </c>
      <c r="M621" s="18">
        <f t="shared" si="29"/>
        <v>4511.88</v>
      </c>
    </row>
    <row r="622" spans="1:13" x14ac:dyDescent="0.25">
      <c r="A622">
        <v>1000</v>
      </c>
      <c r="B622">
        <v>1000</v>
      </c>
      <c r="C622" s="1">
        <v>45961</v>
      </c>
      <c r="D622">
        <v>90163</v>
      </c>
      <c r="E622">
        <v>201</v>
      </c>
      <c r="F622" s="2">
        <v>5368.88</v>
      </c>
      <c r="G622" s="1">
        <v>45965</v>
      </c>
      <c r="I622" t="s">
        <v>9</v>
      </c>
      <c r="J622" s="14">
        <f>IFERROR(VLOOKUP(D622,'INf. RRHH'!$A:$B,2,0),0)</f>
        <v>2900</v>
      </c>
      <c r="K622" s="16">
        <f t="shared" si="27"/>
        <v>2468.88</v>
      </c>
      <c r="L622" s="17">
        <f t="shared" si="28"/>
        <v>966.67</v>
      </c>
      <c r="M622" s="18">
        <f t="shared" si="29"/>
        <v>3435.55</v>
      </c>
    </row>
    <row r="623" spans="1:13" x14ac:dyDescent="0.25">
      <c r="A623">
        <v>1000</v>
      </c>
      <c r="B623">
        <v>1000</v>
      </c>
      <c r="C623" s="1">
        <v>45961</v>
      </c>
      <c r="D623">
        <v>90326</v>
      </c>
      <c r="E623">
        <v>366</v>
      </c>
      <c r="F623" s="2">
        <v>6349.1</v>
      </c>
      <c r="G623" s="1">
        <v>45965</v>
      </c>
      <c r="I623" t="s">
        <v>9</v>
      </c>
      <c r="J623" s="14">
        <f>IFERROR(VLOOKUP(D623,'INf. RRHH'!$A:$B,2,0),0)</f>
        <v>2900</v>
      </c>
      <c r="K623" s="16">
        <f t="shared" si="27"/>
        <v>3449.1000000000004</v>
      </c>
      <c r="L623" s="17">
        <f t="shared" si="28"/>
        <v>966.67</v>
      </c>
      <c r="M623" s="18">
        <f t="shared" si="29"/>
        <v>4415.7700000000004</v>
      </c>
    </row>
    <row r="624" spans="1:13" x14ac:dyDescent="0.25">
      <c r="A624">
        <v>1000</v>
      </c>
      <c r="B624">
        <v>1000</v>
      </c>
      <c r="C624" s="1">
        <v>45961</v>
      </c>
      <c r="D624">
        <v>90343</v>
      </c>
      <c r="E624">
        <v>209</v>
      </c>
      <c r="F624" s="2">
        <v>5311.61</v>
      </c>
      <c r="G624" s="1">
        <v>45965</v>
      </c>
      <c r="I624" t="s">
        <v>9</v>
      </c>
      <c r="J624" s="14">
        <f>IFERROR(VLOOKUP(D624,'INf. RRHH'!$A:$B,2,0),0)</f>
        <v>2900</v>
      </c>
      <c r="K624" s="16">
        <f t="shared" si="27"/>
        <v>2411.6099999999997</v>
      </c>
      <c r="L624" s="17">
        <f t="shared" si="28"/>
        <v>966.67</v>
      </c>
      <c r="M624" s="18">
        <f t="shared" si="29"/>
        <v>3378.2799999999997</v>
      </c>
    </row>
    <row r="625" spans="1:13" x14ac:dyDescent="0.25">
      <c r="A625">
        <v>1000</v>
      </c>
      <c r="B625">
        <v>1000</v>
      </c>
      <c r="C625" s="1">
        <v>45961</v>
      </c>
      <c r="D625">
        <v>90433</v>
      </c>
      <c r="E625">
        <v>285</v>
      </c>
      <c r="F625" s="2">
        <v>6191.87</v>
      </c>
      <c r="G625" s="1">
        <v>45965</v>
      </c>
      <c r="I625" t="s">
        <v>9</v>
      </c>
      <c r="J625" s="14">
        <f>IFERROR(VLOOKUP(D625,'INf. RRHH'!$A:$B,2,0),0)</f>
        <v>2900</v>
      </c>
      <c r="K625" s="16">
        <f t="shared" si="27"/>
        <v>3291.87</v>
      </c>
      <c r="L625" s="17">
        <f t="shared" si="28"/>
        <v>966.67</v>
      </c>
      <c r="M625" s="18">
        <f t="shared" si="29"/>
        <v>4258.54</v>
      </c>
    </row>
    <row r="626" spans="1:13" x14ac:dyDescent="0.25">
      <c r="A626">
        <v>1000</v>
      </c>
      <c r="B626">
        <v>1000</v>
      </c>
      <c r="C626" s="1">
        <v>45961</v>
      </c>
      <c r="D626">
        <v>90452</v>
      </c>
      <c r="E626">
        <v>354</v>
      </c>
      <c r="F626" s="2">
        <v>6854.87</v>
      </c>
      <c r="G626" s="1">
        <v>45965</v>
      </c>
      <c r="I626" t="s">
        <v>9</v>
      </c>
      <c r="J626" s="14">
        <f>IFERROR(VLOOKUP(D626,'INf. RRHH'!$A:$B,2,0),0)</f>
        <v>2900</v>
      </c>
      <c r="K626" s="16">
        <f t="shared" si="27"/>
        <v>3954.87</v>
      </c>
      <c r="L626" s="17">
        <f t="shared" si="28"/>
        <v>966.67</v>
      </c>
      <c r="M626" s="18">
        <f t="shared" si="29"/>
        <v>4921.54</v>
      </c>
    </row>
    <row r="627" spans="1:13" x14ac:dyDescent="0.25">
      <c r="A627">
        <v>1000</v>
      </c>
      <c r="B627">
        <v>1000</v>
      </c>
      <c r="C627" s="1">
        <v>45961</v>
      </c>
      <c r="D627">
        <v>90482</v>
      </c>
      <c r="E627">
        <v>296</v>
      </c>
      <c r="F627" s="2">
        <v>4907.13</v>
      </c>
      <c r="G627" s="1">
        <v>45965</v>
      </c>
      <c r="I627" t="s">
        <v>9</v>
      </c>
      <c r="J627" s="14">
        <f>IFERROR(VLOOKUP(D627,'INf. RRHH'!$A:$B,2,0),0)</f>
        <v>2900</v>
      </c>
      <c r="K627" s="16">
        <f t="shared" si="27"/>
        <v>2007.13</v>
      </c>
      <c r="L627" s="17">
        <f t="shared" si="28"/>
        <v>966.67</v>
      </c>
      <c r="M627" s="18">
        <f t="shared" si="29"/>
        <v>2973.8</v>
      </c>
    </row>
    <row r="628" spans="1:13" x14ac:dyDescent="0.25">
      <c r="A628">
        <v>1000</v>
      </c>
      <c r="B628">
        <v>1000</v>
      </c>
      <c r="C628" s="1">
        <v>45961</v>
      </c>
      <c r="D628">
        <v>90533</v>
      </c>
      <c r="E628">
        <v>353</v>
      </c>
      <c r="F628" s="2">
        <v>6430.9</v>
      </c>
      <c r="G628" s="1">
        <v>45965</v>
      </c>
      <c r="I628" t="s">
        <v>9</v>
      </c>
      <c r="J628" s="14">
        <f>IFERROR(VLOOKUP(D628,'INf. RRHH'!$A:$B,2,0),0)</f>
        <v>2900</v>
      </c>
      <c r="K628" s="16">
        <f t="shared" si="27"/>
        <v>3530.8999999999996</v>
      </c>
      <c r="L628" s="17">
        <f t="shared" si="28"/>
        <v>966.67</v>
      </c>
      <c r="M628" s="18">
        <f t="shared" si="29"/>
        <v>4497.57</v>
      </c>
    </row>
    <row r="629" spans="1:13" x14ac:dyDescent="0.25">
      <c r="A629">
        <v>1000</v>
      </c>
      <c r="B629">
        <v>1000</v>
      </c>
      <c r="C629" s="1">
        <v>45961</v>
      </c>
      <c r="D629">
        <v>90704</v>
      </c>
      <c r="E629">
        <v>330</v>
      </c>
      <c r="F629" s="2">
        <v>6653.78</v>
      </c>
      <c r="G629" s="1">
        <v>45965</v>
      </c>
      <c r="I629" t="s">
        <v>9</v>
      </c>
      <c r="J629" s="14">
        <f>IFERROR(VLOOKUP(D629,'INf. RRHH'!$A:$B,2,0),0)</f>
        <v>2900</v>
      </c>
      <c r="K629" s="16">
        <f t="shared" si="27"/>
        <v>3753.7799999999997</v>
      </c>
      <c r="L629" s="17">
        <f t="shared" si="28"/>
        <v>966.67</v>
      </c>
      <c r="M629" s="18">
        <f t="shared" si="29"/>
        <v>4720.45</v>
      </c>
    </row>
    <row r="630" spans="1:13" x14ac:dyDescent="0.25">
      <c r="A630">
        <v>1000</v>
      </c>
      <c r="B630">
        <v>1000</v>
      </c>
      <c r="C630" s="1">
        <v>45961</v>
      </c>
      <c r="D630">
        <v>90731</v>
      </c>
      <c r="E630">
        <v>352.5</v>
      </c>
      <c r="F630" s="2">
        <v>6149.93</v>
      </c>
      <c r="G630" s="1">
        <v>45965</v>
      </c>
      <c r="I630" t="s">
        <v>9</v>
      </c>
      <c r="J630" s="14">
        <f>IFERROR(VLOOKUP(D630,'INf. RRHH'!$A:$B,2,0),0)</f>
        <v>2900</v>
      </c>
      <c r="K630" s="16">
        <f t="shared" si="27"/>
        <v>3249.9300000000003</v>
      </c>
      <c r="L630" s="17">
        <f t="shared" si="28"/>
        <v>966.67</v>
      </c>
      <c r="M630" s="18">
        <f t="shared" si="29"/>
        <v>4216.6000000000004</v>
      </c>
    </row>
    <row r="631" spans="1:13" x14ac:dyDescent="0.25">
      <c r="A631">
        <v>1000</v>
      </c>
      <c r="B631">
        <v>1000</v>
      </c>
      <c r="C631" s="1">
        <v>45961</v>
      </c>
      <c r="D631">
        <v>90893</v>
      </c>
      <c r="E631">
        <v>240</v>
      </c>
      <c r="F631" s="2">
        <v>6500.26</v>
      </c>
      <c r="G631" s="1">
        <v>45965</v>
      </c>
      <c r="I631" t="s">
        <v>9</v>
      </c>
      <c r="J631" s="14">
        <f>IFERROR(VLOOKUP(D631,'INf. RRHH'!$A:$B,2,0),0)</f>
        <v>2900</v>
      </c>
      <c r="K631" s="16">
        <f t="shared" si="27"/>
        <v>3600.26</v>
      </c>
      <c r="L631" s="17">
        <f t="shared" si="28"/>
        <v>966.67</v>
      </c>
      <c r="M631" s="18">
        <f t="shared" si="29"/>
        <v>4566.93</v>
      </c>
    </row>
    <row r="632" spans="1:13" x14ac:dyDescent="0.25">
      <c r="A632">
        <v>1000</v>
      </c>
      <c r="B632">
        <v>1000</v>
      </c>
      <c r="C632" s="1">
        <v>45961</v>
      </c>
      <c r="D632">
        <v>90912</v>
      </c>
      <c r="E632">
        <v>330.5</v>
      </c>
      <c r="F632" s="2">
        <v>8241.8700000000008</v>
      </c>
      <c r="G632" s="1">
        <v>45965</v>
      </c>
      <c r="I632" t="s">
        <v>9</v>
      </c>
      <c r="J632" s="14">
        <f>IFERROR(VLOOKUP(D632,'INf. RRHH'!$A:$B,2,0),0)</f>
        <v>2900</v>
      </c>
      <c r="K632" s="16">
        <f t="shared" si="27"/>
        <v>5341.8700000000008</v>
      </c>
      <c r="L632" s="17">
        <f t="shared" si="28"/>
        <v>966.67</v>
      </c>
      <c r="M632" s="18">
        <f t="shared" si="29"/>
        <v>6308.5400000000009</v>
      </c>
    </row>
    <row r="633" spans="1:13" x14ac:dyDescent="0.25">
      <c r="A633">
        <v>1000</v>
      </c>
      <c r="B633">
        <v>1000</v>
      </c>
      <c r="C633" s="1">
        <v>45961</v>
      </c>
      <c r="D633">
        <v>91019</v>
      </c>
      <c r="E633">
        <v>276.5</v>
      </c>
      <c r="F633" s="2">
        <v>6707.96</v>
      </c>
      <c r="G633" s="1">
        <v>45965</v>
      </c>
      <c r="I633" t="s">
        <v>9</v>
      </c>
      <c r="J633" s="14">
        <f>IFERROR(VLOOKUP(D633,'INf. RRHH'!$A:$B,2,0),0)</f>
        <v>2900</v>
      </c>
      <c r="K633" s="16">
        <f t="shared" si="27"/>
        <v>3807.96</v>
      </c>
      <c r="L633" s="17">
        <f t="shared" si="28"/>
        <v>966.67</v>
      </c>
      <c r="M633" s="18">
        <f t="shared" si="29"/>
        <v>4774.63</v>
      </c>
    </row>
    <row r="634" spans="1:13" x14ac:dyDescent="0.25">
      <c r="A634">
        <v>1000</v>
      </c>
      <c r="B634">
        <v>1000</v>
      </c>
      <c r="C634" s="1">
        <v>45961</v>
      </c>
      <c r="D634">
        <v>91058</v>
      </c>
      <c r="E634">
        <v>423</v>
      </c>
      <c r="F634" s="2">
        <v>7154.66</v>
      </c>
      <c r="G634" s="1">
        <v>45965</v>
      </c>
      <c r="I634" t="s">
        <v>9</v>
      </c>
      <c r="J634" s="14">
        <f>IFERROR(VLOOKUP(D634,'INf. RRHH'!$A:$B,2,0),0)</f>
        <v>2900</v>
      </c>
      <c r="K634" s="16">
        <f t="shared" si="27"/>
        <v>4254.66</v>
      </c>
      <c r="L634" s="17">
        <f t="shared" si="28"/>
        <v>966.67</v>
      </c>
      <c r="M634" s="18">
        <f t="shared" si="29"/>
        <v>5221.33</v>
      </c>
    </row>
    <row r="635" spans="1:13" x14ac:dyDescent="0.25">
      <c r="A635">
        <v>1000</v>
      </c>
      <c r="B635">
        <v>1000</v>
      </c>
      <c r="C635" s="1">
        <v>45961</v>
      </c>
      <c r="D635">
        <v>91238</v>
      </c>
      <c r="E635">
        <v>300</v>
      </c>
      <c r="F635" s="2">
        <v>6559.33</v>
      </c>
      <c r="G635" s="1">
        <v>45965</v>
      </c>
      <c r="I635" t="s">
        <v>9</v>
      </c>
      <c r="J635" s="14">
        <f>IFERROR(VLOOKUP(D635,'INf. RRHH'!$A:$B,2,0),0)</f>
        <v>2900</v>
      </c>
      <c r="K635" s="16">
        <f t="shared" si="27"/>
        <v>3659.33</v>
      </c>
      <c r="L635" s="17">
        <f t="shared" si="28"/>
        <v>966.67</v>
      </c>
      <c r="M635" s="18">
        <f t="shared" si="29"/>
        <v>4626</v>
      </c>
    </row>
    <row r="636" spans="1:13" x14ac:dyDescent="0.25">
      <c r="A636">
        <v>1000</v>
      </c>
      <c r="B636">
        <v>1000</v>
      </c>
      <c r="C636" s="1">
        <v>45961</v>
      </c>
      <c r="D636">
        <v>91345</v>
      </c>
      <c r="E636">
        <v>167.17</v>
      </c>
      <c r="F636" s="2">
        <v>5302.83</v>
      </c>
      <c r="G636" s="1">
        <v>45965</v>
      </c>
      <c r="I636" t="s">
        <v>9</v>
      </c>
      <c r="J636" s="14">
        <f>IFERROR(VLOOKUP(D636,'INf. RRHH'!$A:$B,2,0),0)</f>
        <v>2900</v>
      </c>
      <c r="K636" s="16">
        <f t="shared" si="27"/>
        <v>2402.83</v>
      </c>
      <c r="L636" s="17">
        <f t="shared" si="28"/>
        <v>966.67</v>
      </c>
      <c r="M636" s="18">
        <f t="shared" si="29"/>
        <v>3369.5</v>
      </c>
    </row>
    <row r="637" spans="1:13" x14ac:dyDescent="0.25">
      <c r="A637">
        <v>1000</v>
      </c>
      <c r="B637">
        <v>1000</v>
      </c>
      <c r="C637" s="1">
        <v>45961</v>
      </c>
      <c r="D637">
        <v>91563</v>
      </c>
      <c r="E637">
        <v>296</v>
      </c>
      <c r="F637" s="2">
        <v>4775.72</v>
      </c>
      <c r="G637" s="1">
        <v>45965</v>
      </c>
      <c r="I637" t="s">
        <v>9</v>
      </c>
      <c r="J637" s="14">
        <f>IFERROR(VLOOKUP(D637,'INf. RRHH'!$A:$B,2,0),0)</f>
        <v>2900</v>
      </c>
      <c r="K637" s="16">
        <f t="shared" si="27"/>
        <v>1875.7200000000003</v>
      </c>
      <c r="L637" s="17">
        <f t="shared" si="28"/>
        <v>966.67</v>
      </c>
      <c r="M637" s="18">
        <f t="shared" si="29"/>
        <v>2842.3900000000003</v>
      </c>
    </row>
    <row r="638" spans="1:13" x14ac:dyDescent="0.25">
      <c r="A638">
        <v>1000</v>
      </c>
      <c r="B638">
        <v>1000</v>
      </c>
      <c r="C638" s="1">
        <v>45961</v>
      </c>
      <c r="D638">
        <v>91752</v>
      </c>
      <c r="E638">
        <v>243</v>
      </c>
      <c r="F638" s="2">
        <v>5506.54</v>
      </c>
      <c r="G638" s="1">
        <v>45965</v>
      </c>
      <c r="I638" t="s">
        <v>9</v>
      </c>
      <c r="J638" s="14">
        <f>IFERROR(VLOOKUP(D638,'INf. RRHH'!$A:$B,2,0),0)</f>
        <v>2900</v>
      </c>
      <c r="K638" s="16">
        <f t="shared" si="27"/>
        <v>2606.54</v>
      </c>
      <c r="L638" s="17">
        <f t="shared" si="28"/>
        <v>966.67</v>
      </c>
      <c r="M638" s="18">
        <f t="shared" si="29"/>
        <v>3573.21</v>
      </c>
    </row>
    <row r="639" spans="1:13" x14ac:dyDescent="0.25">
      <c r="A639">
        <v>1000</v>
      </c>
      <c r="B639">
        <v>1000</v>
      </c>
      <c r="C639" s="1">
        <v>45961</v>
      </c>
      <c r="D639">
        <v>91891</v>
      </c>
      <c r="E639">
        <v>274</v>
      </c>
      <c r="F639" s="2">
        <v>6163.27</v>
      </c>
      <c r="G639" s="1">
        <v>45965</v>
      </c>
      <c r="I639" t="s">
        <v>9</v>
      </c>
      <c r="J639" s="14">
        <f>IFERROR(VLOOKUP(D639,'INf. RRHH'!$A:$B,2,0),0)</f>
        <v>2900</v>
      </c>
      <c r="K639" s="16">
        <f t="shared" si="27"/>
        <v>3263.2700000000004</v>
      </c>
      <c r="L639" s="17">
        <f t="shared" si="28"/>
        <v>966.67</v>
      </c>
      <c r="M639" s="18">
        <f t="shared" si="29"/>
        <v>4229.9400000000005</v>
      </c>
    </row>
    <row r="640" spans="1:13" x14ac:dyDescent="0.25">
      <c r="A640">
        <v>1000</v>
      </c>
      <c r="B640">
        <v>1000</v>
      </c>
      <c r="C640" s="1">
        <v>45961</v>
      </c>
      <c r="D640">
        <v>92072</v>
      </c>
      <c r="E640">
        <v>327</v>
      </c>
      <c r="F640" s="2">
        <v>7261.32</v>
      </c>
      <c r="G640" s="1">
        <v>45965</v>
      </c>
      <c r="I640" t="s">
        <v>9</v>
      </c>
      <c r="J640" s="14">
        <f>IFERROR(VLOOKUP(D640,'INf. RRHH'!$A:$B,2,0),0)</f>
        <v>2900</v>
      </c>
      <c r="K640" s="16">
        <f t="shared" si="27"/>
        <v>4361.32</v>
      </c>
      <c r="L640" s="17">
        <f t="shared" si="28"/>
        <v>966.67</v>
      </c>
      <c r="M640" s="18">
        <f t="shared" si="29"/>
        <v>5327.99</v>
      </c>
    </row>
    <row r="641" spans="1:13" x14ac:dyDescent="0.25">
      <c r="A641">
        <v>1000</v>
      </c>
      <c r="B641">
        <v>1000</v>
      </c>
      <c r="C641" s="1">
        <v>45961</v>
      </c>
      <c r="D641">
        <v>92423</v>
      </c>
      <c r="E641">
        <v>319.5</v>
      </c>
      <c r="F641" s="2">
        <v>6254.68</v>
      </c>
      <c r="G641" s="1">
        <v>45965</v>
      </c>
      <c r="I641" t="s">
        <v>9</v>
      </c>
      <c r="J641" s="14">
        <f>IFERROR(VLOOKUP(D641,'INf. RRHH'!$A:$B,2,0),0)</f>
        <v>2900</v>
      </c>
      <c r="K641" s="16">
        <f t="shared" si="27"/>
        <v>3354.6800000000003</v>
      </c>
      <c r="L641" s="17">
        <f t="shared" si="28"/>
        <v>966.67</v>
      </c>
      <c r="M641" s="18">
        <f t="shared" si="29"/>
        <v>4321.3500000000004</v>
      </c>
    </row>
    <row r="642" spans="1:13" x14ac:dyDescent="0.25">
      <c r="A642">
        <v>1000</v>
      </c>
      <c r="B642">
        <v>1000</v>
      </c>
      <c r="C642" s="1">
        <v>45961</v>
      </c>
      <c r="D642">
        <v>92435</v>
      </c>
      <c r="E642">
        <v>296</v>
      </c>
      <c r="F642" s="2">
        <v>4808.9399999999996</v>
      </c>
      <c r="G642" s="1">
        <v>45965</v>
      </c>
      <c r="I642" t="s">
        <v>9</v>
      </c>
      <c r="J642" s="14">
        <f>IFERROR(VLOOKUP(D642,'INf. RRHH'!$A:$B,2,0),0)</f>
        <v>2900</v>
      </c>
      <c r="K642" s="16">
        <f t="shared" si="27"/>
        <v>1908.9399999999996</v>
      </c>
      <c r="L642" s="17">
        <f t="shared" si="28"/>
        <v>966.67</v>
      </c>
      <c r="M642" s="18">
        <f t="shared" si="29"/>
        <v>2875.6099999999997</v>
      </c>
    </row>
    <row r="643" spans="1:13" x14ac:dyDescent="0.25">
      <c r="A643">
        <v>1000</v>
      </c>
      <c r="B643">
        <v>1000</v>
      </c>
      <c r="C643" s="1">
        <v>45961</v>
      </c>
      <c r="D643">
        <v>92443</v>
      </c>
      <c r="E643">
        <v>325</v>
      </c>
      <c r="F643" s="2">
        <v>6516.2</v>
      </c>
      <c r="G643" s="1">
        <v>45965</v>
      </c>
      <c r="I643" t="s">
        <v>9</v>
      </c>
      <c r="J643" s="14">
        <f>IFERROR(VLOOKUP(D643,'INf. RRHH'!$A:$B,2,0),0)</f>
        <v>2900</v>
      </c>
      <c r="K643" s="16">
        <f t="shared" ref="K643:K706" si="30">+F643-J643</f>
        <v>3616.2</v>
      </c>
      <c r="L643" s="17">
        <f t="shared" ref="L643:L706" si="31">ROUND(J643/3,2)</f>
        <v>966.67</v>
      </c>
      <c r="M643" s="18">
        <f t="shared" ref="M643:M706" si="32">+K643+L643</f>
        <v>4582.87</v>
      </c>
    </row>
    <row r="644" spans="1:13" x14ac:dyDescent="0.25">
      <c r="A644">
        <v>1000</v>
      </c>
      <c r="B644">
        <v>1000</v>
      </c>
      <c r="C644" s="1">
        <v>45961</v>
      </c>
      <c r="D644">
        <v>92512</v>
      </c>
      <c r="E644">
        <v>16</v>
      </c>
      <c r="F644" s="2">
        <v>5389.7</v>
      </c>
      <c r="G644" s="1">
        <v>45965</v>
      </c>
      <c r="I644" t="s">
        <v>9</v>
      </c>
      <c r="J644" s="14">
        <f>IFERROR(VLOOKUP(D644,'INf. RRHH'!$A:$B,2,0),0)</f>
        <v>2900</v>
      </c>
      <c r="K644" s="16">
        <f t="shared" si="30"/>
        <v>2489.6999999999998</v>
      </c>
      <c r="L644" s="17">
        <f t="shared" si="31"/>
        <v>966.67</v>
      </c>
      <c r="M644" s="18">
        <f t="shared" si="32"/>
        <v>3456.37</v>
      </c>
    </row>
    <row r="645" spans="1:13" x14ac:dyDescent="0.25">
      <c r="A645">
        <v>1000</v>
      </c>
      <c r="B645">
        <v>1000</v>
      </c>
      <c r="C645" s="1">
        <v>45961</v>
      </c>
      <c r="D645">
        <v>92808</v>
      </c>
      <c r="E645">
        <v>80</v>
      </c>
      <c r="F645" s="2">
        <v>6266.67</v>
      </c>
      <c r="G645" s="1">
        <v>45965</v>
      </c>
      <c r="I645" t="s">
        <v>9</v>
      </c>
      <c r="J645" s="14">
        <f>IFERROR(VLOOKUP(D645,'INf. RRHH'!$A:$B,2,0),0)</f>
        <v>2900</v>
      </c>
      <c r="K645" s="16">
        <f t="shared" si="30"/>
        <v>3366.67</v>
      </c>
      <c r="L645" s="17">
        <f t="shared" si="31"/>
        <v>966.67</v>
      </c>
      <c r="M645" s="18">
        <f t="shared" si="32"/>
        <v>4333.34</v>
      </c>
    </row>
    <row r="646" spans="1:13" x14ac:dyDescent="0.25">
      <c r="A646">
        <v>1000</v>
      </c>
      <c r="B646">
        <v>1000</v>
      </c>
      <c r="C646" s="1">
        <v>45961</v>
      </c>
      <c r="D646">
        <v>92931</v>
      </c>
      <c r="E646">
        <v>240</v>
      </c>
      <c r="F646" s="2">
        <v>5376.23</v>
      </c>
      <c r="G646" s="1">
        <v>45965</v>
      </c>
      <c r="I646" t="s">
        <v>9</v>
      </c>
      <c r="J646" s="14">
        <f>IFERROR(VLOOKUP(D646,'INf. RRHH'!$A:$B,2,0),0)</f>
        <v>2900</v>
      </c>
      <c r="K646" s="16">
        <f t="shared" si="30"/>
        <v>2476.2299999999996</v>
      </c>
      <c r="L646" s="17">
        <f t="shared" si="31"/>
        <v>966.67</v>
      </c>
      <c r="M646" s="18">
        <f t="shared" si="32"/>
        <v>3442.8999999999996</v>
      </c>
    </row>
    <row r="647" spans="1:13" x14ac:dyDescent="0.25">
      <c r="A647">
        <v>1000</v>
      </c>
      <c r="B647">
        <v>1000</v>
      </c>
      <c r="C647" s="1">
        <v>45961</v>
      </c>
      <c r="D647">
        <v>92940</v>
      </c>
      <c r="E647">
        <v>296</v>
      </c>
      <c r="F647" s="2">
        <v>4801.33</v>
      </c>
      <c r="G647" s="1">
        <v>45965</v>
      </c>
      <c r="I647" t="s">
        <v>9</v>
      </c>
      <c r="J647" s="14">
        <f>IFERROR(VLOOKUP(D647,'INf. RRHH'!$A:$B,2,0),0)</f>
        <v>2900</v>
      </c>
      <c r="K647" s="16">
        <f t="shared" si="30"/>
        <v>1901.33</v>
      </c>
      <c r="L647" s="17">
        <f t="shared" si="31"/>
        <v>966.67</v>
      </c>
      <c r="M647" s="18">
        <f t="shared" si="32"/>
        <v>2868</v>
      </c>
    </row>
    <row r="648" spans="1:13" x14ac:dyDescent="0.25">
      <c r="A648">
        <v>1000</v>
      </c>
      <c r="B648">
        <v>1000</v>
      </c>
      <c r="C648" s="1">
        <v>45961</v>
      </c>
      <c r="D648">
        <v>92975</v>
      </c>
      <c r="E648">
        <v>315</v>
      </c>
      <c r="F648" s="2">
        <v>7295.21</v>
      </c>
      <c r="G648" s="1">
        <v>45965</v>
      </c>
      <c r="I648" t="s">
        <v>9</v>
      </c>
      <c r="J648" s="14">
        <f>IFERROR(VLOOKUP(D648,'INf. RRHH'!$A:$B,2,0),0)</f>
        <v>2900</v>
      </c>
      <c r="K648" s="16">
        <f t="shared" si="30"/>
        <v>4395.21</v>
      </c>
      <c r="L648" s="17">
        <f t="shared" si="31"/>
        <v>966.67</v>
      </c>
      <c r="M648" s="18">
        <f t="shared" si="32"/>
        <v>5361.88</v>
      </c>
    </row>
    <row r="649" spans="1:13" x14ac:dyDescent="0.25">
      <c r="A649">
        <v>1000</v>
      </c>
      <c r="B649">
        <v>1000</v>
      </c>
      <c r="C649" s="1">
        <v>45961</v>
      </c>
      <c r="D649">
        <v>93137</v>
      </c>
      <c r="E649">
        <v>240</v>
      </c>
      <c r="F649" s="2">
        <v>5374.58</v>
      </c>
      <c r="G649" s="1">
        <v>45965</v>
      </c>
      <c r="I649" t="s">
        <v>9</v>
      </c>
      <c r="J649" s="14">
        <f>IFERROR(VLOOKUP(D649,'INf. RRHH'!$A:$B,2,0),0)</f>
        <v>2900</v>
      </c>
      <c r="K649" s="16">
        <f t="shared" si="30"/>
        <v>2474.58</v>
      </c>
      <c r="L649" s="17">
        <f t="shared" si="31"/>
        <v>966.67</v>
      </c>
      <c r="M649" s="18">
        <f t="shared" si="32"/>
        <v>3441.25</v>
      </c>
    </row>
    <row r="650" spans="1:13" x14ac:dyDescent="0.25">
      <c r="A650">
        <v>1000</v>
      </c>
      <c r="B650">
        <v>1000</v>
      </c>
      <c r="C650" s="1">
        <v>45961</v>
      </c>
      <c r="D650">
        <v>93152</v>
      </c>
      <c r="E650">
        <v>359</v>
      </c>
      <c r="F650" s="2">
        <v>6802.57</v>
      </c>
      <c r="G650" s="1">
        <v>45965</v>
      </c>
      <c r="I650" t="s">
        <v>9</v>
      </c>
      <c r="J650" s="14">
        <f>IFERROR(VLOOKUP(D650,'INf. RRHH'!$A:$B,2,0),0)</f>
        <v>2900</v>
      </c>
      <c r="K650" s="16">
        <f t="shared" si="30"/>
        <v>3902.5699999999997</v>
      </c>
      <c r="L650" s="17">
        <f t="shared" si="31"/>
        <v>966.67</v>
      </c>
      <c r="M650" s="18">
        <f t="shared" si="32"/>
        <v>4869.24</v>
      </c>
    </row>
    <row r="651" spans="1:13" x14ac:dyDescent="0.25">
      <c r="A651">
        <v>1000</v>
      </c>
      <c r="B651">
        <v>1000</v>
      </c>
      <c r="C651" s="1">
        <v>45961</v>
      </c>
      <c r="D651">
        <v>93270</v>
      </c>
      <c r="E651">
        <v>354</v>
      </c>
      <c r="F651" s="2">
        <v>6522.38</v>
      </c>
      <c r="G651" s="1">
        <v>45965</v>
      </c>
      <c r="I651" t="s">
        <v>9</v>
      </c>
      <c r="J651" s="14">
        <f>IFERROR(VLOOKUP(D651,'INf. RRHH'!$A:$B,2,0),0)</f>
        <v>2900</v>
      </c>
      <c r="K651" s="16">
        <f t="shared" si="30"/>
        <v>3622.38</v>
      </c>
      <c r="L651" s="17">
        <f t="shared" si="31"/>
        <v>966.67</v>
      </c>
      <c r="M651" s="18">
        <f t="shared" si="32"/>
        <v>4589.05</v>
      </c>
    </row>
    <row r="652" spans="1:13" x14ac:dyDescent="0.25">
      <c r="A652">
        <v>1000</v>
      </c>
      <c r="B652">
        <v>1000</v>
      </c>
      <c r="C652" s="1">
        <v>45961</v>
      </c>
      <c r="D652">
        <v>93727</v>
      </c>
      <c r="E652">
        <v>310.77999999999997</v>
      </c>
      <c r="F652" s="2">
        <v>7224.37</v>
      </c>
      <c r="G652" s="1">
        <v>45965</v>
      </c>
      <c r="I652" t="s">
        <v>9</v>
      </c>
      <c r="J652" s="14">
        <f>IFERROR(VLOOKUP(D652,'INf. RRHH'!$A:$B,2,0),0)</f>
        <v>2900</v>
      </c>
      <c r="K652" s="16">
        <f t="shared" si="30"/>
        <v>4324.37</v>
      </c>
      <c r="L652" s="17">
        <f t="shared" si="31"/>
        <v>966.67</v>
      </c>
      <c r="M652" s="18">
        <f t="shared" si="32"/>
        <v>5291.04</v>
      </c>
    </row>
    <row r="653" spans="1:13" x14ac:dyDescent="0.25">
      <c r="A653">
        <v>1000</v>
      </c>
      <c r="B653">
        <v>1000</v>
      </c>
      <c r="C653" s="1">
        <v>45961</v>
      </c>
      <c r="D653">
        <v>93737</v>
      </c>
      <c r="E653">
        <v>362</v>
      </c>
      <c r="F653" s="2">
        <v>6468.09</v>
      </c>
      <c r="G653" s="1">
        <v>45965</v>
      </c>
      <c r="I653" t="s">
        <v>9</v>
      </c>
      <c r="J653" s="14">
        <f>IFERROR(VLOOKUP(D653,'INf. RRHH'!$A:$B,2,0),0)</f>
        <v>2900</v>
      </c>
      <c r="K653" s="16">
        <f t="shared" si="30"/>
        <v>3568.09</v>
      </c>
      <c r="L653" s="17">
        <f t="shared" si="31"/>
        <v>966.67</v>
      </c>
      <c r="M653" s="18">
        <f t="shared" si="32"/>
        <v>4534.76</v>
      </c>
    </row>
    <row r="654" spans="1:13" x14ac:dyDescent="0.25">
      <c r="A654">
        <v>1000</v>
      </c>
      <c r="B654">
        <v>1000</v>
      </c>
      <c r="C654" s="1">
        <v>45961</v>
      </c>
      <c r="D654">
        <v>93822</v>
      </c>
      <c r="E654">
        <v>240</v>
      </c>
      <c r="F654" s="2">
        <v>5376.51</v>
      </c>
      <c r="G654" s="1">
        <v>45965</v>
      </c>
      <c r="I654" t="s">
        <v>9</v>
      </c>
      <c r="J654" s="14">
        <f>IFERROR(VLOOKUP(D654,'INf. RRHH'!$A:$B,2,0),0)</f>
        <v>2900</v>
      </c>
      <c r="K654" s="16">
        <f t="shared" si="30"/>
        <v>2476.5100000000002</v>
      </c>
      <c r="L654" s="17">
        <f t="shared" si="31"/>
        <v>966.67</v>
      </c>
      <c r="M654" s="18">
        <f t="shared" si="32"/>
        <v>3443.1800000000003</v>
      </c>
    </row>
    <row r="655" spans="1:13" x14ac:dyDescent="0.25">
      <c r="A655">
        <v>1000</v>
      </c>
      <c r="B655">
        <v>1000</v>
      </c>
      <c r="C655" s="1">
        <v>45961</v>
      </c>
      <c r="D655">
        <v>93831</v>
      </c>
      <c r="E655">
        <v>240</v>
      </c>
      <c r="F655" s="2">
        <v>5210.96</v>
      </c>
      <c r="G655" s="1">
        <v>45965</v>
      </c>
      <c r="I655" t="s">
        <v>9</v>
      </c>
      <c r="J655" s="14">
        <f>IFERROR(VLOOKUP(D655,'INf. RRHH'!$A:$B,2,0),0)</f>
        <v>2900</v>
      </c>
      <c r="K655" s="16">
        <f t="shared" si="30"/>
        <v>2310.96</v>
      </c>
      <c r="L655" s="17">
        <f t="shared" si="31"/>
        <v>966.67</v>
      </c>
      <c r="M655" s="18">
        <f t="shared" si="32"/>
        <v>3277.63</v>
      </c>
    </row>
    <row r="656" spans="1:13" x14ac:dyDescent="0.25">
      <c r="A656">
        <v>1000</v>
      </c>
      <c r="B656">
        <v>1000</v>
      </c>
      <c r="C656" s="1">
        <v>45961</v>
      </c>
      <c r="D656">
        <v>93962</v>
      </c>
      <c r="E656">
        <v>246.9</v>
      </c>
      <c r="F656" s="2">
        <v>5878.04</v>
      </c>
      <c r="G656" s="1">
        <v>45965</v>
      </c>
      <c r="I656" t="s">
        <v>9</v>
      </c>
      <c r="J656" s="14">
        <f>IFERROR(VLOOKUP(D656,'INf. RRHH'!$A:$B,2,0),0)</f>
        <v>2900</v>
      </c>
      <c r="K656" s="16">
        <f t="shared" si="30"/>
        <v>2978.04</v>
      </c>
      <c r="L656" s="17">
        <f t="shared" si="31"/>
        <v>966.67</v>
      </c>
      <c r="M656" s="18">
        <f t="shared" si="32"/>
        <v>3944.71</v>
      </c>
    </row>
    <row r="657" spans="1:13" x14ac:dyDescent="0.25">
      <c r="A657">
        <v>1000</v>
      </c>
      <c r="B657">
        <v>1000</v>
      </c>
      <c r="C657" s="1">
        <v>45961</v>
      </c>
      <c r="D657">
        <v>94267</v>
      </c>
      <c r="E657">
        <v>401</v>
      </c>
      <c r="F657" s="2">
        <v>7386.94</v>
      </c>
      <c r="G657" s="1">
        <v>45965</v>
      </c>
      <c r="I657" t="s">
        <v>9</v>
      </c>
      <c r="J657" s="14">
        <f>IFERROR(VLOOKUP(D657,'INf. RRHH'!$A:$B,2,0),0)</f>
        <v>2900</v>
      </c>
      <c r="K657" s="16">
        <f t="shared" si="30"/>
        <v>4486.9399999999996</v>
      </c>
      <c r="L657" s="17">
        <f t="shared" si="31"/>
        <v>966.67</v>
      </c>
      <c r="M657" s="18">
        <f t="shared" si="32"/>
        <v>5453.61</v>
      </c>
    </row>
    <row r="658" spans="1:13" x14ac:dyDescent="0.25">
      <c r="A658">
        <v>1000</v>
      </c>
      <c r="B658">
        <v>1000</v>
      </c>
      <c r="C658" s="1">
        <v>45961</v>
      </c>
      <c r="D658">
        <v>94380</v>
      </c>
      <c r="E658">
        <v>248</v>
      </c>
      <c r="F658" s="2">
        <v>5500.86</v>
      </c>
      <c r="G658" s="1">
        <v>45965</v>
      </c>
      <c r="I658" t="s">
        <v>9</v>
      </c>
      <c r="J658" s="14">
        <f>IFERROR(VLOOKUP(D658,'INf. RRHH'!$A:$B,2,0),0)</f>
        <v>2900</v>
      </c>
      <c r="K658" s="16">
        <f t="shared" si="30"/>
        <v>2600.8599999999997</v>
      </c>
      <c r="L658" s="17">
        <f t="shared" si="31"/>
        <v>966.67</v>
      </c>
      <c r="M658" s="18">
        <f t="shared" si="32"/>
        <v>3567.5299999999997</v>
      </c>
    </row>
    <row r="659" spans="1:13" x14ac:dyDescent="0.25">
      <c r="A659">
        <v>1000</v>
      </c>
      <c r="B659">
        <v>1000</v>
      </c>
      <c r="C659" s="1">
        <v>45961</v>
      </c>
      <c r="D659">
        <v>94431</v>
      </c>
      <c r="E659">
        <v>386</v>
      </c>
      <c r="F659" s="2">
        <v>6676.32</v>
      </c>
      <c r="G659" s="1">
        <v>45965</v>
      </c>
      <c r="I659" t="s">
        <v>9</v>
      </c>
      <c r="J659" s="14">
        <f>IFERROR(VLOOKUP(D659,'INf. RRHH'!$A:$B,2,0),0)</f>
        <v>2900</v>
      </c>
      <c r="K659" s="16">
        <f t="shared" si="30"/>
        <v>3776.3199999999997</v>
      </c>
      <c r="L659" s="17">
        <f t="shared" si="31"/>
        <v>966.67</v>
      </c>
      <c r="M659" s="18">
        <f t="shared" si="32"/>
        <v>4742.99</v>
      </c>
    </row>
    <row r="660" spans="1:13" x14ac:dyDescent="0.25">
      <c r="A660">
        <v>1000</v>
      </c>
      <c r="B660">
        <v>1000</v>
      </c>
      <c r="C660" s="1">
        <v>45961</v>
      </c>
      <c r="D660">
        <v>94443</v>
      </c>
      <c r="E660">
        <v>240</v>
      </c>
      <c r="F660" s="2">
        <v>3579.74</v>
      </c>
      <c r="G660" s="1">
        <v>45965</v>
      </c>
      <c r="I660" t="s">
        <v>9</v>
      </c>
      <c r="J660" s="14">
        <f>IFERROR(VLOOKUP(D660,'INf. RRHH'!$A:$B,2,0),0)</f>
        <v>2900</v>
      </c>
      <c r="K660" s="16">
        <f t="shared" si="30"/>
        <v>679.73999999999978</v>
      </c>
      <c r="L660" s="17">
        <f t="shared" si="31"/>
        <v>966.67</v>
      </c>
      <c r="M660" s="18">
        <f t="shared" si="32"/>
        <v>1646.4099999999999</v>
      </c>
    </row>
    <row r="661" spans="1:13" x14ac:dyDescent="0.25">
      <c r="A661">
        <v>1000</v>
      </c>
      <c r="B661">
        <v>1000</v>
      </c>
      <c r="C661" s="1">
        <v>45961</v>
      </c>
      <c r="D661">
        <v>94470</v>
      </c>
      <c r="E661">
        <v>240</v>
      </c>
      <c r="F661" s="2">
        <v>5493.51</v>
      </c>
      <c r="G661" s="1">
        <v>45965</v>
      </c>
      <c r="I661" t="s">
        <v>9</v>
      </c>
      <c r="J661" s="14">
        <f>IFERROR(VLOOKUP(D661,'INf. RRHH'!$A:$B,2,0),0)</f>
        <v>2900</v>
      </c>
      <c r="K661" s="16">
        <f t="shared" si="30"/>
        <v>2593.5100000000002</v>
      </c>
      <c r="L661" s="17">
        <f t="shared" si="31"/>
        <v>966.67</v>
      </c>
      <c r="M661" s="18">
        <f t="shared" si="32"/>
        <v>3560.1800000000003</v>
      </c>
    </row>
    <row r="662" spans="1:13" x14ac:dyDescent="0.25">
      <c r="A662">
        <v>1000</v>
      </c>
      <c r="B662">
        <v>1000</v>
      </c>
      <c r="C662" s="1">
        <v>45961</v>
      </c>
      <c r="D662">
        <v>94934</v>
      </c>
      <c r="E662">
        <v>310</v>
      </c>
      <c r="F662" s="2">
        <v>5388.14</v>
      </c>
      <c r="G662" s="1">
        <v>45965</v>
      </c>
      <c r="I662" t="s">
        <v>9</v>
      </c>
      <c r="J662" s="14">
        <f>IFERROR(VLOOKUP(D662,'INf. RRHH'!$A:$B,2,0),0)</f>
        <v>2900</v>
      </c>
      <c r="K662" s="16">
        <f t="shared" si="30"/>
        <v>2488.1400000000003</v>
      </c>
      <c r="L662" s="17">
        <f t="shared" si="31"/>
        <v>966.67</v>
      </c>
      <c r="M662" s="18">
        <f t="shared" si="32"/>
        <v>3454.8100000000004</v>
      </c>
    </row>
    <row r="663" spans="1:13" x14ac:dyDescent="0.25">
      <c r="A663">
        <v>1000</v>
      </c>
      <c r="B663">
        <v>1000</v>
      </c>
      <c r="C663" s="1">
        <v>45961</v>
      </c>
      <c r="D663">
        <v>95242</v>
      </c>
      <c r="E663">
        <v>240</v>
      </c>
      <c r="F663" s="2">
        <v>5133.6899999999996</v>
      </c>
      <c r="G663" s="1">
        <v>45965</v>
      </c>
      <c r="I663" t="s">
        <v>9</v>
      </c>
      <c r="J663" s="14">
        <f>IFERROR(VLOOKUP(D663,'INf. RRHH'!$A:$B,2,0),0)</f>
        <v>2900</v>
      </c>
      <c r="K663" s="16">
        <f t="shared" si="30"/>
        <v>2233.6899999999996</v>
      </c>
      <c r="L663" s="17">
        <f t="shared" si="31"/>
        <v>966.67</v>
      </c>
      <c r="M663" s="18">
        <f t="shared" si="32"/>
        <v>3200.3599999999997</v>
      </c>
    </row>
    <row r="664" spans="1:13" x14ac:dyDescent="0.25">
      <c r="A664">
        <v>1000</v>
      </c>
      <c r="B664">
        <v>1000</v>
      </c>
      <c r="C664" s="1">
        <v>45961</v>
      </c>
      <c r="D664">
        <v>95319</v>
      </c>
      <c r="E664">
        <v>240</v>
      </c>
      <c r="F664" s="2">
        <v>3701.3</v>
      </c>
      <c r="G664" s="1">
        <v>45965</v>
      </c>
      <c r="I664" t="s">
        <v>9</v>
      </c>
      <c r="J664" s="14">
        <f>IFERROR(VLOOKUP(D664,'INf. RRHH'!$A:$B,2,0),0)</f>
        <v>2900</v>
      </c>
      <c r="K664" s="16">
        <f t="shared" si="30"/>
        <v>801.30000000000018</v>
      </c>
      <c r="L664" s="17">
        <f t="shared" si="31"/>
        <v>966.67</v>
      </c>
      <c r="M664" s="18">
        <f t="shared" si="32"/>
        <v>1767.9700000000003</v>
      </c>
    </row>
    <row r="665" spans="1:13" x14ac:dyDescent="0.25">
      <c r="A665">
        <v>1000</v>
      </c>
      <c r="B665">
        <v>1000</v>
      </c>
      <c r="C665" s="1">
        <v>45961</v>
      </c>
      <c r="D665">
        <v>95378</v>
      </c>
      <c r="E665">
        <v>240</v>
      </c>
      <c r="F665" s="2">
        <v>3680.85</v>
      </c>
      <c r="G665" s="1">
        <v>45965</v>
      </c>
      <c r="I665" t="s">
        <v>9</v>
      </c>
      <c r="J665" s="14">
        <f>IFERROR(VLOOKUP(D665,'INf. RRHH'!$A:$B,2,0),0)</f>
        <v>1450</v>
      </c>
      <c r="K665" s="16">
        <f t="shared" si="30"/>
        <v>2230.85</v>
      </c>
      <c r="L665" s="17">
        <f t="shared" si="31"/>
        <v>483.33</v>
      </c>
      <c r="M665" s="18">
        <f t="shared" si="32"/>
        <v>2714.18</v>
      </c>
    </row>
    <row r="666" spans="1:13" x14ac:dyDescent="0.25">
      <c r="A666">
        <v>1000</v>
      </c>
      <c r="B666">
        <v>1000</v>
      </c>
      <c r="C666" s="1">
        <v>45961</v>
      </c>
      <c r="D666">
        <v>95475</v>
      </c>
      <c r="E666">
        <v>240</v>
      </c>
      <c r="F666" s="2">
        <v>2053.23</v>
      </c>
      <c r="G666" s="1">
        <v>45965</v>
      </c>
      <c r="I666" t="s">
        <v>9</v>
      </c>
      <c r="J666" s="14">
        <f>IFERROR(VLOOKUP(D666,'INf. RRHH'!$A:$B,2,0),0)</f>
        <v>0</v>
      </c>
      <c r="K666" s="16">
        <f t="shared" si="30"/>
        <v>2053.23</v>
      </c>
      <c r="L666" s="17">
        <f t="shared" si="31"/>
        <v>0</v>
      </c>
      <c r="M666" s="18">
        <f t="shared" si="32"/>
        <v>2053.23</v>
      </c>
    </row>
    <row r="667" spans="1:13" x14ac:dyDescent="0.25">
      <c r="A667">
        <v>1000</v>
      </c>
      <c r="B667">
        <v>1000</v>
      </c>
      <c r="C667" s="1">
        <v>45961</v>
      </c>
      <c r="D667">
        <v>95502</v>
      </c>
      <c r="E667">
        <v>240</v>
      </c>
      <c r="F667" s="2">
        <v>5648.88</v>
      </c>
      <c r="G667" s="1">
        <v>45965</v>
      </c>
      <c r="I667" t="s">
        <v>9</v>
      </c>
      <c r="J667" s="14">
        <f>IFERROR(VLOOKUP(D667,'INf. RRHH'!$A:$B,2,0),0)</f>
        <v>0</v>
      </c>
      <c r="K667" s="16">
        <f t="shared" si="30"/>
        <v>5648.88</v>
      </c>
      <c r="L667" s="17">
        <f t="shared" si="31"/>
        <v>0</v>
      </c>
      <c r="M667" s="18">
        <f t="shared" si="32"/>
        <v>5648.88</v>
      </c>
    </row>
    <row r="668" spans="1:13" x14ac:dyDescent="0.25">
      <c r="A668">
        <v>1000</v>
      </c>
      <c r="B668">
        <v>1000</v>
      </c>
      <c r="C668" s="1">
        <v>45961</v>
      </c>
      <c r="D668">
        <v>4096</v>
      </c>
      <c r="E668">
        <v>256</v>
      </c>
      <c r="F668" s="2">
        <v>6321.34</v>
      </c>
      <c r="G668" s="1">
        <v>45965</v>
      </c>
      <c r="I668" t="s">
        <v>9</v>
      </c>
      <c r="J668" s="14">
        <f>IFERROR(VLOOKUP(D668,'INf. RRHH'!$A:$B,2,0),0)</f>
        <v>2900</v>
      </c>
      <c r="K668" s="16">
        <f t="shared" si="30"/>
        <v>3421.34</v>
      </c>
      <c r="L668" s="17">
        <f t="shared" si="31"/>
        <v>966.67</v>
      </c>
      <c r="M668" s="18">
        <f t="shared" si="32"/>
        <v>4388.01</v>
      </c>
    </row>
    <row r="669" spans="1:13" x14ac:dyDescent="0.25">
      <c r="A669">
        <v>1000</v>
      </c>
      <c r="B669">
        <v>1000</v>
      </c>
      <c r="C669" s="1">
        <v>45961</v>
      </c>
      <c r="D669">
        <v>4097</v>
      </c>
      <c r="E669">
        <v>432</v>
      </c>
      <c r="F669" s="2">
        <v>7014.83</v>
      </c>
      <c r="G669" s="1">
        <v>45965</v>
      </c>
      <c r="I669" t="s">
        <v>9</v>
      </c>
      <c r="J669" s="14">
        <f>IFERROR(VLOOKUP(D669,'INf. RRHH'!$A:$B,2,0),0)</f>
        <v>2900</v>
      </c>
      <c r="K669" s="16">
        <f t="shared" si="30"/>
        <v>4114.83</v>
      </c>
      <c r="L669" s="17">
        <f t="shared" si="31"/>
        <v>966.67</v>
      </c>
      <c r="M669" s="18">
        <f t="shared" si="32"/>
        <v>5081.5</v>
      </c>
    </row>
    <row r="670" spans="1:13" x14ac:dyDescent="0.25">
      <c r="A670">
        <v>1000</v>
      </c>
      <c r="B670">
        <v>1000</v>
      </c>
      <c r="C670" s="1">
        <v>45961</v>
      </c>
      <c r="D670">
        <v>7525</v>
      </c>
      <c r="E670">
        <v>240</v>
      </c>
      <c r="F670" s="2">
        <v>6289.86</v>
      </c>
      <c r="G670" s="1">
        <v>45965</v>
      </c>
      <c r="I670" t="s">
        <v>9</v>
      </c>
      <c r="J670" s="14">
        <f>IFERROR(VLOOKUP(D670,'INf. RRHH'!$A:$B,2,0),0)</f>
        <v>2900</v>
      </c>
      <c r="K670" s="16">
        <f t="shared" si="30"/>
        <v>3389.8599999999997</v>
      </c>
      <c r="L670" s="17">
        <f t="shared" si="31"/>
        <v>966.67</v>
      </c>
      <c r="M670" s="18">
        <f t="shared" si="32"/>
        <v>4356.53</v>
      </c>
    </row>
    <row r="671" spans="1:13" x14ac:dyDescent="0.25">
      <c r="A671">
        <v>1000</v>
      </c>
      <c r="B671">
        <v>1000</v>
      </c>
      <c r="C671" s="1">
        <v>45961</v>
      </c>
      <c r="D671">
        <v>7560</v>
      </c>
      <c r="E671">
        <v>356</v>
      </c>
      <c r="F671" s="2">
        <v>7780.24</v>
      </c>
      <c r="G671" s="1">
        <v>45965</v>
      </c>
      <c r="I671" t="s">
        <v>9</v>
      </c>
      <c r="J671" s="14">
        <f>IFERROR(VLOOKUP(D671,'INf. RRHH'!$A:$B,2,0),0)</f>
        <v>2900</v>
      </c>
      <c r="K671" s="16">
        <f t="shared" si="30"/>
        <v>4880.24</v>
      </c>
      <c r="L671" s="17">
        <f t="shared" si="31"/>
        <v>966.67</v>
      </c>
      <c r="M671" s="18">
        <f t="shared" si="32"/>
        <v>5846.91</v>
      </c>
    </row>
    <row r="672" spans="1:13" x14ac:dyDescent="0.25">
      <c r="A672">
        <v>1000</v>
      </c>
      <c r="B672">
        <v>1000</v>
      </c>
      <c r="C672" s="1">
        <v>45961</v>
      </c>
      <c r="D672">
        <v>7725</v>
      </c>
      <c r="E672">
        <v>382</v>
      </c>
      <c r="F672" s="2">
        <v>7932.72</v>
      </c>
      <c r="G672" s="1">
        <v>45965</v>
      </c>
      <c r="I672" t="s">
        <v>9</v>
      </c>
      <c r="J672" s="14">
        <f>IFERROR(VLOOKUP(D672,'INf. RRHH'!$A:$B,2,0),0)</f>
        <v>2900</v>
      </c>
      <c r="K672" s="16">
        <f t="shared" si="30"/>
        <v>5032.72</v>
      </c>
      <c r="L672" s="17">
        <f t="shared" si="31"/>
        <v>966.67</v>
      </c>
      <c r="M672" s="18">
        <f t="shared" si="32"/>
        <v>5999.39</v>
      </c>
    </row>
    <row r="673" spans="1:13" x14ac:dyDescent="0.25">
      <c r="A673">
        <v>1000</v>
      </c>
      <c r="B673">
        <v>1000</v>
      </c>
      <c r="C673" s="1">
        <v>45961</v>
      </c>
      <c r="D673">
        <v>7950</v>
      </c>
      <c r="E673">
        <v>307</v>
      </c>
      <c r="F673" s="2">
        <v>6566.15</v>
      </c>
      <c r="G673" s="1">
        <v>45965</v>
      </c>
      <c r="I673" t="s">
        <v>9</v>
      </c>
      <c r="J673" s="14">
        <f>IFERROR(VLOOKUP(D673,'INf. RRHH'!$A:$B,2,0),0)</f>
        <v>2900</v>
      </c>
      <c r="K673" s="16">
        <f t="shared" si="30"/>
        <v>3666.1499999999996</v>
      </c>
      <c r="L673" s="17">
        <f t="shared" si="31"/>
        <v>966.67</v>
      </c>
      <c r="M673" s="18">
        <f t="shared" si="32"/>
        <v>4632.82</v>
      </c>
    </row>
    <row r="674" spans="1:13" x14ac:dyDescent="0.25">
      <c r="A674">
        <v>1000</v>
      </c>
      <c r="B674">
        <v>1000</v>
      </c>
      <c r="C674" s="1">
        <v>45961</v>
      </c>
      <c r="D674">
        <v>90137</v>
      </c>
      <c r="E674">
        <v>145</v>
      </c>
      <c r="F674" s="2">
        <v>5175.32</v>
      </c>
      <c r="G674" s="1">
        <v>45965</v>
      </c>
      <c r="I674" t="s">
        <v>9</v>
      </c>
      <c r="J674" s="14">
        <f>IFERROR(VLOOKUP(D674,'INf. RRHH'!$A:$B,2,0),0)</f>
        <v>2900</v>
      </c>
      <c r="K674" s="16">
        <f t="shared" si="30"/>
        <v>2275.3199999999997</v>
      </c>
      <c r="L674" s="17">
        <f t="shared" si="31"/>
        <v>966.67</v>
      </c>
      <c r="M674" s="18">
        <f t="shared" si="32"/>
        <v>3241.99</v>
      </c>
    </row>
    <row r="675" spans="1:13" x14ac:dyDescent="0.25">
      <c r="A675">
        <v>1000</v>
      </c>
      <c r="B675">
        <v>1000</v>
      </c>
      <c r="C675" s="1">
        <v>45961</v>
      </c>
      <c r="D675">
        <v>90155</v>
      </c>
      <c r="E675">
        <v>8</v>
      </c>
      <c r="F675" s="2">
        <v>5616.04</v>
      </c>
      <c r="G675" s="1">
        <v>45965</v>
      </c>
      <c r="I675" t="s">
        <v>9</v>
      </c>
      <c r="J675" s="14">
        <f>IFERROR(VLOOKUP(D675,'INf. RRHH'!$A:$B,2,0),0)</f>
        <v>2900</v>
      </c>
      <c r="K675" s="16">
        <f t="shared" si="30"/>
        <v>2716.04</v>
      </c>
      <c r="L675" s="17">
        <f t="shared" si="31"/>
        <v>966.67</v>
      </c>
      <c r="M675" s="18">
        <f t="shared" si="32"/>
        <v>3682.71</v>
      </c>
    </row>
    <row r="676" spans="1:13" x14ac:dyDescent="0.25">
      <c r="A676">
        <v>1000</v>
      </c>
      <c r="B676">
        <v>1000</v>
      </c>
      <c r="C676" s="1">
        <v>45961</v>
      </c>
      <c r="D676">
        <v>90168</v>
      </c>
      <c r="E676">
        <v>328</v>
      </c>
      <c r="F676" s="2">
        <v>4993.4399999999996</v>
      </c>
      <c r="G676" s="1">
        <v>45965</v>
      </c>
      <c r="I676" t="s">
        <v>9</v>
      </c>
      <c r="J676" s="14">
        <f>IFERROR(VLOOKUP(D676,'INf. RRHH'!$A:$B,2,0),0)</f>
        <v>2900</v>
      </c>
      <c r="K676" s="16">
        <f t="shared" si="30"/>
        <v>2093.4399999999996</v>
      </c>
      <c r="L676" s="17">
        <f t="shared" si="31"/>
        <v>966.67</v>
      </c>
      <c r="M676" s="18">
        <f t="shared" si="32"/>
        <v>3060.1099999999997</v>
      </c>
    </row>
    <row r="677" spans="1:13" x14ac:dyDescent="0.25">
      <c r="A677">
        <v>1000</v>
      </c>
      <c r="B677">
        <v>1000</v>
      </c>
      <c r="C677" s="1">
        <v>45961</v>
      </c>
      <c r="D677">
        <v>90372</v>
      </c>
      <c r="E677">
        <v>331</v>
      </c>
      <c r="F677" s="2">
        <v>6039.68</v>
      </c>
      <c r="G677" s="1">
        <v>45965</v>
      </c>
      <c r="I677" t="s">
        <v>9</v>
      </c>
      <c r="J677" s="14">
        <f>IFERROR(VLOOKUP(D677,'INf. RRHH'!$A:$B,2,0),0)</f>
        <v>2900</v>
      </c>
      <c r="K677" s="16">
        <f t="shared" si="30"/>
        <v>3139.6800000000003</v>
      </c>
      <c r="L677" s="17">
        <f t="shared" si="31"/>
        <v>966.67</v>
      </c>
      <c r="M677" s="18">
        <f t="shared" si="32"/>
        <v>4106.3500000000004</v>
      </c>
    </row>
    <row r="678" spans="1:13" x14ac:dyDescent="0.25">
      <c r="A678">
        <v>1000</v>
      </c>
      <c r="B678">
        <v>1000</v>
      </c>
      <c r="C678" s="1">
        <v>45961</v>
      </c>
      <c r="D678">
        <v>90414</v>
      </c>
      <c r="E678">
        <v>313</v>
      </c>
      <c r="F678" s="2">
        <v>7581.53</v>
      </c>
      <c r="G678" s="1">
        <v>45965</v>
      </c>
      <c r="I678" t="s">
        <v>9</v>
      </c>
      <c r="J678" s="14">
        <f>IFERROR(VLOOKUP(D678,'INf. RRHH'!$A:$B,2,0),0)</f>
        <v>2900</v>
      </c>
      <c r="K678" s="16">
        <f t="shared" si="30"/>
        <v>4681.53</v>
      </c>
      <c r="L678" s="17">
        <f t="shared" si="31"/>
        <v>966.67</v>
      </c>
      <c r="M678" s="18">
        <f t="shared" si="32"/>
        <v>5648.2</v>
      </c>
    </row>
    <row r="679" spans="1:13" x14ac:dyDescent="0.25">
      <c r="A679">
        <v>1000</v>
      </c>
      <c r="B679">
        <v>1000</v>
      </c>
      <c r="C679" s="1">
        <v>45961</v>
      </c>
      <c r="D679">
        <v>90650</v>
      </c>
      <c r="E679">
        <v>201</v>
      </c>
      <c r="F679" s="2">
        <v>5200.8</v>
      </c>
      <c r="G679" s="1">
        <v>45965</v>
      </c>
      <c r="I679" t="s">
        <v>9</v>
      </c>
      <c r="J679" s="14">
        <f>IFERROR(VLOOKUP(D679,'INf. RRHH'!$A:$B,2,0),0)</f>
        <v>2900</v>
      </c>
      <c r="K679" s="16">
        <f t="shared" si="30"/>
        <v>2300.8000000000002</v>
      </c>
      <c r="L679" s="17">
        <f t="shared" si="31"/>
        <v>966.67</v>
      </c>
      <c r="M679" s="18">
        <f t="shared" si="32"/>
        <v>3267.4700000000003</v>
      </c>
    </row>
    <row r="680" spans="1:13" x14ac:dyDescent="0.25">
      <c r="A680">
        <v>1000</v>
      </c>
      <c r="B680">
        <v>1000</v>
      </c>
      <c r="C680" s="1">
        <v>45961</v>
      </c>
      <c r="D680">
        <v>90952</v>
      </c>
      <c r="E680">
        <v>380</v>
      </c>
      <c r="F680" s="2">
        <v>6794.27</v>
      </c>
      <c r="G680" s="1">
        <v>45965</v>
      </c>
      <c r="I680" t="s">
        <v>9</v>
      </c>
      <c r="J680" s="14">
        <f>IFERROR(VLOOKUP(D680,'INf. RRHH'!$A:$B,2,0),0)</f>
        <v>2900</v>
      </c>
      <c r="K680" s="16">
        <f t="shared" si="30"/>
        <v>3894.2700000000004</v>
      </c>
      <c r="L680" s="17">
        <f t="shared" si="31"/>
        <v>966.67</v>
      </c>
      <c r="M680" s="18">
        <f t="shared" si="32"/>
        <v>4860.9400000000005</v>
      </c>
    </row>
    <row r="681" spans="1:13" x14ac:dyDescent="0.25">
      <c r="A681">
        <v>1000</v>
      </c>
      <c r="B681">
        <v>1000</v>
      </c>
      <c r="C681" s="1">
        <v>45961</v>
      </c>
      <c r="D681">
        <v>91236</v>
      </c>
      <c r="E681">
        <v>327.5</v>
      </c>
      <c r="F681" s="2">
        <v>6452.7</v>
      </c>
      <c r="G681" s="1">
        <v>45965</v>
      </c>
      <c r="I681" t="s">
        <v>9</v>
      </c>
      <c r="J681" s="14">
        <f>IFERROR(VLOOKUP(D681,'INf. RRHH'!$A:$B,2,0),0)</f>
        <v>2900</v>
      </c>
      <c r="K681" s="16">
        <f t="shared" si="30"/>
        <v>3552.7</v>
      </c>
      <c r="L681" s="17">
        <f t="shared" si="31"/>
        <v>966.67</v>
      </c>
      <c r="M681" s="18">
        <f t="shared" si="32"/>
        <v>4519.37</v>
      </c>
    </row>
    <row r="682" spans="1:13" x14ac:dyDescent="0.25">
      <c r="A682">
        <v>1000</v>
      </c>
      <c r="B682">
        <v>1000</v>
      </c>
      <c r="C682" s="1">
        <v>45961</v>
      </c>
      <c r="D682">
        <v>91343</v>
      </c>
      <c r="E682">
        <v>195</v>
      </c>
      <c r="F682" s="2">
        <v>4877.2</v>
      </c>
      <c r="G682" s="1">
        <v>45965</v>
      </c>
      <c r="I682" t="s">
        <v>9</v>
      </c>
      <c r="J682" s="14">
        <f>IFERROR(VLOOKUP(D682,'INf. RRHH'!$A:$B,2,0),0)</f>
        <v>2900</v>
      </c>
      <c r="K682" s="16">
        <f t="shared" si="30"/>
        <v>1977.1999999999998</v>
      </c>
      <c r="L682" s="17">
        <f t="shared" si="31"/>
        <v>966.67</v>
      </c>
      <c r="M682" s="18">
        <f t="shared" si="32"/>
        <v>2943.87</v>
      </c>
    </row>
    <row r="683" spans="1:13" x14ac:dyDescent="0.25">
      <c r="A683">
        <v>1000</v>
      </c>
      <c r="B683">
        <v>1000</v>
      </c>
      <c r="C683" s="1">
        <v>45961</v>
      </c>
      <c r="D683">
        <v>91470</v>
      </c>
      <c r="E683">
        <v>307.5</v>
      </c>
      <c r="F683" s="2">
        <v>7140.49</v>
      </c>
      <c r="G683" s="1">
        <v>45965</v>
      </c>
      <c r="I683" t="s">
        <v>9</v>
      </c>
      <c r="J683" s="14">
        <f>IFERROR(VLOOKUP(D683,'INf. RRHH'!$A:$B,2,0),0)</f>
        <v>2900</v>
      </c>
      <c r="K683" s="16">
        <f t="shared" si="30"/>
        <v>4240.49</v>
      </c>
      <c r="L683" s="17">
        <f t="shared" si="31"/>
        <v>966.67</v>
      </c>
      <c r="M683" s="18">
        <f t="shared" si="32"/>
        <v>5207.16</v>
      </c>
    </row>
    <row r="684" spans="1:13" x14ac:dyDescent="0.25">
      <c r="A684">
        <v>1000</v>
      </c>
      <c r="B684">
        <v>1000</v>
      </c>
      <c r="C684" s="1">
        <v>45961</v>
      </c>
      <c r="D684">
        <v>91632</v>
      </c>
      <c r="E684">
        <v>356.5</v>
      </c>
      <c r="F684" s="2">
        <v>8324.94</v>
      </c>
      <c r="G684" s="1">
        <v>45965</v>
      </c>
      <c r="I684" t="s">
        <v>9</v>
      </c>
      <c r="J684" s="14">
        <f>IFERROR(VLOOKUP(D684,'INf. RRHH'!$A:$B,2,0),0)</f>
        <v>2900</v>
      </c>
      <c r="K684" s="16">
        <f t="shared" si="30"/>
        <v>5424.9400000000005</v>
      </c>
      <c r="L684" s="17">
        <f t="shared" si="31"/>
        <v>966.67</v>
      </c>
      <c r="M684" s="18">
        <f t="shared" si="32"/>
        <v>6391.6100000000006</v>
      </c>
    </row>
    <row r="685" spans="1:13" x14ac:dyDescent="0.25">
      <c r="A685">
        <v>1000</v>
      </c>
      <c r="B685">
        <v>1000</v>
      </c>
      <c r="C685" s="1">
        <v>45961</v>
      </c>
      <c r="D685">
        <v>91675</v>
      </c>
      <c r="E685">
        <v>240</v>
      </c>
      <c r="F685" s="2">
        <v>4700.2</v>
      </c>
      <c r="G685" s="1">
        <v>45965</v>
      </c>
      <c r="I685" t="s">
        <v>9</v>
      </c>
      <c r="J685" s="14">
        <f>IFERROR(VLOOKUP(D685,'INf. RRHH'!$A:$B,2,0),0)</f>
        <v>2900</v>
      </c>
      <c r="K685" s="16">
        <f t="shared" si="30"/>
        <v>1800.1999999999998</v>
      </c>
      <c r="L685" s="17">
        <f t="shared" si="31"/>
        <v>966.67</v>
      </c>
      <c r="M685" s="18">
        <f t="shared" si="32"/>
        <v>2766.87</v>
      </c>
    </row>
    <row r="686" spans="1:13" x14ac:dyDescent="0.25">
      <c r="A686">
        <v>1000</v>
      </c>
      <c r="B686">
        <v>1000</v>
      </c>
      <c r="C686" s="1">
        <v>45961</v>
      </c>
      <c r="D686">
        <v>92038</v>
      </c>
      <c r="E686">
        <v>374</v>
      </c>
      <c r="F686" s="2">
        <v>7139.48</v>
      </c>
      <c r="G686" s="1">
        <v>45965</v>
      </c>
      <c r="I686" t="s">
        <v>9</v>
      </c>
      <c r="J686" s="14">
        <f>IFERROR(VLOOKUP(D686,'INf. RRHH'!$A:$B,2,0),0)</f>
        <v>2900</v>
      </c>
      <c r="K686" s="16">
        <f t="shared" si="30"/>
        <v>4239.4799999999996</v>
      </c>
      <c r="L686" s="17">
        <f t="shared" si="31"/>
        <v>966.67</v>
      </c>
      <c r="M686" s="18">
        <f t="shared" si="32"/>
        <v>5206.1499999999996</v>
      </c>
    </row>
    <row r="687" spans="1:13" x14ac:dyDescent="0.25">
      <c r="A687">
        <v>1000</v>
      </c>
      <c r="B687">
        <v>1000</v>
      </c>
      <c r="C687" s="1">
        <v>45961</v>
      </c>
      <c r="D687">
        <v>92064</v>
      </c>
      <c r="E687">
        <v>247.25</v>
      </c>
      <c r="F687" s="2">
        <v>5856.57</v>
      </c>
      <c r="G687" s="1">
        <v>45965</v>
      </c>
      <c r="I687" t="s">
        <v>9</v>
      </c>
      <c r="J687" s="14">
        <f>IFERROR(VLOOKUP(D687,'INf. RRHH'!$A:$B,2,0),0)</f>
        <v>2900</v>
      </c>
      <c r="K687" s="16">
        <f t="shared" si="30"/>
        <v>2956.5699999999997</v>
      </c>
      <c r="L687" s="17">
        <f t="shared" si="31"/>
        <v>966.67</v>
      </c>
      <c r="M687" s="18">
        <f t="shared" si="32"/>
        <v>3923.24</v>
      </c>
    </row>
    <row r="688" spans="1:13" x14ac:dyDescent="0.25">
      <c r="A688">
        <v>1000</v>
      </c>
      <c r="B688">
        <v>1000</v>
      </c>
      <c r="C688" s="1">
        <v>45961</v>
      </c>
      <c r="D688">
        <v>92073</v>
      </c>
      <c r="E688">
        <v>304.5</v>
      </c>
      <c r="F688" s="2">
        <v>6931.22</v>
      </c>
      <c r="G688" s="1">
        <v>45965</v>
      </c>
      <c r="I688" t="s">
        <v>9</v>
      </c>
      <c r="J688" s="14">
        <f>IFERROR(VLOOKUP(D688,'INf. RRHH'!$A:$B,2,0),0)</f>
        <v>2900</v>
      </c>
      <c r="K688" s="16">
        <f t="shared" si="30"/>
        <v>4031.2200000000003</v>
      </c>
      <c r="L688" s="17">
        <f t="shared" si="31"/>
        <v>966.67</v>
      </c>
      <c r="M688" s="18">
        <f t="shared" si="32"/>
        <v>4997.8900000000003</v>
      </c>
    </row>
    <row r="689" spans="1:13" x14ac:dyDescent="0.25">
      <c r="A689">
        <v>1000</v>
      </c>
      <c r="B689">
        <v>1000</v>
      </c>
      <c r="C689" s="1">
        <v>45961</v>
      </c>
      <c r="D689">
        <v>92180</v>
      </c>
      <c r="E689">
        <v>252.5</v>
      </c>
      <c r="F689" s="2">
        <v>5784.43</v>
      </c>
      <c r="G689" s="1">
        <v>45965</v>
      </c>
      <c r="I689" t="s">
        <v>9</v>
      </c>
      <c r="J689" s="14">
        <f>IFERROR(VLOOKUP(D689,'INf. RRHH'!$A:$B,2,0),0)</f>
        <v>2900</v>
      </c>
      <c r="K689" s="16">
        <f t="shared" si="30"/>
        <v>2884.4300000000003</v>
      </c>
      <c r="L689" s="17">
        <f t="shared" si="31"/>
        <v>966.67</v>
      </c>
      <c r="M689" s="18">
        <f t="shared" si="32"/>
        <v>3851.1000000000004</v>
      </c>
    </row>
    <row r="690" spans="1:13" x14ac:dyDescent="0.25">
      <c r="A690">
        <v>1000</v>
      </c>
      <c r="B690">
        <v>1000</v>
      </c>
      <c r="C690" s="1">
        <v>45961</v>
      </c>
      <c r="D690">
        <v>92253</v>
      </c>
      <c r="E690">
        <v>313.5</v>
      </c>
      <c r="F690" s="2">
        <v>7150.27</v>
      </c>
      <c r="G690" s="1">
        <v>45965</v>
      </c>
      <c r="I690" t="s">
        <v>9</v>
      </c>
      <c r="J690" s="14">
        <f>IFERROR(VLOOKUP(D690,'INf. RRHH'!$A:$B,2,0),0)</f>
        <v>2900</v>
      </c>
      <c r="K690" s="16">
        <f t="shared" si="30"/>
        <v>4250.2700000000004</v>
      </c>
      <c r="L690" s="17">
        <f t="shared" si="31"/>
        <v>966.67</v>
      </c>
      <c r="M690" s="18">
        <f t="shared" si="32"/>
        <v>5216.9400000000005</v>
      </c>
    </row>
    <row r="691" spans="1:13" x14ac:dyDescent="0.25">
      <c r="A691">
        <v>1000</v>
      </c>
      <c r="B691">
        <v>1000</v>
      </c>
      <c r="C691" s="1">
        <v>45961</v>
      </c>
      <c r="D691">
        <v>92307</v>
      </c>
      <c r="E691">
        <v>313</v>
      </c>
      <c r="F691" s="2">
        <v>7279.67</v>
      </c>
      <c r="G691" s="1">
        <v>45965</v>
      </c>
      <c r="I691" t="s">
        <v>9</v>
      </c>
      <c r="J691" s="14">
        <f>IFERROR(VLOOKUP(D691,'INf. RRHH'!$A:$B,2,0),0)</f>
        <v>2900</v>
      </c>
      <c r="K691" s="16">
        <f t="shared" si="30"/>
        <v>4379.67</v>
      </c>
      <c r="L691" s="17">
        <f t="shared" si="31"/>
        <v>966.67</v>
      </c>
      <c r="M691" s="18">
        <f t="shared" si="32"/>
        <v>5346.34</v>
      </c>
    </row>
    <row r="692" spans="1:13" x14ac:dyDescent="0.25">
      <c r="A692">
        <v>1000</v>
      </c>
      <c r="B692">
        <v>1000</v>
      </c>
      <c r="C692" s="1">
        <v>45961</v>
      </c>
      <c r="D692">
        <v>92325</v>
      </c>
      <c r="E692">
        <v>436</v>
      </c>
      <c r="F692" s="2">
        <v>6392.18</v>
      </c>
      <c r="G692" s="1">
        <v>45965</v>
      </c>
      <c r="I692" t="s">
        <v>9</v>
      </c>
      <c r="J692" s="14">
        <f>IFERROR(VLOOKUP(D692,'INf. RRHH'!$A:$B,2,0),0)</f>
        <v>2900</v>
      </c>
      <c r="K692" s="16">
        <f t="shared" si="30"/>
        <v>3492.1800000000003</v>
      </c>
      <c r="L692" s="17">
        <f t="shared" si="31"/>
        <v>966.67</v>
      </c>
      <c r="M692" s="18">
        <f t="shared" si="32"/>
        <v>4458.8500000000004</v>
      </c>
    </row>
    <row r="693" spans="1:13" x14ac:dyDescent="0.25">
      <c r="A693">
        <v>1000</v>
      </c>
      <c r="B693">
        <v>1000</v>
      </c>
      <c r="C693" s="1">
        <v>45961</v>
      </c>
      <c r="D693">
        <v>92424</v>
      </c>
      <c r="E693">
        <v>240</v>
      </c>
      <c r="F693" s="2">
        <v>4425.83</v>
      </c>
      <c r="G693" s="1">
        <v>45965</v>
      </c>
      <c r="I693" t="s">
        <v>9</v>
      </c>
      <c r="J693" s="14">
        <f>IFERROR(VLOOKUP(D693,'INf. RRHH'!$A:$B,2,0),0)</f>
        <v>2900</v>
      </c>
      <c r="K693" s="16">
        <f t="shared" si="30"/>
        <v>1525.83</v>
      </c>
      <c r="L693" s="17">
        <f t="shared" si="31"/>
        <v>966.67</v>
      </c>
      <c r="M693" s="18">
        <f t="shared" si="32"/>
        <v>2492.5</v>
      </c>
    </row>
    <row r="694" spans="1:13" x14ac:dyDescent="0.25">
      <c r="A694">
        <v>1000</v>
      </c>
      <c r="B694">
        <v>1000</v>
      </c>
      <c r="C694" s="1">
        <v>45961</v>
      </c>
      <c r="D694">
        <v>92429</v>
      </c>
      <c r="E694">
        <v>269.25</v>
      </c>
      <c r="F694" s="2">
        <v>5419.12</v>
      </c>
      <c r="G694" s="1">
        <v>45965</v>
      </c>
      <c r="I694" t="s">
        <v>9</v>
      </c>
      <c r="J694" s="14">
        <f>IFERROR(VLOOKUP(D694,'INf. RRHH'!$A:$B,2,0),0)</f>
        <v>2900</v>
      </c>
      <c r="K694" s="16">
        <f t="shared" si="30"/>
        <v>2519.12</v>
      </c>
      <c r="L694" s="17">
        <f t="shared" si="31"/>
        <v>966.67</v>
      </c>
      <c r="M694" s="18">
        <f t="shared" si="32"/>
        <v>3485.79</v>
      </c>
    </row>
    <row r="695" spans="1:13" x14ac:dyDescent="0.25">
      <c r="A695">
        <v>1000</v>
      </c>
      <c r="B695">
        <v>1000</v>
      </c>
      <c r="C695" s="1">
        <v>45961</v>
      </c>
      <c r="D695">
        <v>92554</v>
      </c>
      <c r="E695">
        <v>409</v>
      </c>
      <c r="F695" s="2">
        <v>6531.97</v>
      </c>
      <c r="G695" s="1">
        <v>45965</v>
      </c>
      <c r="I695" t="s">
        <v>9</v>
      </c>
      <c r="J695" s="14">
        <f>IFERROR(VLOOKUP(D695,'INf. RRHH'!$A:$B,2,0),0)</f>
        <v>2900</v>
      </c>
      <c r="K695" s="16">
        <f t="shared" si="30"/>
        <v>3631.9700000000003</v>
      </c>
      <c r="L695" s="17">
        <f t="shared" si="31"/>
        <v>966.67</v>
      </c>
      <c r="M695" s="18">
        <f t="shared" si="32"/>
        <v>4598.6400000000003</v>
      </c>
    </row>
    <row r="696" spans="1:13" x14ac:dyDescent="0.25">
      <c r="A696">
        <v>1000</v>
      </c>
      <c r="B696">
        <v>1000</v>
      </c>
      <c r="C696" s="1">
        <v>45961</v>
      </c>
      <c r="D696">
        <v>92563</v>
      </c>
      <c r="E696">
        <v>248</v>
      </c>
      <c r="F696" s="2">
        <v>5342.02</v>
      </c>
      <c r="G696" s="1">
        <v>45965</v>
      </c>
      <c r="I696" t="s">
        <v>9</v>
      </c>
      <c r="J696" s="14">
        <f>IFERROR(VLOOKUP(D696,'INf. RRHH'!$A:$B,2,0),0)</f>
        <v>2900</v>
      </c>
      <c r="K696" s="16">
        <f t="shared" si="30"/>
        <v>2442.0200000000004</v>
      </c>
      <c r="L696" s="17">
        <f t="shared" si="31"/>
        <v>966.67</v>
      </c>
      <c r="M696" s="18">
        <f t="shared" si="32"/>
        <v>3408.6900000000005</v>
      </c>
    </row>
    <row r="697" spans="1:13" x14ac:dyDescent="0.25">
      <c r="A697">
        <v>1000</v>
      </c>
      <c r="B697">
        <v>1000</v>
      </c>
      <c r="C697" s="1">
        <v>45961</v>
      </c>
      <c r="D697">
        <v>92626</v>
      </c>
      <c r="E697">
        <v>304</v>
      </c>
      <c r="F697" s="2">
        <v>5652.46</v>
      </c>
      <c r="G697" s="1">
        <v>45965</v>
      </c>
      <c r="I697" t="s">
        <v>9</v>
      </c>
      <c r="J697" s="14">
        <f>IFERROR(VLOOKUP(D697,'INf. RRHH'!$A:$B,2,0),0)</f>
        <v>2900</v>
      </c>
      <c r="K697" s="16">
        <f t="shared" si="30"/>
        <v>2752.46</v>
      </c>
      <c r="L697" s="17">
        <f t="shared" si="31"/>
        <v>966.67</v>
      </c>
      <c r="M697" s="18">
        <f t="shared" si="32"/>
        <v>3719.13</v>
      </c>
    </row>
    <row r="698" spans="1:13" x14ac:dyDescent="0.25">
      <c r="A698">
        <v>1000</v>
      </c>
      <c r="B698">
        <v>1000</v>
      </c>
      <c r="C698" s="1">
        <v>45961</v>
      </c>
      <c r="D698">
        <v>92713</v>
      </c>
      <c r="E698">
        <v>353.5</v>
      </c>
      <c r="F698" s="2">
        <v>7890.46</v>
      </c>
      <c r="G698" s="1">
        <v>45965</v>
      </c>
      <c r="I698" t="s">
        <v>9</v>
      </c>
      <c r="J698" s="14">
        <f>IFERROR(VLOOKUP(D698,'INf. RRHH'!$A:$B,2,0),0)</f>
        <v>2900</v>
      </c>
      <c r="K698" s="16">
        <f t="shared" si="30"/>
        <v>4990.46</v>
      </c>
      <c r="L698" s="17">
        <f t="shared" si="31"/>
        <v>966.67</v>
      </c>
      <c r="M698" s="18">
        <f t="shared" si="32"/>
        <v>5957.13</v>
      </c>
    </row>
    <row r="699" spans="1:13" x14ac:dyDescent="0.25">
      <c r="A699">
        <v>1000</v>
      </c>
      <c r="B699">
        <v>1000</v>
      </c>
      <c r="C699" s="1">
        <v>45961</v>
      </c>
      <c r="D699">
        <v>92812</v>
      </c>
      <c r="E699">
        <v>385</v>
      </c>
      <c r="F699" s="2">
        <v>10441.93</v>
      </c>
      <c r="G699" s="1">
        <v>45965</v>
      </c>
      <c r="I699" t="s">
        <v>9</v>
      </c>
      <c r="J699" s="14">
        <f>IFERROR(VLOOKUP(D699,'INf. RRHH'!$A:$B,2,0),0)</f>
        <v>2900</v>
      </c>
      <c r="K699" s="16">
        <f t="shared" si="30"/>
        <v>7541.93</v>
      </c>
      <c r="L699" s="17">
        <f t="shared" si="31"/>
        <v>966.67</v>
      </c>
      <c r="M699" s="18">
        <f t="shared" si="32"/>
        <v>8508.6</v>
      </c>
    </row>
    <row r="700" spans="1:13" x14ac:dyDescent="0.25">
      <c r="A700">
        <v>1000</v>
      </c>
      <c r="B700">
        <v>1000</v>
      </c>
      <c r="C700" s="1">
        <v>45961</v>
      </c>
      <c r="D700">
        <v>93054</v>
      </c>
      <c r="E700">
        <v>32</v>
      </c>
      <c r="F700" s="2">
        <v>6389.07</v>
      </c>
      <c r="G700" s="1">
        <v>45965</v>
      </c>
      <c r="I700" t="s">
        <v>9</v>
      </c>
      <c r="J700" s="14">
        <f>IFERROR(VLOOKUP(D700,'INf. RRHH'!$A:$B,2,0),0)</f>
        <v>2900</v>
      </c>
      <c r="K700" s="16">
        <f t="shared" si="30"/>
        <v>3489.0699999999997</v>
      </c>
      <c r="L700" s="17">
        <f t="shared" si="31"/>
        <v>966.67</v>
      </c>
      <c r="M700" s="18">
        <f t="shared" si="32"/>
        <v>4455.74</v>
      </c>
    </row>
    <row r="701" spans="1:13" x14ac:dyDescent="0.25">
      <c r="A701">
        <v>1000</v>
      </c>
      <c r="B701">
        <v>1000</v>
      </c>
      <c r="C701" s="1">
        <v>45961</v>
      </c>
      <c r="D701">
        <v>93144</v>
      </c>
      <c r="E701">
        <v>232</v>
      </c>
      <c r="F701" s="2">
        <v>4071.26</v>
      </c>
      <c r="G701" s="1">
        <v>45965</v>
      </c>
      <c r="I701" t="s">
        <v>9</v>
      </c>
      <c r="J701" s="14">
        <f>IFERROR(VLOOKUP(D701,'INf. RRHH'!$A:$B,2,0),0)</f>
        <v>2900</v>
      </c>
      <c r="K701" s="16">
        <f t="shared" si="30"/>
        <v>1171.2600000000002</v>
      </c>
      <c r="L701" s="17">
        <f t="shared" si="31"/>
        <v>966.67</v>
      </c>
      <c r="M701" s="18">
        <f t="shared" si="32"/>
        <v>2137.9300000000003</v>
      </c>
    </row>
    <row r="702" spans="1:13" x14ac:dyDescent="0.25">
      <c r="A702">
        <v>1000</v>
      </c>
      <c r="B702">
        <v>1000</v>
      </c>
      <c r="C702" s="1">
        <v>45961</v>
      </c>
      <c r="D702">
        <v>93314</v>
      </c>
      <c r="E702">
        <v>185</v>
      </c>
      <c r="F702" s="2">
        <v>5614.48</v>
      </c>
      <c r="G702" s="1">
        <v>45965</v>
      </c>
      <c r="I702" t="s">
        <v>9</v>
      </c>
      <c r="J702" s="14">
        <f>IFERROR(VLOOKUP(D702,'INf. RRHH'!$A:$B,2,0),0)</f>
        <v>2900</v>
      </c>
      <c r="K702" s="16">
        <f t="shared" si="30"/>
        <v>2714.4799999999996</v>
      </c>
      <c r="L702" s="17">
        <f t="shared" si="31"/>
        <v>966.67</v>
      </c>
      <c r="M702" s="18">
        <f t="shared" si="32"/>
        <v>3681.1499999999996</v>
      </c>
    </row>
    <row r="703" spans="1:13" x14ac:dyDescent="0.25">
      <c r="A703">
        <v>1000</v>
      </c>
      <c r="B703">
        <v>1000</v>
      </c>
      <c r="C703" s="1">
        <v>45961</v>
      </c>
      <c r="D703">
        <v>93364</v>
      </c>
      <c r="E703">
        <v>222</v>
      </c>
      <c r="F703" s="2">
        <v>5201.12</v>
      </c>
      <c r="G703" s="1">
        <v>45965</v>
      </c>
      <c r="I703" t="s">
        <v>9</v>
      </c>
      <c r="J703" s="14">
        <f>IFERROR(VLOOKUP(D703,'INf. RRHH'!$A:$B,2,0),0)</f>
        <v>2900</v>
      </c>
      <c r="K703" s="16">
        <f t="shared" si="30"/>
        <v>2301.12</v>
      </c>
      <c r="L703" s="17">
        <f t="shared" si="31"/>
        <v>966.67</v>
      </c>
      <c r="M703" s="18">
        <f t="shared" si="32"/>
        <v>3267.79</v>
      </c>
    </row>
    <row r="704" spans="1:13" x14ac:dyDescent="0.25">
      <c r="A704">
        <v>1000</v>
      </c>
      <c r="B704">
        <v>1000</v>
      </c>
      <c r="C704" s="1">
        <v>45961</v>
      </c>
      <c r="D704">
        <v>93422</v>
      </c>
      <c r="E704">
        <v>209</v>
      </c>
      <c r="F704" s="2">
        <v>3689.66</v>
      </c>
      <c r="G704" s="1">
        <v>45965</v>
      </c>
      <c r="I704" t="s">
        <v>9</v>
      </c>
      <c r="J704" s="14">
        <f>IFERROR(VLOOKUP(D704,'INf. RRHH'!$A:$B,2,0),0)</f>
        <v>2900</v>
      </c>
      <c r="K704" s="16">
        <f t="shared" si="30"/>
        <v>789.65999999999985</v>
      </c>
      <c r="L704" s="17">
        <f t="shared" si="31"/>
        <v>966.67</v>
      </c>
      <c r="M704" s="18">
        <f t="shared" si="32"/>
        <v>1756.33</v>
      </c>
    </row>
    <row r="705" spans="1:13" x14ac:dyDescent="0.25">
      <c r="A705">
        <v>1000</v>
      </c>
      <c r="B705">
        <v>1000</v>
      </c>
      <c r="C705" s="1">
        <v>45961</v>
      </c>
      <c r="D705">
        <v>93431</v>
      </c>
      <c r="E705">
        <v>113</v>
      </c>
      <c r="F705" s="2">
        <v>5419.04</v>
      </c>
      <c r="G705" s="1">
        <v>45965</v>
      </c>
      <c r="I705" t="s">
        <v>9</v>
      </c>
      <c r="J705" s="14">
        <f>IFERROR(VLOOKUP(D705,'INf. RRHH'!$A:$B,2,0),0)</f>
        <v>2900</v>
      </c>
      <c r="K705" s="16">
        <f t="shared" si="30"/>
        <v>2519.04</v>
      </c>
      <c r="L705" s="17">
        <f t="shared" si="31"/>
        <v>966.67</v>
      </c>
      <c r="M705" s="18">
        <f t="shared" si="32"/>
        <v>3485.71</v>
      </c>
    </row>
    <row r="706" spans="1:13" x14ac:dyDescent="0.25">
      <c r="A706">
        <v>1000</v>
      </c>
      <c r="B706">
        <v>1000</v>
      </c>
      <c r="C706" s="1">
        <v>45961</v>
      </c>
      <c r="D706">
        <v>93760</v>
      </c>
      <c r="E706">
        <v>240</v>
      </c>
      <c r="F706" s="2">
        <v>5376.24</v>
      </c>
      <c r="G706" s="1">
        <v>45965</v>
      </c>
      <c r="I706" t="s">
        <v>9</v>
      </c>
      <c r="J706" s="14">
        <f>IFERROR(VLOOKUP(D706,'INf. RRHH'!$A:$B,2,0),0)</f>
        <v>2900</v>
      </c>
      <c r="K706" s="16">
        <f t="shared" si="30"/>
        <v>2476.2399999999998</v>
      </c>
      <c r="L706" s="17">
        <f t="shared" si="31"/>
        <v>966.67</v>
      </c>
      <c r="M706" s="18">
        <f t="shared" si="32"/>
        <v>3442.91</v>
      </c>
    </row>
    <row r="707" spans="1:13" x14ac:dyDescent="0.25">
      <c r="A707">
        <v>1000</v>
      </c>
      <c r="B707">
        <v>1000</v>
      </c>
      <c r="C707" s="1">
        <v>45961</v>
      </c>
      <c r="D707">
        <v>93927</v>
      </c>
      <c r="E707">
        <v>275</v>
      </c>
      <c r="F707" s="2">
        <v>6000.22</v>
      </c>
      <c r="G707" s="1">
        <v>45965</v>
      </c>
      <c r="I707" t="s">
        <v>9</v>
      </c>
      <c r="J707" s="14">
        <f>IFERROR(VLOOKUP(D707,'INf. RRHH'!$A:$B,2,0),0)</f>
        <v>2900</v>
      </c>
      <c r="K707" s="16">
        <f t="shared" ref="K707:K770" si="33">+F707-J707</f>
        <v>3100.2200000000003</v>
      </c>
      <c r="L707" s="17">
        <f t="shared" ref="L707:L770" si="34">ROUND(J707/3,2)</f>
        <v>966.67</v>
      </c>
      <c r="M707" s="18">
        <f t="shared" ref="M707:M770" si="35">+K707+L707</f>
        <v>4066.8900000000003</v>
      </c>
    </row>
    <row r="708" spans="1:13" x14ac:dyDescent="0.25">
      <c r="A708">
        <v>1000</v>
      </c>
      <c r="B708">
        <v>1000</v>
      </c>
      <c r="C708" s="1">
        <v>45961</v>
      </c>
      <c r="D708">
        <v>93940</v>
      </c>
      <c r="E708">
        <v>104</v>
      </c>
      <c r="F708" s="2">
        <v>4508.17</v>
      </c>
      <c r="G708" s="1">
        <v>45965</v>
      </c>
      <c r="I708" t="s">
        <v>9</v>
      </c>
      <c r="J708" s="14">
        <f>IFERROR(VLOOKUP(D708,'INf. RRHH'!$A:$B,2,0),0)</f>
        <v>2900</v>
      </c>
      <c r="K708" s="16">
        <f t="shared" si="33"/>
        <v>1608.17</v>
      </c>
      <c r="L708" s="17">
        <f t="shared" si="34"/>
        <v>966.67</v>
      </c>
      <c r="M708" s="18">
        <f t="shared" si="35"/>
        <v>2574.84</v>
      </c>
    </row>
    <row r="709" spans="1:13" x14ac:dyDescent="0.25">
      <c r="A709">
        <v>1000</v>
      </c>
      <c r="B709">
        <v>1000</v>
      </c>
      <c r="C709" s="1">
        <v>45961</v>
      </c>
      <c r="D709">
        <v>94240</v>
      </c>
      <c r="E709">
        <v>48</v>
      </c>
      <c r="F709" s="2">
        <v>5617.43</v>
      </c>
      <c r="G709" s="1">
        <v>45965</v>
      </c>
      <c r="I709" t="s">
        <v>9</v>
      </c>
      <c r="J709" s="14">
        <f>IFERROR(VLOOKUP(D709,'INf. RRHH'!$A:$B,2,0),0)</f>
        <v>2900</v>
      </c>
      <c r="K709" s="16">
        <f t="shared" si="33"/>
        <v>2717.4300000000003</v>
      </c>
      <c r="L709" s="17">
        <f t="shared" si="34"/>
        <v>966.67</v>
      </c>
      <c r="M709" s="18">
        <f t="shared" si="35"/>
        <v>3684.1000000000004</v>
      </c>
    </row>
    <row r="710" spans="1:13" x14ac:dyDescent="0.25">
      <c r="A710">
        <v>1000</v>
      </c>
      <c r="B710">
        <v>1000</v>
      </c>
      <c r="C710" s="1">
        <v>45961</v>
      </c>
      <c r="D710">
        <v>94262</v>
      </c>
      <c r="E710">
        <v>338</v>
      </c>
      <c r="F710" s="2">
        <v>6951.52</v>
      </c>
      <c r="G710" s="1">
        <v>45965</v>
      </c>
      <c r="I710" t="s">
        <v>9</v>
      </c>
      <c r="J710" s="14">
        <f>IFERROR(VLOOKUP(D710,'INf. RRHH'!$A:$B,2,0),0)</f>
        <v>2900</v>
      </c>
      <c r="K710" s="16">
        <f t="shared" si="33"/>
        <v>4051.5200000000004</v>
      </c>
      <c r="L710" s="17">
        <f t="shared" si="34"/>
        <v>966.67</v>
      </c>
      <c r="M710" s="18">
        <f t="shared" si="35"/>
        <v>5018.1900000000005</v>
      </c>
    </row>
    <row r="711" spans="1:13" x14ac:dyDescent="0.25">
      <c r="A711">
        <v>1000</v>
      </c>
      <c r="B711">
        <v>1000</v>
      </c>
      <c r="C711" s="1">
        <v>45961</v>
      </c>
      <c r="D711">
        <v>94408</v>
      </c>
      <c r="E711">
        <v>232</v>
      </c>
      <c r="F711" s="2">
        <v>5297.93</v>
      </c>
      <c r="G711" s="1">
        <v>45965</v>
      </c>
      <c r="I711" t="s">
        <v>9</v>
      </c>
      <c r="J711" s="14">
        <f>IFERROR(VLOOKUP(D711,'INf. RRHH'!$A:$B,2,0),0)</f>
        <v>2900</v>
      </c>
      <c r="K711" s="16">
        <f t="shared" si="33"/>
        <v>2397.9300000000003</v>
      </c>
      <c r="L711" s="17">
        <f t="shared" si="34"/>
        <v>966.67</v>
      </c>
      <c r="M711" s="18">
        <f t="shared" si="35"/>
        <v>3364.6000000000004</v>
      </c>
    </row>
    <row r="712" spans="1:13" x14ac:dyDescent="0.25">
      <c r="A712">
        <v>1000</v>
      </c>
      <c r="B712">
        <v>1000</v>
      </c>
      <c r="C712" s="1">
        <v>45961</v>
      </c>
      <c r="D712">
        <v>94917</v>
      </c>
      <c r="E712">
        <v>251</v>
      </c>
      <c r="F712" s="2">
        <v>5485.31</v>
      </c>
      <c r="G712" s="1">
        <v>45965</v>
      </c>
      <c r="I712" t="s">
        <v>9</v>
      </c>
      <c r="J712" s="14">
        <f>IFERROR(VLOOKUP(D712,'INf. RRHH'!$A:$B,2,0),0)</f>
        <v>2900</v>
      </c>
      <c r="K712" s="16">
        <f t="shared" si="33"/>
        <v>2585.3100000000004</v>
      </c>
      <c r="L712" s="17">
        <f t="shared" si="34"/>
        <v>966.67</v>
      </c>
      <c r="M712" s="18">
        <f t="shared" si="35"/>
        <v>3551.9800000000005</v>
      </c>
    </row>
    <row r="713" spans="1:13" x14ac:dyDescent="0.25">
      <c r="A713">
        <v>1000</v>
      </c>
      <c r="B713">
        <v>1000</v>
      </c>
      <c r="C713" s="1">
        <v>45961</v>
      </c>
      <c r="D713">
        <v>94935</v>
      </c>
      <c r="E713">
        <v>248</v>
      </c>
      <c r="F713" s="2">
        <v>5833.07</v>
      </c>
      <c r="G713" s="1">
        <v>45965</v>
      </c>
      <c r="I713" t="s">
        <v>9</v>
      </c>
      <c r="J713" s="14">
        <f>IFERROR(VLOOKUP(D713,'INf. RRHH'!$A:$B,2,0),0)</f>
        <v>2900</v>
      </c>
      <c r="K713" s="16">
        <f t="shared" si="33"/>
        <v>2933.0699999999997</v>
      </c>
      <c r="L713" s="17">
        <f t="shared" si="34"/>
        <v>966.67</v>
      </c>
      <c r="M713" s="18">
        <f t="shared" si="35"/>
        <v>3899.74</v>
      </c>
    </row>
    <row r="714" spans="1:13" x14ac:dyDescent="0.25">
      <c r="A714">
        <v>1000</v>
      </c>
      <c r="B714">
        <v>1000</v>
      </c>
      <c r="C714" s="1">
        <v>45961</v>
      </c>
      <c r="D714">
        <v>95243</v>
      </c>
      <c r="E714">
        <v>240</v>
      </c>
      <c r="F714" s="2">
        <v>5134.1899999999996</v>
      </c>
      <c r="G714" s="1">
        <v>45965</v>
      </c>
      <c r="I714" t="s">
        <v>9</v>
      </c>
      <c r="J714" s="14">
        <f>IFERROR(VLOOKUP(D714,'INf. RRHH'!$A:$B,2,0),0)</f>
        <v>2900</v>
      </c>
      <c r="K714" s="16">
        <f t="shared" si="33"/>
        <v>2234.1899999999996</v>
      </c>
      <c r="L714" s="17">
        <f t="shared" si="34"/>
        <v>966.67</v>
      </c>
      <c r="M714" s="18">
        <f t="shared" si="35"/>
        <v>3200.8599999999997</v>
      </c>
    </row>
    <row r="715" spans="1:13" x14ac:dyDescent="0.25">
      <c r="A715">
        <v>1000</v>
      </c>
      <c r="B715">
        <v>1000</v>
      </c>
      <c r="C715" s="1">
        <v>45961</v>
      </c>
      <c r="D715">
        <v>95375</v>
      </c>
      <c r="E715">
        <v>240</v>
      </c>
      <c r="F715" s="2">
        <v>4914.46</v>
      </c>
      <c r="G715" s="1">
        <v>45965</v>
      </c>
      <c r="I715" t="s">
        <v>9</v>
      </c>
      <c r="J715" s="14">
        <f>IFERROR(VLOOKUP(D715,'INf. RRHH'!$A:$B,2,0),0)</f>
        <v>2900</v>
      </c>
      <c r="K715" s="16">
        <f t="shared" si="33"/>
        <v>2014.46</v>
      </c>
      <c r="L715" s="17">
        <f t="shared" si="34"/>
        <v>966.67</v>
      </c>
      <c r="M715" s="18">
        <f t="shared" si="35"/>
        <v>2981.13</v>
      </c>
    </row>
    <row r="716" spans="1:13" x14ac:dyDescent="0.25">
      <c r="A716">
        <v>1000</v>
      </c>
      <c r="B716">
        <v>1000</v>
      </c>
      <c r="C716" s="1">
        <v>45961</v>
      </c>
      <c r="D716">
        <v>95470</v>
      </c>
      <c r="E716">
        <v>240</v>
      </c>
      <c r="F716" s="2">
        <v>2218.96</v>
      </c>
      <c r="G716" s="1">
        <v>45965</v>
      </c>
      <c r="I716" t="s">
        <v>9</v>
      </c>
      <c r="J716" s="14">
        <f>IFERROR(VLOOKUP(D716,'INf. RRHH'!$A:$B,2,0),0)</f>
        <v>0</v>
      </c>
      <c r="K716" s="16">
        <f t="shared" si="33"/>
        <v>2218.96</v>
      </c>
      <c r="L716" s="17">
        <f t="shared" si="34"/>
        <v>0</v>
      </c>
      <c r="M716" s="18">
        <f t="shared" si="35"/>
        <v>2218.96</v>
      </c>
    </row>
    <row r="717" spans="1:13" x14ac:dyDescent="0.25">
      <c r="A717">
        <v>1000</v>
      </c>
      <c r="B717">
        <v>1000</v>
      </c>
      <c r="C717" s="1">
        <v>45961</v>
      </c>
      <c r="D717">
        <v>2937</v>
      </c>
      <c r="E717">
        <v>252.5</v>
      </c>
      <c r="F717" s="2">
        <v>6119.34</v>
      </c>
      <c r="G717" s="1">
        <v>45965</v>
      </c>
      <c r="I717" t="s">
        <v>9</v>
      </c>
      <c r="J717" s="14">
        <f>IFERROR(VLOOKUP(D717,'INf. RRHH'!$A:$B,2,0),0)</f>
        <v>2900</v>
      </c>
      <c r="K717" s="16">
        <f t="shared" si="33"/>
        <v>3219.34</v>
      </c>
      <c r="L717" s="17">
        <f t="shared" si="34"/>
        <v>966.67</v>
      </c>
      <c r="M717" s="18">
        <f t="shared" si="35"/>
        <v>4186.01</v>
      </c>
    </row>
    <row r="718" spans="1:13" x14ac:dyDescent="0.25">
      <c r="A718">
        <v>1000</v>
      </c>
      <c r="B718">
        <v>1000</v>
      </c>
      <c r="C718" s="1">
        <v>45961</v>
      </c>
      <c r="D718">
        <v>7636</v>
      </c>
      <c r="E718">
        <v>396</v>
      </c>
      <c r="F718" s="2">
        <v>7766.04</v>
      </c>
      <c r="G718" s="1">
        <v>45965</v>
      </c>
      <c r="I718" t="s">
        <v>9</v>
      </c>
      <c r="J718" s="14">
        <f>IFERROR(VLOOKUP(D718,'INf. RRHH'!$A:$B,2,0),0)</f>
        <v>2900</v>
      </c>
      <c r="K718" s="16">
        <f t="shared" si="33"/>
        <v>4866.04</v>
      </c>
      <c r="L718" s="17">
        <f t="shared" si="34"/>
        <v>966.67</v>
      </c>
      <c r="M718" s="18">
        <f t="shared" si="35"/>
        <v>5832.71</v>
      </c>
    </row>
    <row r="719" spans="1:13" x14ac:dyDescent="0.25">
      <c r="A719">
        <v>1000</v>
      </c>
      <c r="B719">
        <v>1000</v>
      </c>
      <c r="C719" s="1">
        <v>45961</v>
      </c>
      <c r="D719">
        <v>9256</v>
      </c>
      <c r="E719">
        <v>1920</v>
      </c>
      <c r="F719" s="2">
        <v>8811.84</v>
      </c>
      <c r="G719" s="1">
        <v>45965</v>
      </c>
      <c r="I719" t="s">
        <v>9</v>
      </c>
      <c r="J719" s="14">
        <f>IFERROR(VLOOKUP(D719,'INf. RRHH'!$A:$B,2,0),0)</f>
        <v>0</v>
      </c>
      <c r="K719" s="16">
        <f t="shared" si="33"/>
        <v>8811.84</v>
      </c>
      <c r="L719" s="17">
        <f t="shared" si="34"/>
        <v>0</v>
      </c>
      <c r="M719" s="18">
        <f t="shared" si="35"/>
        <v>8811.84</v>
      </c>
    </row>
    <row r="720" spans="1:13" x14ac:dyDescent="0.25">
      <c r="A720">
        <v>1000</v>
      </c>
      <c r="B720">
        <v>1000</v>
      </c>
      <c r="C720" s="1">
        <v>45961</v>
      </c>
      <c r="D720">
        <v>9292</v>
      </c>
      <c r="E720">
        <v>1920</v>
      </c>
      <c r="F720" s="2">
        <v>15341.74</v>
      </c>
      <c r="G720" s="1">
        <v>45965</v>
      </c>
      <c r="I720" t="s">
        <v>9</v>
      </c>
      <c r="J720" s="14">
        <f>IFERROR(VLOOKUP(D720,'INf. RRHH'!$A:$B,2,0),0)</f>
        <v>0</v>
      </c>
      <c r="K720" s="16">
        <f t="shared" si="33"/>
        <v>15341.74</v>
      </c>
      <c r="L720" s="17">
        <f t="shared" si="34"/>
        <v>0</v>
      </c>
      <c r="M720" s="18">
        <f t="shared" si="35"/>
        <v>15341.74</v>
      </c>
    </row>
    <row r="721" spans="1:13" x14ac:dyDescent="0.25">
      <c r="A721">
        <v>1000</v>
      </c>
      <c r="B721">
        <v>1000</v>
      </c>
      <c r="C721" s="1">
        <v>45961</v>
      </c>
      <c r="D721">
        <v>90262</v>
      </c>
      <c r="E721">
        <v>240</v>
      </c>
      <c r="F721" s="2">
        <v>4266.3</v>
      </c>
      <c r="G721" s="1">
        <v>45965</v>
      </c>
      <c r="I721" t="s">
        <v>9</v>
      </c>
      <c r="J721" s="14">
        <f>IFERROR(VLOOKUP(D721,'INf. RRHH'!$A:$B,2,0),0)</f>
        <v>2900</v>
      </c>
      <c r="K721" s="16">
        <f t="shared" si="33"/>
        <v>1366.3000000000002</v>
      </c>
      <c r="L721" s="17">
        <f t="shared" si="34"/>
        <v>966.67</v>
      </c>
      <c r="M721" s="18">
        <f t="shared" si="35"/>
        <v>2332.9700000000003</v>
      </c>
    </row>
    <row r="722" spans="1:13" x14ac:dyDescent="0.25">
      <c r="A722">
        <v>1000</v>
      </c>
      <c r="B722">
        <v>1000</v>
      </c>
      <c r="C722" s="1">
        <v>45961</v>
      </c>
      <c r="D722">
        <v>90283</v>
      </c>
      <c r="E722">
        <v>240</v>
      </c>
      <c r="F722" s="2">
        <v>4506.03</v>
      </c>
      <c r="G722" s="1">
        <v>45965</v>
      </c>
      <c r="I722" t="s">
        <v>9</v>
      </c>
      <c r="J722" s="14">
        <f>IFERROR(VLOOKUP(D722,'INf. RRHH'!$A:$B,2,0),0)</f>
        <v>2900</v>
      </c>
      <c r="K722" s="16">
        <f t="shared" si="33"/>
        <v>1606.0299999999997</v>
      </c>
      <c r="L722" s="17">
        <f t="shared" si="34"/>
        <v>966.67</v>
      </c>
      <c r="M722" s="18">
        <f t="shared" si="35"/>
        <v>2572.6999999999998</v>
      </c>
    </row>
    <row r="723" spans="1:13" x14ac:dyDescent="0.25">
      <c r="A723">
        <v>1000</v>
      </c>
      <c r="B723">
        <v>1000</v>
      </c>
      <c r="C723" s="1">
        <v>45961</v>
      </c>
      <c r="D723">
        <v>90370</v>
      </c>
      <c r="E723">
        <v>8</v>
      </c>
      <c r="F723" s="2">
        <v>3107.31</v>
      </c>
      <c r="G723" s="1">
        <v>45965</v>
      </c>
      <c r="I723" t="s">
        <v>9</v>
      </c>
      <c r="J723" s="14">
        <f>IFERROR(VLOOKUP(D723,'INf. RRHH'!$A:$B,2,0),0)</f>
        <v>2900</v>
      </c>
      <c r="K723" s="16">
        <f t="shared" si="33"/>
        <v>207.30999999999995</v>
      </c>
      <c r="L723" s="17">
        <f t="shared" si="34"/>
        <v>966.67</v>
      </c>
      <c r="M723" s="18">
        <f t="shared" si="35"/>
        <v>1173.98</v>
      </c>
    </row>
    <row r="724" spans="1:13" x14ac:dyDescent="0.25">
      <c r="A724">
        <v>1000</v>
      </c>
      <c r="B724">
        <v>1000</v>
      </c>
      <c r="C724" s="1">
        <v>45961</v>
      </c>
      <c r="D724">
        <v>90415</v>
      </c>
      <c r="E724">
        <v>314</v>
      </c>
      <c r="F724" s="2">
        <v>7791.75</v>
      </c>
      <c r="G724" s="1">
        <v>45965</v>
      </c>
      <c r="I724" t="s">
        <v>9</v>
      </c>
      <c r="J724" s="14">
        <f>IFERROR(VLOOKUP(D724,'INf. RRHH'!$A:$B,2,0),0)</f>
        <v>2900</v>
      </c>
      <c r="K724" s="16">
        <f t="shared" si="33"/>
        <v>4891.75</v>
      </c>
      <c r="L724" s="17">
        <f t="shared" si="34"/>
        <v>966.67</v>
      </c>
      <c r="M724" s="18">
        <f t="shared" si="35"/>
        <v>5858.42</v>
      </c>
    </row>
    <row r="725" spans="1:13" x14ac:dyDescent="0.25">
      <c r="A725">
        <v>1000</v>
      </c>
      <c r="B725">
        <v>1000</v>
      </c>
      <c r="C725" s="1">
        <v>45961</v>
      </c>
      <c r="D725">
        <v>90445</v>
      </c>
      <c r="E725">
        <v>331</v>
      </c>
      <c r="F725" s="2">
        <v>6951.86</v>
      </c>
      <c r="G725" s="1">
        <v>45965</v>
      </c>
      <c r="I725" t="s">
        <v>9</v>
      </c>
      <c r="J725" s="14">
        <f>IFERROR(VLOOKUP(D725,'INf. RRHH'!$A:$B,2,0),0)</f>
        <v>2900</v>
      </c>
      <c r="K725" s="16">
        <f t="shared" si="33"/>
        <v>4051.8599999999997</v>
      </c>
      <c r="L725" s="17">
        <f t="shared" si="34"/>
        <v>966.67</v>
      </c>
      <c r="M725" s="18">
        <f t="shared" si="35"/>
        <v>5018.53</v>
      </c>
    </row>
    <row r="726" spans="1:13" x14ac:dyDescent="0.25">
      <c r="A726">
        <v>1000</v>
      </c>
      <c r="B726">
        <v>1000</v>
      </c>
      <c r="C726" s="1">
        <v>45961</v>
      </c>
      <c r="D726">
        <v>90481</v>
      </c>
      <c r="E726">
        <v>394</v>
      </c>
      <c r="F726" s="2">
        <v>6950.44</v>
      </c>
      <c r="G726" s="1">
        <v>45965</v>
      </c>
      <c r="I726" t="s">
        <v>9</v>
      </c>
      <c r="J726" s="14">
        <f>IFERROR(VLOOKUP(D726,'INf. RRHH'!$A:$B,2,0),0)</f>
        <v>2900</v>
      </c>
      <c r="K726" s="16">
        <f t="shared" si="33"/>
        <v>4050.4399999999996</v>
      </c>
      <c r="L726" s="17">
        <f t="shared" si="34"/>
        <v>966.67</v>
      </c>
      <c r="M726" s="18">
        <f t="shared" si="35"/>
        <v>5017.1099999999997</v>
      </c>
    </row>
    <row r="727" spans="1:13" x14ac:dyDescent="0.25">
      <c r="A727">
        <v>1000</v>
      </c>
      <c r="B727">
        <v>1000</v>
      </c>
      <c r="C727" s="1">
        <v>45961</v>
      </c>
      <c r="D727">
        <v>90535</v>
      </c>
      <c r="E727">
        <v>354</v>
      </c>
      <c r="F727" s="2">
        <v>6552.26</v>
      </c>
      <c r="G727" s="1">
        <v>45965</v>
      </c>
      <c r="I727" t="s">
        <v>9</v>
      </c>
      <c r="J727" s="14">
        <f>IFERROR(VLOOKUP(D727,'INf. RRHH'!$A:$B,2,0),0)</f>
        <v>2900</v>
      </c>
      <c r="K727" s="16">
        <f t="shared" si="33"/>
        <v>3652.26</v>
      </c>
      <c r="L727" s="17">
        <f t="shared" si="34"/>
        <v>966.67</v>
      </c>
      <c r="M727" s="18">
        <f t="shared" si="35"/>
        <v>4618.93</v>
      </c>
    </row>
    <row r="728" spans="1:13" x14ac:dyDescent="0.25">
      <c r="A728">
        <v>1000</v>
      </c>
      <c r="B728">
        <v>1000</v>
      </c>
      <c r="C728" s="1">
        <v>45961</v>
      </c>
      <c r="D728">
        <v>91210</v>
      </c>
      <c r="E728">
        <v>240</v>
      </c>
      <c r="F728" s="2">
        <v>5376.37</v>
      </c>
      <c r="G728" s="1">
        <v>45965</v>
      </c>
      <c r="I728" t="s">
        <v>9</v>
      </c>
      <c r="J728" s="14">
        <f>IFERROR(VLOOKUP(D728,'INf. RRHH'!$A:$B,2,0),0)</f>
        <v>2900</v>
      </c>
      <c r="K728" s="16">
        <f t="shared" si="33"/>
        <v>2476.37</v>
      </c>
      <c r="L728" s="17">
        <f t="shared" si="34"/>
        <v>966.67</v>
      </c>
      <c r="M728" s="18">
        <f t="shared" si="35"/>
        <v>3443.04</v>
      </c>
    </row>
    <row r="729" spans="1:13" x14ac:dyDescent="0.25">
      <c r="A729">
        <v>1000</v>
      </c>
      <c r="B729">
        <v>1000</v>
      </c>
      <c r="C729" s="1">
        <v>45961</v>
      </c>
      <c r="D729">
        <v>91272</v>
      </c>
      <c r="E729">
        <v>251.5</v>
      </c>
      <c r="F729" s="2">
        <v>5786.9</v>
      </c>
      <c r="G729" s="1">
        <v>45965</v>
      </c>
      <c r="I729" t="s">
        <v>9</v>
      </c>
      <c r="J729" s="14">
        <f>IFERROR(VLOOKUP(D729,'INf. RRHH'!$A:$B,2,0),0)</f>
        <v>2900</v>
      </c>
      <c r="K729" s="16">
        <f t="shared" si="33"/>
        <v>2886.8999999999996</v>
      </c>
      <c r="L729" s="17">
        <f t="shared" si="34"/>
        <v>966.67</v>
      </c>
      <c r="M729" s="18">
        <f t="shared" si="35"/>
        <v>3853.5699999999997</v>
      </c>
    </row>
    <row r="730" spans="1:13" x14ac:dyDescent="0.25">
      <c r="A730">
        <v>1000</v>
      </c>
      <c r="B730">
        <v>1000</v>
      </c>
      <c r="C730" s="1">
        <v>45961</v>
      </c>
      <c r="D730">
        <v>91438</v>
      </c>
      <c r="E730">
        <v>311</v>
      </c>
      <c r="F730" s="2">
        <v>6683.57</v>
      </c>
      <c r="G730" s="1">
        <v>45965</v>
      </c>
      <c r="I730" t="s">
        <v>9</v>
      </c>
      <c r="J730" s="14">
        <f>IFERROR(VLOOKUP(D730,'INf. RRHH'!$A:$B,2,0),0)</f>
        <v>2900</v>
      </c>
      <c r="K730" s="16">
        <f t="shared" si="33"/>
        <v>3783.5699999999997</v>
      </c>
      <c r="L730" s="17">
        <f t="shared" si="34"/>
        <v>966.67</v>
      </c>
      <c r="M730" s="18">
        <f t="shared" si="35"/>
        <v>4750.24</v>
      </c>
    </row>
    <row r="731" spans="1:13" x14ac:dyDescent="0.25">
      <c r="A731">
        <v>1000</v>
      </c>
      <c r="B731">
        <v>1000</v>
      </c>
      <c r="C731" s="1">
        <v>45961</v>
      </c>
      <c r="D731">
        <v>91564</v>
      </c>
      <c r="E731">
        <v>263.83</v>
      </c>
      <c r="F731" s="2">
        <v>7628.23</v>
      </c>
      <c r="G731" s="1">
        <v>45965</v>
      </c>
      <c r="I731" t="s">
        <v>9</v>
      </c>
      <c r="J731" s="14">
        <f>IFERROR(VLOOKUP(D731,'INf. RRHH'!$A:$B,2,0),0)</f>
        <v>2900</v>
      </c>
      <c r="K731" s="16">
        <f t="shared" si="33"/>
        <v>4728.2299999999996</v>
      </c>
      <c r="L731" s="17">
        <f t="shared" si="34"/>
        <v>966.67</v>
      </c>
      <c r="M731" s="18">
        <f t="shared" si="35"/>
        <v>5694.9</v>
      </c>
    </row>
    <row r="732" spans="1:13" x14ac:dyDescent="0.25">
      <c r="A732">
        <v>1000</v>
      </c>
      <c r="B732">
        <v>1000</v>
      </c>
      <c r="C732" s="1">
        <v>45961</v>
      </c>
      <c r="D732">
        <v>91582</v>
      </c>
      <c r="E732">
        <v>240</v>
      </c>
      <c r="F732" s="2">
        <v>2660.27</v>
      </c>
      <c r="G732" s="1">
        <v>45965</v>
      </c>
      <c r="I732" t="s">
        <v>9</v>
      </c>
      <c r="J732" s="14">
        <f>IFERROR(VLOOKUP(D732,'INf. RRHH'!$A:$B,2,0),0)</f>
        <v>2900</v>
      </c>
      <c r="K732" s="16">
        <f t="shared" si="33"/>
        <v>-239.73000000000002</v>
      </c>
      <c r="L732" s="17">
        <f t="shared" si="34"/>
        <v>966.67</v>
      </c>
      <c r="M732" s="18">
        <f t="shared" si="35"/>
        <v>726.93999999999994</v>
      </c>
    </row>
    <row r="733" spans="1:13" x14ac:dyDescent="0.25">
      <c r="A733">
        <v>1000</v>
      </c>
      <c r="B733">
        <v>1000</v>
      </c>
      <c r="C733" s="1">
        <v>45961</v>
      </c>
      <c r="D733">
        <v>91591</v>
      </c>
      <c r="E733">
        <v>288</v>
      </c>
      <c r="F733" s="2">
        <v>4527.38</v>
      </c>
      <c r="G733" s="1">
        <v>45965</v>
      </c>
      <c r="I733" t="s">
        <v>9</v>
      </c>
      <c r="J733" s="14">
        <f>IFERROR(VLOOKUP(D733,'INf. RRHH'!$A:$B,2,0),0)</f>
        <v>2900</v>
      </c>
      <c r="K733" s="16">
        <f t="shared" si="33"/>
        <v>1627.38</v>
      </c>
      <c r="L733" s="17">
        <f t="shared" si="34"/>
        <v>966.67</v>
      </c>
      <c r="M733" s="18">
        <f t="shared" si="35"/>
        <v>2594.0500000000002</v>
      </c>
    </row>
    <row r="734" spans="1:13" x14ac:dyDescent="0.25">
      <c r="A734">
        <v>1000</v>
      </c>
      <c r="B734">
        <v>1000</v>
      </c>
      <c r="C734" s="1">
        <v>45961</v>
      </c>
      <c r="D734">
        <v>91606</v>
      </c>
      <c r="E734">
        <v>263</v>
      </c>
      <c r="F734" s="2">
        <v>6782.41</v>
      </c>
      <c r="G734" s="1">
        <v>45965</v>
      </c>
      <c r="I734" t="s">
        <v>9</v>
      </c>
      <c r="J734" s="14">
        <f>IFERROR(VLOOKUP(D734,'INf. RRHH'!$A:$B,2,0),0)</f>
        <v>2900</v>
      </c>
      <c r="K734" s="16">
        <f t="shared" si="33"/>
        <v>3882.41</v>
      </c>
      <c r="L734" s="17">
        <f t="shared" si="34"/>
        <v>966.67</v>
      </c>
      <c r="M734" s="18">
        <f t="shared" si="35"/>
        <v>4849.08</v>
      </c>
    </row>
    <row r="735" spans="1:13" x14ac:dyDescent="0.25">
      <c r="A735">
        <v>1000</v>
      </c>
      <c r="B735">
        <v>1000</v>
      </c>
      <c r="C735" s="1">
        <v>45961</v>
      </c>
      <c r="D735">
        <v>91611</v>
      </c>
      <c r="E735">
        <v>240</v>
      </c>
      <c r="F735" s="2">
        <v>5376.5</v>
      </c>
      <c r="G735" s="1">
        <v>45965</v>
      </c>
      <c r="I735" t="s">
        <v>9</v>
      </c>
      <c r="J735" s="14">
        <f>IFERROR(VLOOKUP(D735,'INf. RRHH'!$A:$B,2,0),0)</f>
        <v>2900</v>
      </c>
      <c r="K735" s="16">
        <f t="shared" si="33"/>
        <v>2476.5</v>
      </c>
      <c r="L735" s="17">
        <f t="shared" si="34"/>
        <v>966.67</v>
      </c>
      <c r="M735" s="18">
        <f t="shared" si="35"/>
        <v>3443.17</v>
      </c>
    </row>
    <row r="736" spans="1:13" x14ac:dyDescent="0.25">
      <c r="A736">
        <v>1000</v>
      </c>
      <c r="B736">
        <v>1000</v>
      </c>
      <c r="C736" s="1">
        <v>45961</v>
      </c>
      <c r="D736">
        <v>91660</v>
      </c>
      <c r="E736">
        <v>292</v>
      </c>
      <c r="F736" s="2">
        <v>6819.84</v>
      </c>
      <c r="G736" s="1">
        <v>45965</v>
      </c>
      <c r="I736" t="s">
        <v>9</v>
      </c>
      <c r="J736" s="14">
        <f>IFERROR(VLOOKUP(D736,'INf. RRHH'!$A:$B,2,0),0)</f>
        <v>2900</v>
      </c>
      <c r="K736" s="16">
        <f t="shared" si="33"/>
        <v>3919.84</v>
      </c>
      <c r="L736" s="17">
        <f t="shared" si="34"/>
        <v>966.67</v>
      </c>
      <c r="M736" s="18">
        <f t="shared" si="35"/>
        <v>4886.51</v>
      </c>
    </row>
    <row r="737" spans="1:13" x14ac:dyDescent="0.25">
      <c r="A737">
        <v>1000</v>
      </c>
      <c r="B737">
        <v>1000</v>
      </c>
      <c r="C737" s="1">
        <v>45961</v>
      </c>
      <c r="D737">
        <v>91705</v>
      </c>
      <c r="E737">
        <v>350.5</v>
      </c>
      <c r="F737" s="2">
        <v>8097.99</v>
      </c>
      <c r="G737" s="1">
        <v>45965</v>
      </c>
      <c r="I737" t="s">
        <v>9</v>
      </c>
      <c r="J737" s="14">
        <f>IFERROR(VLOOKUP(D737,'INf. RRHH'!$A:$B,2,0),0)</f>
        <v>2900</v>
      </c>
      <c r="K737" s="16">
        <f t="shared" si="33"/>
        <v>5197.99</v>
      </c>
      <c r="L737" s="17">
        <f t="shared" si="34"/>
        <v>966.67</v>
      </c>
      <c r="M737" s="18">
        <f t="shared" si="35"/>
        <v>6164.66</v>
      </c>
    </row>
    <row r="738" spans="1:13" x14ac:dyDescent="0.25">
      <c r="A738">
        <v>1000</v>
      </c>
      <c r="B738">
        <v>1000</v>
      </c>
      <c r="C738" s="1">
        <v>45961</v>
      </c>
      <c r="D738">
        <v>91793</v>
      </c>
      <c r="E738">
        <v>224</v>
      </c>
      <c r="F738" s="2">
        <v>5147.97</v>
      </c>
      <c r="G738" s="1">
        <v>45965</v>
      </c>
      <c r="I738" t="s">
        <v>9</v>
      </c>
      <c r="J738" s="14">
        <f>IFERROR(VLOOKUP(D738,'INf. RRHH'!$A:$B,2,0),0)</f>
        <v>2900</v>
      </c>
      <c r="K738" s="16">
        <f t="shared" si="33"/>
        <v>2247.9700000000003</v>
      </c>
      <c r="L738" s="17">
        <f t="shared" si="34"/>
        <v>966.67</v>
      </c>
      <c r="M738" s="18">
        <f t="shared" si="35"/>
        <v>3214.6400000000003</v>
      </c>
    </row>
    <row r="739" spans="1:13" x14ac:dyDescent="0.25">
      <c r="A739">
        <v>1000</v>
      </c>
      <c r="B739">
        <v>1000</v>
      </c>
      <c r="C739" s="1">
        <v>45961</v>
      </c>
      <c r="D739">
        <v>91822</v>
      </c>
      <c r="E739">
        <v>361</v>
      </c>
      <c r="F739" s="2">
        <v>6940.96</v>
      </c>
      <c r="G739" s="1">
        <v>45965</v>
      </c>
      <c r="I739" t="s">
        <v>9</v>
      </c>
      <c r="J739" s="14">
        <f>IFERROR(VLOOKUP(D739,'INf. RRHH'!$A:$B,2,0),0)</f>
        <v>2900</v>
      </c>
      <c r="K739" s="16">
        <f t="shared" si="33"/>
        <v>4040.96</v>
      </c>
      <c r="L739" s="17">
        <f t="shared" si="34"/>
        <v>966.67</v>
      </c>
      <c r="M739" s="18">
        <f t="shared" si="35"/>
        <v>5007.63</v>
      </c>
    </row>
    <row r="740" spans="1:13" x14ac:dyDescent="0.25">
      <c r="A740">
        <v>1000</v>
      </c>
      <c r="B740">
        <v>1000</v>
      </c>
      <c r="C740" s="1">
        <v>45961</v>
      </c>
      <c r="D740">
        <v>92190</v>
      </c>
      <c r="E740">
        <v>107</v>
      </c>
      <c r="F740" s="2">
        <v>5612.77</v>
      </c>
      <c r="G740" s="1">
        <v>45965</v>
      </c>
      <c r="I740" t="s">
        <v>9</v>
      </c>
      <c r="J740" s="14">
        <f>IFERROR(VLOOKUP(D740,'INf. RRHH'!$A:$B,2,0),0)</f>
        <v>2900</v>
      </c>
      <c r="K740" s="16">
        <f t="shared" si="33"/>
        <v>2712.7700000000004</v>
      </c>
      <c r="L740" s="17">
        <f t="shared" si="34"/>
        <v>966.67</v>
      </c>
      <c r="M740" s="18">
        <f t="shared" si="35"/>
        <v>3679.4400000000005</v>
      </c>
    </row>
    <row r="741" spans="1:13" x14ac:dyDescent="0.25">
      <c r="A741">
        <v>1000</v>
      </c>
      <c r="B741">
        <v>1000</v>
      </c>
      <c r="C741" s="1">
        <v>45961</v>
      </c>
      <c r="D741">
        <v>92275</v>
      </c>
      <c r="E741">
        <v>240</v>
      </c>
      <c r="F741" s="2">
        <v>5211.72</v>
      </c>
      <c r="G741" s="1">
        <v>45965</v>
      </c>
      <c r="I741" t="s">
        <v>9</v>
      </c>
      <c r="J741" s="14">
        <f>IFERROR(VLOOKUP(D741,'INf. RRHH'!$A:$B,2,0),0)</f>
        <v>2900</v>
      </c>
      <c r="K741" s="16">
        <f t="shared" si="33"/>
        <v>2311.7200000000003</v>
      </c>
      <c r="L741" s="17">
        <f t="shared" si="34"/>
        <v>966.67</v>
      </c>
      <c r="M741" s="18">
        <f t="shared" si="35"/>
        <v>3278.3900000000003</v>
      </c>
    </row>
    <row r="742" spans="1:13" x14ac:dyDescent="0.25">
      <c r="A742">
        <v>1000</v>
      </c>
      <c r="B742">
        <v>1000</v>
      </c>
      <c r="C742" s="1">
        <v>45961</v>
      </c>
      <c r="D742">
        <v>92335</v>
      </c>
      <c r="E742">
        <v>316</v>
      </c>
      <c r="F742" s="2">
        <v>6904.57</v>
      </c>
      <c r="G742" s="1">
        <v>45965</v>
      </c>
      <c r="I742" t="s">
        <v>9</v>
      </c>
      <c r="J742" s="14">
        <f>IFERROR(VLOOKUP(D742,'INf. RRHH'!$A:$B,2,0),0)</f>
        <v>2900</v>
      </c>
      <c r="K742" s="16">
        <f t="shared" si="33"/>
        <v>4004.5699999999997</v>
      </c>
      <c r="L742" s="17">
        <f t="shared" si="34"/>
        <v>966.67</v>
      </c>
      <c r="M742" s="18">
        <f t="shared" si="35"/>
        <v>4971.24</v>
      </c>
    </row>
    <row r="743" spans="1:13" x14ac:dyDescent="0.25">
      <c r="A743">
        <v>1000</v>
      </c>
      <c r="B743">
        <v>1000</v>
      </c>
      <c r="C743" s="1">
        <v>45961</v>
      </c>
      <c r="D743">
        <v>92353</v>
      </c>
      <c r="E743">
        <v>245</v>
      </c>
      <c r="F743" s="2">
        <v>6601.45</v>
      </c>
      <c r="G743" s="1">
        <v>45965</v>
      </c>
      <c r="I743" t="s">
        <v>9</v>
      </c>
      <c r="J743" s="14">
        <f>IFERROR(VLOOKUP(D743,'INf. RRHH'!$A:$B,2,0),0)</f>
        <v>2900</v>
      </c>
      <c r="K743" s="16">
        <f t="shared" si="33"/>
        <v>3701.45</v>
      </c>
      <c r="L743" s="17">
        <f t="shared" si="34"/>
        <v>966.67</v>
      </c>
      <c r="M743" s="18">
        <f t="shared" si="35"/>
        <v>4668.12</v>
      </c>
    </row>
    <row r="744" spans="1:13" x14ac:dyDescent="0.25">
      <c r="A744">
        <v>1000</v>
      </c>
      <c r="B744">
        <v>1000</v>
      </c>
      <c r="C744" s="1">
        <v>45961</v>
      </c>
      <c r="D744">
        <v>92446</v>
      </c>
      <c r="E744">
        <v>240</v>
      </c>
      <c r="F744" s="2">
        <v>3924.85</v>
      </c>
      <c r="G744" s="1">
        <v>45965</v>
      </c>
      <c r="I744" t="s">
        <v>9</v>
      </c>
      <c r="J744" s="14">
        <f>IFERROR(VLOOKUP(D744,'INf. RRHH'!$A:$B,2,0),0)</f>
        <v>2900</v>
      </c>
      <c r="K744" s="16">
        <f t="shared" si="33"/>
        <v>1024.8499999999999</v>
      </c>
      <c r="L744" s="17">
        <f t="shared" si="34"/>
        <v>966.67</v>
      </c>
      <c r="M744" s="18">
        <f t="shared" si="35"/>
        <v>1991.52</v>
      </c>
    </row>
    <row r="745" spans="1:13" x14ac:dyDescent="0.25">
      <c r="A745">
        <v>1000</v>
      </c>
      <c r="B745">
        <v>1000</v>
      </c>
      <c r="C745" s="1">
        <v>45961</v>
      </c>
      <c r="D745">
        <v>92524</v>
      </c>
      <c r="E745">
        <v>353</v>
      </c>
      <c r="F745" s="2">
        <v>6511.9</v>
      </c>
      <c r="G745" s="1">
        <v>45965</v>
      </c>
      <c r="I745" t="s">
        <v>9</v>
      </c>
      <c r="J745" s="14">
        <f>IFERROR(VLOOKUP(D745,'INf. RRHH'!$A:$B,2,0),0)</f>
        <v>2900</v>
      </c>
      <c r="K745" s="16">
        <f t="shared" si="33"/>
        <v>3611.8999999999996</v>
      </c>
      <c r="L745" s="17">
        <f t="shared" si="34"/>
        <v>966.67</v>
      </c>
      <c r="M745" s="18">
        <f t="shared" si="35"/>
        <v>4578.57</v>
      </c>
    </row>
    <row r="746" spans="1:13" x14ac:dyDescent="0.25">
      <c r="A746">
        <v>1000</v>
      </c>
      <c r="B746">
        <v>1000</v>
      </c>
      <c r="C746" s="1">
        <v>45961</v>
      </c>
      <c r="D746">
        <v>92532</v>
      </c>
      <c r="E746">
        <v>267.5</v>
      </c>
      <c r="F746" s="2">
        <v>5894.04</v>
      </c>
      <c r="G746" s="1">
        <v>45965</v>
      </c>
      <c r="I746" t="s">
        <v>9</v>
      </c>
      <c r="J746" s="14">
        <f>IFERROR(VLOOKUP(D746,'INf. RRHH'!$A:$B,2,0),0)</f>
        <v>2900</v>
      </c>
      <c r="K746" s="16">
        <f t="shared" si="33"/>
        <v>2994.04</v>
      </c>
      <c r="L746" s="17">
        <f t="shared" si="34"/>
        <v>966.67</v>
      </c>
      <c r="M746" s="18">
        <f t="shared" si="35"/>
        <v>3960.71</v>
      </c>
    </row>
    <row r="747" spans="1:13" x14ac:dyDescent="0.25">
      <c r="A747">
        <v>1000</v>
      </c>
      <c r="B747">
        <v>1000</v>
      </c>
      <c r="C747" s="1">
        <v>45961</v>
      </c>
      <c r="D747">
        <v>92533</v>
      </c>
      <c r="E747">
        <v>291</v>
      </c>
      <c r="F747" s="2">
        <v>7094.75</v>
      </c>
      <c r="G747" s="1">
        <v>45965</v>
      </c>
      <c r="I747" t="s">
        <v>9</v>
      </c>
      <c r="J747" s="14">
        <f>IFERROR(VLOOKUP(D747,'INf. RRHH'!$A:$B,2,0),0)</f>
        <v>2900</v>
      </c>
      <c r="K747" s="16">
        <f t="shared" si="33"/>
        <v>4194.75</v>
      </c>
      <c r="L747" s="17">
        <f t="shared" si="34"/>
        <v>966.67</v>
      </c>
      <c r="M747" s="18">
        <f t="shared" si="35"/>
        <v>5161.42</v>
      </c>
    </row>
    <row r="748" spans="1:13" x14ac:dyDescent="0.25">
      <c r="A748">
        <v>1000</v>
      </c>
      <c r="B748">
        <v>1000</v>
      </c>
      <c r="C748" s="1">
        <v>45961</v>
      </c>
      <c r="D748">
        <v>92712</v>
      </c>
      <c r="E748">
        <v>316</v>
      </c>
      <c r="F748" s="2">
        <v>6117.14</v>
      </c>
      <c r="G748" s="1">
        <v>45965</v>
      </c>
      <c r="I748" t="s">
        <v>9</v>
      </c>
      <c r="J748" s="14">
        <f>IFERROR(VLOOKUP(D748,'INf. RRHH'!$A:$B,2,0),0)</f>
        <v>2900</v>
      </c>
      <c r="K748" s="16">
        <f t="shared" si="33"/>
        <v>3217.1400000000003</v>
      </c>
      <c r="L748" s="17">
        <f t="shared" si="34"/>
        <v>966.67</v>
      </c>
      <c r="M748" s="18">
        <f t="shared" si="35"/>
        <v>4183.8100000000004</v>
      </c>
    </row>
    <row r="749" spans="1:13" x14ac:dyDescent="0.25">
      <c r="A749">
        <v>1000</v>
      </c>
      <c r="B749">
        <v>1000</v>
      </c>
      <c r="C749" s="1">
        <v>45961</v>
      </c>
      <c r="D749">
        <v>92783</v>
      </c>
      <c r="E749">
        <v>200</v>
      </c>
      <c r="F749" s="2">
        <v>4534.57</v>
      </c>
      <c r="G749" s="1">
        <v>45965</v>
      </c>
      <c r="I749" t="s">
        <v>9</v>
      </c>
      <c r="J749" s="14">
        <f>IFERROR(VLOOKUP(D749,'INf. RRHH'!$A:$B,2,0),0)</f>
        <v>2900</v>
      </c>
      <c r="K749" s="16">
        <f t="shared" si="33"/>
        <v>1634.5699999999997</v>
      </c>
      <c r="L749" s="17">
        <f t="shared" si="34"/>
        <v>966.67</v>
      </c>
      <c r="M749" s="18">
        <f t="shared" si="35"/>
        <v>2601.2399999999998</v>
      </c>
    </row>
    <row r="750" spans="1:13" x14ac:dyDescent="0.25">
      <c r="A750">
        <v>1000</v>
      </c>
      <c r="B750">
        <v>1000</v>
      </c>
      <c r="C750" s="1">
        <v>45961</v>
      </c>
      <c r="D750">
        <v>92792</v>
      </c>
      <c r="E750">
        <v>310</v>
      </c>
      <c r="F750" s="2">
        <v>5909.04</v>
      </c>
      <c r="G750" s="1">
        <v>45965</v>
      </c>
      <c r="I750" t="s">
        <v>9</v>
      </c>
      <c r="J750" s="14">
        <f>IFERROR(VLOOKUP(D750,'INf. RRHH'!$A:$B,2,0),0)</f>
        <v>2900</v>
      </c>
      <c r="K750" s="16">
        <f t="shared" si="33"/>
        <v>3009.04</v>
      </c>
      <c r="L750" s="17">
        <f t="shared" si="34"/>
        <v>966.67</v>
      </c>
      <c r="M750" s="18">
        <f t="shared" si="35"/>
        <v>3975.71</v>
      </c>
    </row>
    <row r="751" spans="1:13" x14ac:dyDescent="0.25">
      <c r="A751">
        <v>1000</v>
      </c>
      <c r="B751">
        <v>1000</v>
      </c>
      <c r="C751" s="1">
        <v>45961</v>
      </c>
      <c r="D751">
        <v>92811</v>
      </c>
      <c r="E751">
        <v>217</v>
      </c>
      <c r="F751" s="2">
        <v>5611.82</v>
      </c>
      <c r="G751" s="1">
        <v>45965</v>
      </c>
      <c r="I751" t="s">
        <v>9</v>
      </c>
      <c r="J751" s="14">
        <f>IFERROR(VLOOKUP(D751,'INf. RRHH'!$A:$B,2,0),0)</f>
        <v>2900</v>
      </c>
      <c r="K751" s="16">
        <f t="shared" si="33"/>
        <v>2711.8199999999997</v>
      </c>
      <c r="L751" s="17">
        <f t="shared" si="34"/>
        <v>966.67</v>
      </c>
      <c r="M751" s="18">
        <f t="shared" si="35"/>
        <v>3678.49</v>
      </c>
    </row>
    <row r="752" spans="1:13" x14ac:dyDescent="0.25">
      <c r="A752">
        <v>1000</v>
      </c>
      <c r="B752">
        <v>1000</v>
      </c>
      <c r="C752" s="1">
        <v>45961</v>
      </c>
      <c r="D752">
        <v>92837</v>
      </c>
      <c r="E752">
        <v>240</v>
      </c>
      <c r="F752" s="2">
        <v>4616.5600000000004</v>
      </c>
      <c r="G752" s="1">
        <v>45965</v>
      </c>
      <c r="I752" t="s">
        <v>9</v>
      </c>
      <c r="J752" s="14">
        <f>IFERROR(VLOOKUP(D752,'INf. RRHH'!$A:$B,2,0),0)</f>
        <v>2900</v>
      </c>
      <c r="K752" s="16">
        <f t="shared" si="33"/>
        <v>1716.5600000000004</v>
      </c>
      <c r="L752" s="17">
        <f t="shared" si="34"/>
        <v>966.67</v>
      </c>
      <c r="M752" s="18">
        <f t="shared" si="35"/>
        <v>2683.2300000000005</v>
      </c>
    </row>
    <row r="753" spans="1:13" x14ac:dyDescent="0.25">
      <c r="A753">
        <v>1000</v>
      </c>
      <c r="B753">
        <v>1000</v>
      </c>
      <c r="C753" s="1">
        <v>45961</v>
      </c>
      <c r="D753">
        <v>93037</v>
      </c>
      <c r="E753">
        <v>449</v>
      </c>
      <c r="F753" s="2">
        <v>6835.63</v>
      </c>
      <c r="G753" s="1">
        <v>45965</v>
      </c>
      <c r="I753" t="s">
        <v>9</v>
      </c>
      <c r="J753" s="14">
        <f>IFERROR(VLOOKUP(D753,'INf. RRHH'!$A:$B,2,0),0)</f>
        <v>2900</v>
      </c>
      <c r="K753" s="16">
        <f t="shared" si="33"/>
        <v>3935.63</v>
      </c>
      <c r="L753" s="17">
        <f t="shared" si="34"/>
        <v>966.67</v>
      </c>
      <c r="M753" s="18">
        <f t="shared" si="35"/>
        <v>4902.3</v>
      </c>
    </row>
    <row r="754" spans="1:13" x14ac:dyDescent="0.25">
      <c r="A754">
        <v>1000</v>
      </c>
      <c r="B754">
        <v>1000</v>
      </c>
      <c r="C754" s="1">
        <v>45961</v>
      </c>
      <c r="D754">
        <v>93141</v>
      </c>
      <c r="E754">
        <v>240</v>
      </c>
      <c r="F754" s="2">
        <v>5377.38</v>
      </c>
      <c r="G754" s="1">
        <v>45965</v>
      </c>
      <c r="I754" t="s">
        <v>9</v>
      </c>
      <c r="J754" s="14">
        <f>IFERROR(VLOOKUP(D754,'INf. RRHH'!$A:$B,2,0),0)</f>
        <v>2900</v>
      </c>
      <c r="K754" s="16">
        <f t="shared" si="33"/>
        <v>2477.38</v>
      </c>
      <c r="L754" s="17">
        <f t="shared" si="34"/>
        <v>966.67</v>
      </c>
      <c r="M754" s="18">
        <f t="shared" si="35"/>
        <v>3444.05</v>
      </c>
    </row>
    <row r="755" spans="1:13" x14ac:dyDescent="0.25">
      <c r="A755">
        <v>1000</v>
      </c>
      <c r="B755">
        <v>1000</v>
      </c>
      <c r="C755" s="1">
        <v>45961</v>
      </c>
      <c r="D755">
        <v>93145</v>
      </c>
      <c r="E755">
        <v>393.5</v>
      </c>
      <c r="F755" s="2">
        <v>7890.07</v>
      </c>
      <c r="G755" s="1">
        <v>45965</v>
      </c>
      <c r="I755" t="s">
        <v>9</v>
      </c>
      <c r="J755" s="14">
        <f>IFERROR(VLOOKUP(D755,'INf. RRHH'!$A:$B,2,0),0)</f>
        <v>2900</v>
      </c>
      <c r="K755" s="16">
        <f t="shared" si="33"/>
        <v>4990.07</v>
      </c>
      <c r="L755" s="17">
        <f t="shared" si="34"/>
        <v>966.67</v>
      </c>
      <c r="M755" s="18">
        <f t="shared" si="35"/>
        <v>5956.74</v>
      </c>
    </row>
    <row r="756" spans="1:13" x14ac:dyDescent="0.25">
      <c r="A756">
        <v>1000</v>
      </c>
      <c r="B756">
        <v>1000</v>
      </c>
      <c r="C756" s="1">
        <v>45961</v>
      </c>
      <c r="D756">
        <v>93154</v>
      </c>
      <c r="E756">
        <v>239.5</v>
      </c>
      <c r="F756" s="2">
        <v>6061.86</v>
      </c>
      <c r="G756" s="1">
        <v>45965</v>
      </c>
      <c r="I756" t="s">
        <v>9</v>
      </c>
      <c r="J756" s="14">
        <f>IFERROR(VLOOKUP(D756,'INf. RRHH'!$A:$B,2,0),0)</f>
        <v>2900</v>
      </c>
      <c r="K756" s="16">
        <f t="shared" si="33"/>
        <v>3161.8599999999997</v>
      </c>
      <c r="L756" s="17">
        <f t="shared" si="34"/>
        <v>966.67</v>
      </c>
      <c r="M756" s="18">
        <f t="shared" si="35"/>
        <v>4128.53</v>
      </c>
    </row>
    <row r="757" spans="1:13" x14ac:dyDescent="0.25">
      <c r="A757">
        <v>1000</v>
      </c>
      <c r="B757">
        <v>1000</v>
      </c>
      <c r="C757" s="1">
        <v>45961</v>
      </c>
      <c r="D757">
        <v>93243</v>
      </c>
      <c r="E757">
        <v>341.5</v>
      </c>
      <c r="F757" s="2">
        <v>6202.13</v>
      </c>
      <c r="G757" s="1">
        <v>45965</v>
      </c>
      <c r="I757" t="s">
        <v>9</v>
      </c>
      <c r="J757" s="14">
        <f>IFERROR(VLOOKUP(D757,'INf. RRHH'!$A:$B,2,0),0)</f>
        <v>2900</v>
      </c>
      <c r="K757" s="16">
        <f t="shared" si="33"/>
        <v>3302.13</v>
      </c>
      <c r="L757" s="17">
        <f t="shared" si="34"/>
        <v>966.67</v>
      </c>
      <c r="M757" s="18">
        <f t="shared" si="35"/>
        <v>4268.8</v>
      </c>
    </row>
    <row r="758" spans="1:13" x14ac:dyDescent="0.25">
      <c r="A758">
        <v>1000</v>
      </c>
      <c r="B758">
        <v>1000</v>
      </c>
      <c r="C758" s="1">
        <v>45961</v>
      </c>
      <c r="D758">
        <v>93325</v>
      </c>
      <c r="E758">
        <v>371</v>
      </c>
      <c r="F758" s="2">
        <v>6826.88</v>
      </c>
      <c r="G758" s="1">
        <v>45965</v>
      </c>
      <c r="I758" t="s">
        <v>9</v>
      </c>
      <c r="J758" s="14">
        <f>IFERROR(VLOOKUP(D758,'INf. RRHH'!$A:$B,2,0),0)</f>
        <v>2900</v>
      </c>
      <c r="K758" s="16">
        <f t="shared" si="33"/>
        <v>3926.88</v>
      </c>
      <c r="L758" s="17">
        <f t="shared" si="34"/>
        <v>966.67</v>
      </c>
      <c r="M758" s="18">
        <f t="shared" si="35"/>
        <v>4893.55</v>
      </c>
    </row>
    <row r="759" spans="1:13" x14ac:dyDescent="0.25">
      <c r="A759">
        <v>1000</v>
      </c>
      <c r="B759">
        <v>1000</v>
      </c>
      <c r="C759" s="1">
        <v>45961</v>
      </c>
      <c r="D759">
        <v>93405</v>
      </c>
      <c r="E759">
        <v>169</v>
      </c>
      <c r="F759" s="2">
        <v>5512.1</v>
      </c>
      <c r="G759" s="1">
        <v>45965</v>
      </c>
      <c r="I759" t="s">
        <v>9</v>
      </c>
      <c r="J759" s="14">
        <f>IFERROR(VLOOKUP(D759,'INf. RRHH'!$A:$B,2,0),0)</f>
        <v>2900</v>
      </c>
      <c r="K759" s="16">
        <f t="shared" si="33"/>
        <v>2612.1000000000004</v>
      </c>
      <c r="L759" s="17">
        <f t="shared" si="34"/>
        <v>966.67</v>
      </c>
      <c r="M759" s="18">
        <f t="shared" si="35"/>
        <v>3578.7700000000004</v>
      </c>
    </row>
    <row r="760" spans="1:13" x14ac:dyDescent="0.25">
      <c r="A760">
        <v>1000</v>
      </c>
      <c r="B760">
        <v>1000</v>
      </c>
      <c r="C760" s="1">
        <v>45961</v>
      </c>
      <c r="D760">
        <v>93770</v>
      </c>
      <c r="E760">
        <v>230</v>
      </c>
      <c r="F760" s="2">
        <v>5278.54</v>
      </c>
      <c r="G760" s="1">
        <v>45965</v>
      </c>
      <c r="I760" t="s">
        <v>9</v>
      </c>
      <c r="J760" s="14">
        <f>IFERROR(VLOOKUP(D760,'INf. RRHH'!$A:$B,2,0),0)</f>
        <v>2900</v>
      </c>
      <c r="K760" s="16">
        <f t="shared" si="33"/>
        <v>2378.54</v>
      </c>
      <c r="L760" s="17">
        <f t="shared" si="34"/>
        <v>966.67</v>
      </c>
      <c r="M760" s="18">
        <f t="shared" si="35"/>
        <v>3345.21</v>
      </c>
    </row>
    <row r="761" spans="1:13" x14ac:dyDescent="0.25">
      <c r="A761">
        <v>1000</v>
      </c>
      <c r="B761">
        <v>1000</v>
      </c>
      <c r="C761" s="1">
        <v>45961</v>
      </c>
      <c r="D761">
        <v>94027</v>
      </c>
      <c r="E761">
        <v>349.5</v>
      </c>
      <c r="F761" s="2">
        <v>7706.04</v>
      </c>
      <c r="G761" s="1">
        <v>45965</v>
      </c>
      <c r="I761" t="s">
        <v>9</v>
      </c>
      <c r="J761" s="14">
        <f>IFERROR(VLOOKUP(D761,'INf. RRHH'!$A:$B,2,0),0)</f>
        <v>2900</v>
      </c>
      <c r="K761" s="16">
        <f t="shared" si="33"/>
        <v>4806.04</v>
      </c>
      <c r="L761" s="17">
        <f t="shared" si="34"/>
        <v>966.67</v>
      </c>
      <c r="M761" s="18">
        <f t="shared" si="35"/>
        <v>5772.71</v>
      </c>
    </row>
    <row r="762" spans="1:13" x14ac:dyDescent="0.25">
      <c r="A762">
        <v>1000</v>
      </c>
      <c r="B762">
        <v>1000</v>
      </c>
      <c r="C762" s="1">
        <v>45961</v>
      </c>
      <c r="D762">
        <v>94090</v>
      </c>
      <c r="E762">
        <v>302</v>
      </c>
      <c r="F762" s="2">
        <v>6266.16</v>
      </c>
      <c r="G762" s="1">
        <v>45965</v>
      </c>
      <c r="I762" t="s">
        <v>9</v>
      </c>
      <c r="J762" s="14">
        <f>IFERROR(VLOOKUP(D762,'INf. RRHH'!$A:$B,2,0),0)</f>
        <v>2900</v>
      </c>
      <c r="K762" s="16">
        <f t="shared" si="33"/>
        <v>3366.16</v>
      </c>
      <c r="L762" s="17">
        <f t="shared" si="34"/>
        <v>966.67</v>
      </c>
      <c r="M762" s="18">
        <f t="shared" si="35"/>
        <v>4332.83</v>
      </c>
    </row>
    <row r="763" spans="1:13" x14ac:dyDescent="0.25">
      <c r="A763">
        <v>1000</v>
      </c>
      <c r="B763">
        <v>1000</v>
      </c>
      <c r="C763" s="1">
        <v>45961</v>
      </c>
      <c r="D763">
        <v>94230</v>
      </c>
      <c r="E763">
        <v>240</v>
      </c>
      <c r="F763" s="2">
        <v>5376.49</v>
      </c>
      <c r="G763" s="1">
        <v>45965</v>
      </c>
      <c r="I763" t="s">
        <v>9</v>
      </c>
      <c r="J763" s="14">
        <f>IFERROR(VLOOKUP(D763,'INf. RRHH'!$A:$B,2,0),0)</f>
        <v>2900</v>
      </c>
      <c r="K763" s="16">
        <f t="shared" si="33"/>
        <v>2476.4899999999998</v>
      </c>
      <c r="L763" s="17">
        <f t="shared" si="34"/>
        <v>966.67</v>
      </c>
      <c r="M763" s="18">
        <f t="shared" si="35"/>
        <v>3443.16</v>
      </c>
    </row>
    <row r="764" spans="1:13" x14ac:dyDescent="0.25">
      <c r="A764">
        <v>1000</v>
      </c>
      <c r="B764">
        <v>1000</v>
      </c>
      <c r="C764" s="1">
        <v>45961</v>
      </c>
      <c r="D764">
        <v>94763</v>
      </c>
      <c r="E764">
        <v>299</v>
      </c>
      <c r="F764" s="2">
        <v>5820.3</v>
      </c>
      <c r="G764" s="1">
        <v>45965</v>
      </c>
      <c r="I764" t="s">
        <v>9</v>
      </c>
      <c r="J764" s="14">
        <f>IFERROR(VLOOKUP(D764,'INf. RRHH'!$A:$B,2,0),0)</f>
        <v>2900</v>
      </c>
      <c r="K764" s="16">
        <f t="shared" si="33"/>
        <v>2920.3</v>
      </c>
      <c r="L764" s="17">
        <f t="shared" si="34"/>
        <v>966.67</v>
      </c>
      <c r="M764" s="18">
        <f t="shared" si="35"/>
        <v>3886.9700000000003</v>
      </c>
    </row>
    <row r="765" spans="1:13" x14ac:dyDescent="0.25">
      <c r="A765">
        <v>1000</v>
      </c>
      <c r="B765">
        <v>1000</v>
      </c>
      <c r="C765" s="1">
        <v>45961</v>
      </c>
      <c r="D765">
        <v>95477</v>
      </c>
      <c r="E765">
        <v>240</v>
      </c>
      <c r="F765" s="2">
        <v>2053.23</v>
      </c>
      <c r="G765" s="1">
        <v>45965</v>
      </c>
      <c r="I765" t="s">
        <v>9</v>
      </c>
      <c r="J765" s="14">
        <f>IFERROR(VLOOKUP(D765,'INf. RRHH'!$A:$B,2,0),0)</f>
        <v>0</v>
      </c>
      <c r="K765" s="16">
        <f t="shared" si="33"/>
        <v>2053.23</v>
      </c>
      <c r="L765" s="17">
        <f t="shared" si="34"/>
        <v>0</v>
      </c>
      <c r="M765" s="18">
        <f t="shared" si="35"/>
        <v>2053.23</v>
      </c>
    </row>
    <row r="766" spans="1:13" x14ac:dyDescent="0.25">
      <c r="A766">
        <v>1000</v>
      </c>
      <c r="B766">
        <v>1000</v>
      </c>
      <c r="C766" s="1">
        <v>45961</v>
      </c>
      <c r="D766">
        <v>95486</v>
      </c>
      <c r="E766">
        <v>240</v>
      </c>
      <c r="F766" s="2">
        <v>2048.7600000000002</v>
      </c>
      <c r="G766" s="1">
        <v>45965</v>
      </c>
      <c r="I766" t="s">
        <v>9</v>
      </c>
      <c r="J766" s="14">
        <f>IFERROR(VLOOKUP(D766,'INf. RRHH'!$A:$B,2,0),0)</f>
        <v>0</v>
      </c>
      <c r="K766" s="16">
        <f t="shared" si="33"/>
        <v>2048.7600000000002</v>
      </c>
      <c r="L766" s="17">
        <f t="shared" si="34"/>
        <v>0</v>
      </c>
      <c r="M766" s="18">
        <f t="shared" si="35"/>
        <v>2048.7600000000002</v>
      </c>
    </row>
    <row r="767" spans="1:13" x14ac:dyDescent="0.25">
      <c r="A767">
        <v>1000</v>
      </c>
      <c r="B767">
        <v>1000</v>
      </c>
      <c r="C767" s="1">
        <v>45961</v>
      </c>
      <c r="D767">
        <v>7210</v>
      </c>
      <c r="E767">
        <v>203</v>
      </c>
      <c r="F767" s="2">
        <v>5529.45</v>
      </c>
      <c r="G767" s="1">
        <v>45965</v>
      </c>
      <c r="I767" t="s">
        <v>9</v>
      </c>
      <c r="J767" s="14">
        <f>IFERROR(VLOOKUP(D767,'INf. RRHH'!$A:$B,2,0),0)</f>
        <v>2900</v>
      </c>
      <c r="K767" s="16">
        <f t="shared" si="33"/>
        <v>2629.45</v>
      </c>
      <c r="L767" s="17">
        <f t="shared" si="34"/>
        <v>966.67</v>
      </c>
      <c r="M767" s="18">
        <f t="shared" si="35"/>
        <v>3596.12</v>
      </c>
    </row>
    <row r="768" spans="1:13" x14ac:dyDescent="0.25">
      <c r="A768">
        <v>1000</v>
      </c>
      <c r="B768">
        <v>1000</v>
      </c>
      <c r="C768" s="1">
        <v>45961</v>
      </c>
      <c r="D768">
        <v>7285</v>
      </c>
      <c r="E768">
        <v>240</v>
      </c>
      <c r="F768" s="2">
        <v>6328.98</v>
      </c>
      <c r="G768" s="1">
        <v>45965</v>
      </c>
      <c r="I768" t="s">
        <v>9</v>
      </c>
      <c r="J768" s="14">
        <f>IFERROR(VLOOKUP(D768,'INf. RRHH'!$A:$B,2,0),0)</f>
        <v>2900</v>
      </c>
      <c r="K768" s="16">
        <f t="shared" si="33"/>
        <v>3428.9799999999996</v>
      </c>
      <c r="L768" s="17">
        <f t="shared" si="34"/>
        <v>966.67</v>
      </c>
      <c r="M768" s="18">
        <f t="shared" si="35"/>
        <v>4395.6499999999996</v>
      </c>
    </row>
    <row r="769" spans="1:13" x14ac:dyDescent="0.25">
      <c r="A769">
        <v>1000</v>
      </c>
      <c r="B769">
        <v>1000</v>
      </c>
      <c r="C769" s="1">
        <v>45961</v>
      </c>
      <c r="D769">
        <v>90086</v>
      </c>
      <c r="E769">
        <v>251</v>
      </c>
      <c r="F769" s="2">
        <v>6513.57</v>
      </c>
      <c r="G769" s="1">
        <v>45965</v>
      </c>
      <c r="I769" t="s">
        <v>9</v>
      </c>
      <c r="J769" s="14">
        <f>IFERROR(VLOOKUP(D769,'INf. RRHH'!$A:$B,2,0),0)</f>
        <v>2900</v>
      </c>
      <c r="K769" s="16">
        <f t="shared" si="33"/>
        <v>3613.5699999999997</v>
      </c>
      <c r="L769" s="17">
        <f t="shared" si="34"/>
        <v>966.67</v>
      </c>
      <c r="M769" s="18">
        <f t="shared" si="35"/>
        <v>4580.24</v>
      </c>
    </row>
    <row r="770" spans="1:13" x14ac:dyDescent="0.25">
      <c r="A770">
        <v>1000</v>
      </c>
      <c r="B770">
        <v>1000</v>
      </c>
      <c r="C770" s="1">
        <v>45961</v>
      </c>
      <c r="D770">
        <v>90392</v>
      </c>
      <c r="E770">
        <v>330.5</v>
      </c>
      <c r="F770" s="2">
        <v>7375.19</v>
      </c>
      <c r="G770" s="1">
        <v>45965</v>
      </c>
      <c r="I770" t="s">
        <v>9</v>
      </c>
      <c r="J770" s="14">
        <f>IFERROR(VLOOKUP(D770,'INf. RRHH'!$A:$B,2,0),0)</f>
        <v>2900</v>
      </c>
      <c r="K770" s="16">
        <f t="shared" si="33"/>
        <v>4475.1899999999996</v>
      </c>
      <c r="L770" s="17">
        <f t="shared" si="34"/>
        <v>966.67</v>
      </c>
      <c r="M770" s="18">
        <f t="shared" si="35"/>
        <v>5441.86</v>
      </c>
    </row>
    <row r="771" spans="1:13" x14ac:dyDescent="0.25">
      <c r="A771">
        <v>1000</v>
      </c>
      <c r="B771">
        <v>1000</v>
      </c>
      <c r="C771" s="1">
        <v>45961</v>
      </c>
      <c r="D771">
        <v>90446</v>
      </c>
      <c r="E771">
        <v>363</v>
      </c>
      <c r="F771" s="2">
        <v>6597.81</v>
      </c>
      <c r="G771" s="1">
        <v>45965</v>
      </c>
      <c r="I771" t="s">
        <v>9</v>
      </c>
      <c r="J771" s="14">
        <f>IFERROR(VLOOKUP(D771,'INf. RRHH'!$A:$B,2,0),0)</f>
        <v>2900</v>
      </c>
      <c r="K771" s="16">
        <f t="shared" ref="K771:K834" si="36">+F771-J771</f>
        <v>3697.8100000000004</v>
      </c>
      <c r="L771" s="17">
        <f t="shared" ref="L771:L834" si="37">ROUND(J771/3,2)</f>
        <v>966.67</v>
      </c>
      <c r="M771" s="18">
        <f t="shared" ref="M771:M834" si="38">+K771+L771</f>
        <v>4664.4800000000005</v>
      </c>
    </row>
    <row r="772" spans="1:13" x14ac:dyDescent="0.25">
      <c r="A772">
        <v>1000</v>
      </c>
      <c r="B772">
        <v>1000</v>
      </c>
      <c r="C772" s="1">
        <v>45961</v>
      </c>
      <c r="D772">
        <v>90644</v>
      </c>
      <c r="E772">
        <v>280</v>
      </c>
      <c r="F772" s="2">
        <v>4715.51</v>
      </c>
      <c r="G772" s="1">
        <v>45965</v>
      </c>
      <c r="I772" t="s">
        <v>9</v>
      </c>
      <c r="J772" s="14">
        <f>IFERROR(VLOOKUP(D772,'INf. RRHH'!$A:$B,2,0),0)</f>
        <v>2900</v>
      </c>
      <c r="K772" s="16">
        <f t="shared" si="36"/>
        <v>1815.5100000000002</v>
      </c>
      <c r="L772" s="17">
        <f t="shared" si="37"/>
        <v>966.67</v>
      </c>
      <c r="M772" s="18">
        <f t="shared" si="38"/>
        <v>2782.1800000000003</v>
      </c>
    </row>
    <row r="773" spans="1:13" x14ac:dyDescent="0.25">
      <c r="A773">
        <v>1000</v>
      </c>
      <c r="B773">
        <v>1000</v>
      </c>
      <c r="C773" s="1">
        <v>45961</v>
      </c>
      <c r="D773">
        <v>90713</v>
      </c>
      <c r="E773">
        <v>339</v>
      </c>
      <c r="F773" s="2">
        <v>7168.76</v>
      </c>
      <c r="G773" s="1">
        <v>45965</v>
      </c>
      <c r="I773" t="s">
        <v>9</v>
      </c>
      <c r="J773" s="14">
        <f>IFERROR(VLOOKUP(D773,'INf. RRHH'!$A:$B,2,0),0)</f>
        <v>2900</v>
      </c>
      <c r="K773" s="16">
        <f t="shared" si="36"/>
        <v>4268.76</v>
      </c>
      <c r="L773" s="17">
        <f t="shared" si="37"/>
        <v>966.67</v>
      </c>
      <c r="M773" s="18">
        <f t="shared" si="38"/>
        <v>5235.43</v>
      </c>
    </row>
    <row r="774" spans="1:13" x14ac:dyDescent="0.25">
      <c r="A774">
        <v>1000</v>
      </c>
      <c r="B774">
        <v>1000</v>
      </c>
      <c r="C774" s="1">
        <v>45961</v>
      </c>
      <c r="D774">
        <v>90794</v>
      </c>
      <c r="E774">
        <v>402</v>
      </c>
      <c r="F774" s="2">
        <v>7276.6</v>
      </c>
      <c r="G774" s="1">
        <v>45965</v>
      </c>
      <c r="I774" t="s">
        <v>9</v>
      </c>
      <c r="J774" s="14">
        <f>IFERROR(VLOOKUP(D774,'INf. RRHH'!$A:$B,2,0),0)</f>
        <v>2900</v>
      </c>
      <c r="K774" s="16">
        <f t="shared" si="36"/>
        <v>4376.6000000000004</v>
      </c>
      <c r="L774" s="17">
        <f t="shared" si="37"/>
        <v>966.67</v>
      </c>
      <c r="M774" s="18">
        <f t="shared" si="38"/>
        <v>5343.27</v>
      </c>
    </row>
    <row r="775" spans="1:13" x14ac:dyDescent="0.25">
      <c r="A775">
        <v>1000</v>
      </c>
      <c r="B775">
        <v>1000</v>
      </c>
      <c r="C775" s="1">
        <v>45961</v>
      </c>
      <c r="D775">
        <v>90905</v>
      </c>
      <c r="E775">
        <v>396</v>
      </c>
      <c r="F775" s="2">
        <v>7150.01</v>
      </c>
      <c r="G775" s="1">
        <v>45965</v>
      </c>
      <c r="I775" t="s">
        <v>9</v>
      </c>
      <c r="J775" s="14">
        <f>IFERROR(VLOOKUP(D775,'INf. RRHH'!$A:$B,2,0),0)</f>
        <v>2900</v>
      </c>
      <c r="K775" s="16">
        <f t="shared" si="36"/>
        <v>4250.01</v>
      </c>
      <c r="L775" s="17">
        <f t="shared" si="37"/>
        <v>966.67</v>
      </c>
      <c r="M775" s="18">
        <f t="shared" si="38"/>
        <v>5216.68</v>
      </c>
    </row>
    <row r="776" spans="1:13" x14ac:dyDescent="0.25">
      <c r="A776">
        <v>1000</v>
      </c>
      <c r="B776">
        <v>1000</v>
      </c>
      <c r="C776" s="1">
        <v>45961</v>
      </c>
      <c r="D776">
        <v>91038</v>
      </c>
      <c r="E776">
        <v>170</v>
      </c>
      <c r="F776" s="2">
        <v>5857.94</v>
      </c>
      <c r="G776" s="1">
        <v>45965</v>
      </c>
      <c r="I776" t="s">
        <v>9</v>
      </c>
      <c r="J776" s="14">
        <f>IFERROR(VLOOKUP(D776,'INf. RRHH'!$A:$B,2,0),0)</f>
        <v>2900</v>
      </c>
      <c r="K776" s="16">
        <f t="shared" si="36"/>
        <v>2957.9399999999996</v>
      </c>
      <c r="L776" s="17">
        <f t="shared" si="37"/>
        <v>966.67</v>
      </c>
      <c r="M776" s="18">
        <f t="shared" si="38"/>
        <v>3924.6099999999997</v>
      </c>
    </row>
    <row r="777" spans="1:13" x14ac:dyDescent="0.25">
      <c r="A777">
        <v>1000</v>
      </c>
      <c r="B777">
        <v>1000</v>
      </c>
      <c r="C777" s="1">
        <v>45961</v>
      </c>
      <c r="D777">
        <v>91121</v>
      </c>
      <c r="E777">
        <v>390</v>
      </c>
      <c r="F777" s="2">
        <v>6263.3</v>
      </c>
      <c r="G777" s="1">
        <v>45965</v>
      </c>
      <c r="I777" t="s">
        <v>9</v>
      </c>
      <c r="J777" s="14">
        <f>IFERROR(VLOOKUP(D777,'INf. RRHH'!$A:$B,2,0),0)</f>
        <v>2900</v>
      </c>
      <c r="K777" s="16">
        <f t="shared" si="36"/>
        <v>3363.3</v>
      </c>
      <c r="L777" s="17">
        <f t="shared" si="37"/>
        <v>966.67</v>
      </c>
      <c r="M777" s="18">
        <f t="shared" si="38"/>
        <v>4329.97</v>
      </c>
    </row>
    <row r="778" spans="1:13" x14ac:dyDescent="0.25">
      <c r="A778">
        <v>1000</v>
      </c>
      <c r="B778">
        <v>1000</v>
      </c>
      <c r="C778" s="1">
        <v>45961</v>
      </c>
      <c r="D778">
        <v>91173</v>
      </c>
      <c r="E778">
        <v>217</v>
      </c>
      <c r="F778" s="2">
        <v>6566.42</v>
      </c>
      <c r="G778" s="1">
        <v>45965</v>
      </c>
      <c r="I778" t="s">
        <v>9</v>
      </c>
      <c r="J778" s="14">
        <f>IFERROR(VLOOKUP(D778,'INf. RRHH'!$A:$B,2,0),0)</f>
        <v>2900</v>
      </c>
      <c r="K778" s="16">
        <f t="shared" si="36"/>
        <v>3666.42</v>
      </c>
      <c r="L778" s="17">
        <f t="shared" si="37"/>
        <v>966.67</v>
      </c>
      <c r="M778" s="18">
        <f t="shared" si="38"/>
        <v>4633.09</v>
      </c>
    </row>
    <row r="779" spans="1:13" x14ac:dyDescent="0.25">
      <c r="A779">
        <v>1000</v>
      </c>
      <c r="B779">
        <v>1000</v>
      </c>
      <c r="C779" s="1">
        <v>45961</v>
      </c>
      <c r="D779">
        <v>91310</v>
      </c>
      <c r="E779">
        <v>246</v>
      </c>
      <c r="F779" s="2">
        <v>5436.71</v>
      </c>
      <c r="G779" s="1">
        <v>45965</v>
      </c>
      <c r="I779" t="s">
        <v>9</v>
      </c>
      <c r="J779" s="14">
        <f>IFERROR(VLOOKUP(D779,'INf. RRHH'!$A:$B,2,0),0)</f>
        <v>2900</v>
      </c>
      <c r="K779" s="16">
        <f t="shared" si="36"/>
        <v>2536.71</v>
      </c>
      <c r="L779" s="17">
        <f t="shared" si="37"/>
        <v>966.67</v>
      </c>
      <c r="M779" s="18">
        <f t="shared" si="38"/>
        <v>3503.38</v>
      </c>
    </row>
    <row r="780" spans="1:13" x14ac:dyDescent="0.25">
      <c r="A780">
        <v>1000</v>
      </c>
      <c r="B780">
        <v>1000</v>
      </c>
      <c r="C780" s="1">
        <v>45961</v>
      </c>
      <c r="D780">
        <v>91565</v>
      </c>
      <c r="E780">
        <v>296</v>
      </c>
      <c r="F780" s="2">
        <v>5169.93</v>
      </c>
      <c r="G780" s="1">
        <v>45965</v>
      </c>
      <c r="I780" t="s">
        <v>9</v>
      </c>
      <c r="J780" s="14">
        <f>IFERROR(VLOOKUP(D780,'INf. RRHH'!$A:$B,2,0),0)</f>
        <v>2900</v>
      </c>
      <c r="K780" s="16">
        <f t="shared" si="36"/>
        <v>2269.9300000000003</v>
      </c>
      <c r="L780" s="17">
        <f t="shared" si="37"/>
        <v>966.67</v>
      </c>
      <c r="M780" s="18">
        <f t="shared" si="38"/>
        <v>3236.6000000000004</v>
      </c>
    </row>
    <row r="781" spans="1:13" x14ac:dyDescent="0.25">
      <c r="A781">
        <v>1000</v>
      </c>
      <c r="B781">
        <v>1000</v>
      </c>
      <c r="C781" s="1">
        <v>45961</v>
      </c>
      <c r="D781">
        <v>91706</v>
      </c>
      <c r="E781">
        <v>331</v>
      </c>
      <c r="F781" s="2">
        <v>6449.11</v>
      </c>
      <c r="G781" s="1">
        <v>45965</v>
      </c>
      <c r="I781" t="s">
        <v>9</v>
      </c>
      <c r="J781" s="14">
        <f>IFERROR(VLOOKUP(D781,'INf. RRHH'!$A:$B,2,0),0)</f>
        <v>2900</v>
      </c>
      <c r="K781" s="16">
        <f t="shared" si="36"/>
        <v>3549.1099999999997</v>
      </c>
      <c r="L781" s="17">
        <f t="shared" si="37"/>
        <v>966.67</v>
      </c>
      <c r="M781" s="18">
        <f t="shared" si="38"/>
        <v>4515.78</v>
      </c>
    </row>
    <row r="782" spans="1:13" x14ac:dyDescent="0.25">
      <c r="A782">
        <v>1000</v>
      </c>
      <c r="B782">
        <v>1000</v>
      </c>
      <c r="C782" s="1">
        <v>45961</v>
      </c>
      <c r="D782">
        <v>92039</v>
      </c>
      <c r="E782">
        <v>428</v>
      </c>
      <c r="F782" s="2">
        <v>6049.08</v>
      </c>
      <c r="G782" s="1">
        <v>45965</v>
      </c>
      <c r="I782" t="s">
        <v>9</v>
      </c>
      <c r="J782" s="14">
        <f>IFERROR(VLOOKUP(D782,'INf. RRHH'!$A:$B,2,0),0)</f>
        <v>2900</v>
      </c>
      <c r="K782" s="16">
        <f t="shared" si="36"/>
        <v>3149.08</v>
      </c>
      <c r="L782" s="17">
        <f t="shared" si="37"/>
        <v>966.67</v>
      </c>
      <c r="M782" s="18">
        <f t="shared" si="38"/>
        <v>4115.75</v>
      </c>
    </row>
    <row r="783" spans="1:13" x14ac:dyDescent="0.25">
      <c r="A783">
        <v>1000</v>
      </c>
      <c r="B783">
        <v>1000</v>
      </c>
      <c r="C783" s="1">
        <v>45961</v>
      </c>
      <c r="D783">
        <v>92066</v>
      </c>
      <c r="E783">
        <v>325.5</v>
      </c>
      <c r="F783" s="2">
        <v>8530.17</v>
      </c>
      <c r="G783" s="1">
        <v>45965</v>
      </c>
      <c r="I783" t="s">
        <v>9</v>
      </c>
      <c r="J783" s="14">
        <f>IFERROR(VLOOKUP(D783,'INf. RRHH'!$A:$B,2,0),0)</f>
        <v>2900</v>
      </c>
      <c r="K783" s="16">
        <f t="shared" si="36"/>
        <v>5630.17</v>
      </c>
      <c r="L783" s="17">
        <f t="shared" si="37"/>
        <v>966.67</v>
      </c>
      <c r="M783" s="18">
        <f t="shared" si="38"/>
        <v>6596.84</v>
      </c>
    </row>
    <row r="784" spans="1:13" x14ac:dyDescent="0.25">
      <c r="A784">
        <v>1000</v>
      </c>
      <c r="B784">
        <v>1000</v>
      </c>
      <c r="C784" s="1">
        <v>45961</v>
      </c>
      <c r="D784">
        <v>92219</v>
      </c>
      <c r="E784">
        <v>404</v>
      </c>
      <c r="F784" s="2">
        <v>6919.22</v>
      </c>
      <c r="G784" s="1">
        <v>45965</v>
      </c>
      <c r="I784" t="s">
        <v>9</v>
      </c>
      <c r="J784" s="14">
        <f>IFERROR(VLOOKUP(D784,'INf. RRHH'!$A:$B,2,0),0)</f>
        <v>2900</v>
      </c>
      <c r="K784" s="16">
        <f t="shared" si="36"/>
        <v>4019.2200000000003</v>
      </c>
      <c r="L784" s="17">
        <f t="shared" si="37"/>
        <v>966.67</v>
      </c>
      <c r="M784" s="18">
        <f t="shared" si="38"/>
        <v>4985.8900000000003</v>
      </c>
    </row>
    <row r="785" spans="1:13" x14ac:dyDescent="0.25">
      <c r="A785">
        <v>1000</v>
      </c>
      <c r="B785">
        <v>1000</v>
      </c>
      <c r="C785" s="1">
        <v>45961</v>
      </c>
      <c r="D785">
        <v>92276</v>
      </c>
      <c r="E785">
        <v>344</v>
      </c>
      <c r="F785" s="2">
        <v>6097.24</v>
      </c>
      <c r="G785" s="1">
        <v>45965</v>
      </c>
      <c r="I785" t="s">
        <v>9</v>
      </c>
      <c r="J785" s="14">
        <f>IFERROR(VLOOKUP(D785,'INf. RRHH'!$A:$B,2,0),0)</f>
        <v>2900</v>
      </c>
      <c r="K785" s="16">
        <f t="shared" si="36"/>
        <v>3197.24</v>
      </c>
      <c r="L785" s="17">
        <f t="shared" si="37"/>
        <v>966.67</v>
      </c>
      <c r="M785" s="18">
        <f t="shared" si="38"/>
        <v>4163.91</v>
      </c>
    </row>
    <row r="786" spans="1:13" x14ac:dyDescent="0.25">
      <c r="A786">
        <v>1000</v>
      </c>
      <c r="B786">
        <v>1000</v>
      </c>
      <c r="C786" s="1">
        <v>45961</v>
      </c>
      <c r="D786">
        <v>92372</v>
      </c>
      <c r="E786">
        <v>402</v>
      </c>
      <c r="F786" s="2">
        <v>6466.48</v>
      </c>
      <c r="G786" s="1">
        <v>45965</v>
      </c>
      <c r="I786" t="s">
        <v>9</v>
      </c>
      <c r="J786" s="14">
        <f>IFERROR(VLOOKUP(D786,'INf. RRHH'!$A:$B,2,0),0)</f>
        <v>2900</v>
      </c>
      <c r="K786" s="16">
        <f t="shared" si="36"/>
        <v>3566.4799999999996</v>
      </c>
      <c r="L786" s="17">
        <f t="shared" si="37"/>
        <v>966.67</v>
      </c>
      <c r="M786" s="18">
        <f t="shared" si="38"/>
        <v>4533.1499999999996</v>
      </c>
    </row>
    <row r="787" spans="1:13" x14ac:dyDescent="0.25">
      <c r="A787">
        <v>1000</v>
      </c>
      <c r="B787">
        <v>1000</v>
      </c>
      <c r="C787" s="1">
        <v>45961</v>
      </c>
      <c r="D787">
        <v>92490</v>
      </c>
      <c r="E787">
        <v>347</v>
      </c>
      <c r="F787" s="2">
        <v>6536.05</v>
      </c>
      <c r="G787" s="1">
        <v>45965</v>
      </c>
      <c r="I787" t="s">
        <v>9</v>
      </c>
      <c r="J787" s="14">
        <f>IFERROR(VLOOKUP(D787,'INf. RRHH'!$A:$B,2,0),0)</f>
        <v>2900</v>
      </c>
      <c r="K787" s="16">
        <f t="shared" si="36"/>
        <v>3636.05</v>
      </c>
      <c r="L787" s="17">
        <f t="shared" si="37"/>
        <v>966.67</v>
      </c>
      <c r="M787" s="18">
        <f t="shared" si="38"/>
        <v>4602.72</v>
      </c>
    </row>
    <row r="788" spans="1:13" x14ac:dyDescent="0.25">
      <c r="A788">
        <v>1000</v>
      </c>
      <c r="B788">
        <v>1000</v>
      </c>
      <c r="C788" s="1">
        <v>45961</v>
      </c>
      <c r="D788">
        <v>92528</v>
      </c>
      <c r="E788">
        <v>382</v>
      </c>
      <c r="F788" s="2">
        <v>6338.81</v>
      </c>
      <c r="G788" s="1">
        <v>45965</v>
      </c>
      <c r="I788" t="s">
        <v>9</v>
      </c>
      <c r="J788" s="14">
        <f>IFERROR(VLOOKUP(D788,'INf. RRHH'!$A:$B,2,0),0)</f>
        <v>2900</v>
      </c>
      <c r="K788" s="16">
        <f t="shared" si="36"/>
        <v>3438.8100000000004</v>
      </c>
      <c r="L788" s="17">
        <f t="shared" si="37"/>
        <v>966.67</v>
      </c>
      <c r="M788" s="18">
        <f t="shared" si="38"/>
        <v>4405.4800000000005</v>
      </c>
    </row>
    <row r="789" spans="1:13" x14ac:dyDescent="0.25">
      <c r="A789">
        <v>1000</v>
      </c>
      <c r="B789">
        <v>1000</v>
      </c>
      <c r="C789" s="1">
        <v>45961</v>
      </c>
      <c r="D789">
        <v>92633</v>
      </c>
      <c r="E789">
        <v>314.5</v>
      </c>
      <c r="F789" s="2">
        <v>6383.57</v>
      </c>
      <c r="G789" s="1">
        <v>45965</v>
      </c>
      <c r="I789" t="s">
        <v>9</v>
      </c>
      <c r="J789" s="14">
        <f>IFERROR(VLOOKUP(D789,'INf. RRHH'!$A:$B,2,0),0)</f>
        <v>2900</v>
      </c>
      <c r="K789" s="16">
        <f t="shared" si="36"/>
        <v>3483.5699999999997</v>
      </c>
      <c r="L789" s="17">
        <f t="shared" si="37"/>
        <v>966.67</v>
      </c>
      <c r="M789" s="18">
        <f t="shared" si="38"/>
        <v>4450.24</v>
      </c>
    </row>
    <row r="790" spans="1:13" x14ac:dyDescent="0.25">
      <c r="A790">
        <v>1000</v>
      </c>
      <c r="B790">
        <v>1000</v>
      </c>
      <c r="C790" s="1">
        <v>45961</v>
      </c>
      <c r="D790">
        <v>92690</v>
      </c>
      <c r="E790">
        <v>240</v>
      </c>
      <c r="F790" s="2">
        <v>5420.96</v>
      </c>
      <c r="G790" s="1">
        <v>45965</v>
      </c>
      <c r="I790" t="s">
        <v>9</v>
      </c>
      <c r="J790" s="14">
        <f>IFERROR(VLOOKUP(D790,'INf. RRHH'!$A:$B,2,0),0)</f>
        <v>2900</v>
      </c>
      <c r="K790" s="16">
        <f t="shared" si="36"/>
        <v>2520.96</v>
      </c>
      <c r="L790" s="17">
        <f t="shared" si="37"/>
        <v>966.67</v>
      </c>
      <c r="M790" s="18">
        <f t="shared" si="38"/>
        <v>3487.63</v>
      </c>
    </row>
    <row r="791" spans="1:13" x14ac:dyDescent="0.25">
      <c r="A791">
        <v>1000</v>
      </c>
      <c r="B791">
        <v>1000</v>
      </c>
      <c r="C791" s="1">
        <v>45961</v>
      </c>
      <c r="D791">
        <v>92714</v>
      </c>
      <c r="E791">
        <v>322</v>
      </c>
      <c r="F791" s="2">
        <v>7360.87</v>
      </c>
      <c r="G791" s="1">
        <v>45965</v>
      </c>
      <c r="I791" t="s">
        <v>9</v>
      </c>
      <c r="J791" s="14">
        <f>IFERROR(VLOOKUP(D791,'INf. RRHH'!$A:$B,2,0),0)</f>
        <v>2900</v>
      </c>
      <c r="K791" s="16">
        <f t="shared" si="36"/>
        <v>4460.87</v>
      </c>
      <c r="L791" s="17">
        <f t="shared" si="37"/>
        <v>966.67</v>
      </c>
      <c r="M791" s="18">
        <f t="shared" si="38"/>
        <v>5427.54</v>
      </c>
    </row>
    <row r="792" spans="1:13" x14ac:dyDescent="0.25">
      <c r="A792">
        <v>1000</v>
      </c>
      <c r="B792">
        <v>1000</v>
      </c>
      <c r="C792" s="1">
        <v>45961</v>
      </c>
      <c r="D792">
        <v>92717</v>
      </c>
      <c r="E792">
        <v>255</v>
      </c>
      <c r="F792" s="2">
        <v>5634.8</v>
      </c>
      <c r="G792" s="1">
        <v>45965</v>
      </c>
      <c r="I792" t="s">
        <v>9</v>
      </c>
      <c r="J792" s="14">
        <f>IFERROR(VLOOKUP(D792,'INf. RRHH'!$A:$B,2,0),0)</f>
        <v>2900</v>
      </c>
      <c r="K792" s="16">
        <f t="shared" si="36"/>
        <v>2734.8</v>
      </c>
      <c r="L792" s="17">
        <f t="shared" si="37"/>
        <v>966.67</v>
      </c>
      <c r="M792" s="18">
        <f t="shared" si="38"/>
        <v>3701.4700000000003</v>
      </c>
    </row>
    <row r="793" spans="1:13" x14ac:dyDescent="0.25">
      <c r="A793">
        <v>1000</v>
      </c>
      <c r="B793">
        <v>1000</v>
      </c>
      <c r="C793" s="1">
        <v>45961</v>
      </c>
      <c r="D793">
        <v>92753</v>
      </c>
      <c r="E793">
        <v>371</v>
      </c>
      <c r="F793" s="2">
        <v>5714.45</v>
      </c>
      <c r="G793" s="1">
        <v>45965</v>
      </c>
      <c r="I793" t="s">
        <v>9</v>
      </c>
      <c r="J793" s="14">
        <f>IFERROR(VLOOKUP(D793,'INf. RRHH'!$A:$B,2,0),0)</f>
        <v>2900</v>
      </c>
      <c r="K793" s="16">
        <f t="shared" si="36"/>
        <v>2814.45</v>
      </c>
      <c r="L793" s="17">
        <f t="shared" si="37"/>
        <v>966.67</v>
      </c>
      <c r="M793" s="18">
        <f t="shared" si="38"/>
        <v>3781.12</v>
      </c>
    </row>
    <row r="794" spans="1:13" x14ac:dyDescent="0.25">
      <c r="A794">
        <v>1000</v>
      </c>
      <c r="B794">
        <v>1000</v>
      </c>
      <c r="C794" s="1">
        <v>45961</v>
      </c>
      <c r="D794">
        <v>92762</v>
      </c>
      <c r="E794">
        <v>304</v>
      </c>
      <c r="F794" s="2">
        <v>5143.4799999999996</v>
      </c>
      <c r="G794" s="1">
        <v>45965</v>
      </c>
      <c r="I794" t="s">
        <v>9</v>
      </c>
      <c r="J794" s="14">
        <f>IFERROR(VLOOKUP(D794,'INf. RRHH'!$A:$B,2,0),0)</f>
        <v>2900</v>
      </c>
      <c r="K794" s="16">
        <f t="shared" si="36"/>
        <v>2243.4799999999996</v>
      </c>
      <c r="L794" s="17">
        <f t="shared" si="37"/>
        <v>966.67</v>
      </c>
      <c r="M794" s="18">
        <f t="shared" si="38"/>
        <v>3210.1499999999996</v>
      </c>
    </row>
    <row r="795" spans="1:13" x14ac:dyDescent="0.25">
      <c r="A795">
        <v>1000</v>
      </c>
      <c r="B795">
        <v>1000</v>
      </c>
      <c r="C795" s="1">
        <v>45961</v>
      </c>
      <c r="D795">
        <v>92933</v>
      </c>
      <c r="E795">
        <v>296</v>
      </c>
      <c r="F795" s="2">
        <v>4683.6000000000004</v>
      </c>
      <c r="G795" s="1">
        <v>45965</v>
      </c>
      <c r="I795" t="s">
        <v>9</v>
      </c>
      <c r="J795" s="14">
        <f>IFERROR(VLOOKUP(D795,'INf. RRHH'!$A:$B,2,0),0)</f>
        <v>2900</v>
      </c>
      <c r="K795" s="16">
        <f t="shared" si="36"/>
        <v>1783.6000000000004</v>
      </c>
      <c r="L795" s="17">
        <f t="shared" si="37"/>
        <v>966.67</v>
      </c>
      <c r="M795" s="18">
        <f t="shared" si="38"/>
        <v>2750.2700000000004</v>
      </c>
    </row>
    <row r="796" spans="1:13" x14ac:dyDescent="0.25">
      <c r="A796">
        <v>1000</v>
      </c>
      <c r="B796">
        <v>1000</v>
      </c>
      <c r="C796" s="1">
        <v>45961</v>
      </c>
      <c r="D796">
        <v>93038</v>
      </c>
      <c r="E796">
        <v>240</v>
      </c>
      <c r="F796" s="2">
        <v>4461.5</v>
      </c>
      <c r="G796" s="1">
        <v>45965</v>
      </c>
      <c r="I796" t="s">
        <v>9</v>
      </c>
      <c r="J796" s="14">
        <f>IFERROR(VLOOKUP(D796,'INf. RRHH'!$A:$B,2,0),0)</f>
        <v>2900</v>
      </c>
      <c r="K796" s="16">
        <f t="shared" si="36"/>
        <v>1561.5</v>
      </c>
      <c r="L796" s="17">
        <f t="shared" si="37"/>
        <v>966.67</v>
      </c>
      <c r="M796" s="18">
        <f t="shared" si="38"/>
        <v>2528.17</v>
      </c>
    </row>
    <row r="797" spans="1:13" x14ac:dyDescent="0.25">
      <c r="A797">
        <v>1000</v>
      </c>
      <c r="B797">
        <v>1000</v>
      </c>
      <c r="C797" s="1">
        <v>45961</v>
      </c>
      <c r="D797">
        <v>93056</v>
      </c>
      <c r="E797">
        <v>208</v>
      </c>
      <c r="F797" s="2">
        <v>4838.7299999999996</v>
      </c>
      <c r="G797" s="1">
        <v>45965</v>
      </c>
      <c r="I797" t="s">
        <v>9</v>
      </c>
      <c r="J797" s="14">
        <f>IFERROR(VLOOKUP(D797,'INf. RRHH'!$A:$B,2,0),0)</f>
        <v>2900</v>
      </c>
      <c r="K797" s="16">
        <f t="shared" si="36"/>
        <v>1938.7299999999996</v>
      </c>
      <c r="L797" s="17">
        <f t="shared" si="37"/>
        <v>966.67</v>
      </c>
      <c r="M797" s="18">
        <f t="shared" si="38"/>
        <v>2905.3999999999996</v>
      </c>
    </row>
    <row r="798" spans="1:13" x14ac:dyDescent="0.25">
      <c r="A798">
        <v>1000</v>
      </c>
      <c r="B798">
        <v>1000</v>
      </c>
      <c r="C798" s="1">
        <v>45961</v>
      </c>
      <c r="D798">
        <v>93077</v>
      </c>
      <c r="E798">
        <v>240</v>
      </c>
      <c r="F798" s="2">
        <v>5376.5</v>
      </c>
      <c r="G798" s="1">
        <v>45965</v>
      </c>
      <c r="I798" t="s">
        <v>9</v>
      </c>
      <c r="J798" s="14">
        <f>IFERROR(VLOOKUP(D798,'INf. RRHH'!$A:$B,2,0),0)</f>
        <v>2900</v>
      </c>
      <c r="K798" s="16">
        <f t="shared" si="36"/>
        <v>2476.5</v>
      </c>
      <c r="L798" s="17">
        <f t="shared" si="37"/>
        <v>966.67</v>
      </c>
      <c r="M798" s="18">
        <f t="shared" si="38"/>
        <v>3443.17</v>
      </c>
    </row>
    <row r="799" spans="1:13" x14ac:dyDescent="0.25">
      <c r="A799">
        <v>1000</v>
      </c>
      <c r="B799">
        <v>1000</v>
      </c>
      <c r="C799" s="1">
        <v>45961</v>
      </c>
      <c r="D799">
        <v>93155</v>
      </c>
      <c r="E799">
        <v>301</v>
      </c>
      <c r="F799" s="2">
        <v>7127.5</v>
      </c>
      <c r="G799" s="1">
        <v>45965</v>
      </c>
      <c r="I799" t="s">
        <v>9</v>
      </c>
      <c r="J799" s="14">
        <f>IFERROR(VLOOKUP(D799,'INf. RRHH'!$A:$B,2,0),0)</f>
        <v>2900</v>
      </c>
      <c r="K799" s="16">
        <f t="shared" si="36"/>
        <v>4227.5</v>
      </c>
      <c r="L799" s="17">
        <f t="shared" si="37"/>
        <v>966.67</v>
      </c>
      <c r="M799" s="18">
        <f t="shared" si="38"/>
        <v>5194.17</v>
      </c>
    </row>
    <row r="800" spans="1:13" x14ac:dyDescent="0.25">
      <c r="A800">
        <v>1000</v>
      </c>
      <c r="B800">
        <v>1000</v>
      </c>
      <c r="C800" s="1">
        <v>45961</v>
      </c>
      <c r="D800">
        <v>93164</v>
      </c>
      <c r="E800">
        <v>0</v>
      </c>
      <c r="F800" s="2">
        <v>3041.83</v>
      </c>
      <c r="G800" s="1">
        <v>45965</v>
      </c>
      <c r="I800" t="s">
        <v>9</v>
      </c>
      <c r="J800" s="14">
        <f>IFERROR(VLOOKUP(D800,'INf. RRHH'!$A:$B,2,0),0)</f>
        <v>2900</v>
      </c>
      <c r="K800" s="16">
        <f t="shared" si="36"/>
        <v>141.82999999999993</v>
      </c>
      <c r="L800" s="17">
        <f t="shared" si="37"/>
        <v>966.67</v>
      </c>
      <c r="M800" s="18">
        <f t="shared" si="38"/>
        <v>1108.5</v>
      </c>
    </row>
    <row r="801" spans="1:13" x14ac:dyDescent="0.25">
      <c r="A801">
        <v>1000</v>
      </c>
      <c r="B801">
        <v>1000</v>
      </c>
      <c r="C801" s="1">
        <v>45961</v>
      </c>
      <c r="D801">
        <v>93173</v>
      </c>
      <c r="E801">
        <v>240</v>
      </c>
      <c r="F801" s="2">
        <v>5551.58</v>
      </c>
      <c r="G801" s="1">
        <v>45965</v>
      </c>
      <c r="I801" t="s">
        <v>9</v>
      </c>
      <c r="J801" s="14">
        <f>IFERROR(VLOOKUP(D801,'INf. RRHH'!$A:$B,2,0),0)</f>
        <v>2900</v>
      </c>
      <c r="K801" s="16">
        <f t="shared" si="36"/>
        <v>2651.58</v>
      </c>
      <c r="L801" s="17">
        <f t="shared" si="37"/>
        <v>966.67</v>
      </c>
      <c r="M801" s="18">
        <f t="shared" si="38"/>
        <v>3618.25</v>
      </c>
    </row>
    <row r="802" spans="1:13" x14ac:dyDescent="0.25">
      <c r="A802">
        <v>1000</v>
      </c>
      <c r="B802">
        <v>1000</v>
      </c>
      <c r="C802" s="1">
        <v>45961</v>
      </c>
      <c r="D802">
        <v>93210</v>
      </c>
      <c r="E802">
        <v>270</v>
      </c>
      <c r="F802" s="2">
        <v>6704.6</v>
      </c>
      <c r="G802" s="1">
        <v>45965</v>
      </c>
      <c r="I802" t="s">
        <v>9</v>
      </c>
      <c r="J802" s="14">
        <f>IFERROR(VLOOKUP(D802,'INf. RRHH'!$A:$B,2,0),0)</f>
        <v>2900</v>
      </c>
      <c r="K802" s="16">
        <f t="shared" si="36"/>
        <v>3804.6000000000004</v>
      </c>
      <c r="L802" s="17">
        <f t="shared" si="37"/>
        <v>966.67</v>
      </c>
      <c r="M802" s="18">
        <f t="shared" si="38"/>
        <v>4771.2700000000004</v>
      </c>
    </row>
    <row r="803" spans="1:13" x14ac:dyDescent="0.25">
      <c r="A803">
        <v>1000</v>
      </c>
      <c r="B803">
        <v>1000</v>
      </c>
      <c r="C803" s="1">
        <v>45961</v>
      </c>
      <c r="D803">
        <v>93394</v>
      </c>
      <c r="E803">
        <v>300.25</v>
      </c>
      <c r="F803" s="2">
        <v>6570.26</v>
      </c>
      <c r="G803" s="1">
        <v>45965</v>
      </c>
      <c r="I803" t="s">
        <v>9</v>
      </c>
      <c r="J803" s="14">
        <f>IFERROR(VLOOKUP(D803,'INf. RRHH'!$A:$B,2,0),0)</f>
        <v>2900</v>
      </c>
      <c r="K803" s="16">
        <f t="shared" si="36"/>
        <v>3670.26</v>
      </c>
      <c r="L803" s="17">
        <f t="shared" si="37"/>
        <v>966.67</v>
      </c>
      <c r="M803" s="18">
        <f t="shared" si="38"/>
        <v>4636.93</v>
      </c>
    </row>
    <row r="804" spans="1:13" x14ac:dyDescent="0.25">
      <c r="A804">
        <v>1000</v>
      </c>
      <c r="B804">
        <v>1000</v>
      </c>
      <c r="C804" s="1">
        <v>45961</v>
      </c>
      <c r="D804">
        <v>93521</v>
      </c>
      <c r="E804">
        <v>259.5</v>
      </c>
      <c r="F804" s="2">
        <v>6059.02</v>
      </c>
      <c r="G804" s="1">
        <v>45965</v>
      </c>
      <c r="I804" t="s">
        <v>9</v>
      </c>
      <c r="J804" s="14">
        <f>IFERROR(VLOOKUP(D804,'INf. RRHH'!$A:$B,2,0),0)</f>
        <v>2900</v>
      </c>
      <c r="K804" s="16">
        <f t="shared" si="36"/>
        <v>3159.0200000000004</v>
      </c>
      <c r="L804" s="17">
        <f t="shared" si="37"/>
        <v>966.67</v>
      </c>
      <c r="M804" s="18">
        <f t="shared" si="38"/>
        <v>4125.6900000000005</v>
      </c>
    </row>
    <row r="805" spans="1:13" x14ac:dyDescent="0.25">
      <c r="A805">
        <v>1000</v>
      </c>
      <c r="B805">
        <v>1000</v>
      </c>
      <c r="C805" s="1">
        <v>45961</v>
      </c>
      <c r="D805">
        <v>93532</v>
      </c>
      <c r="E805">
        <v>113</v>
      </c>
      <c r="F805" s="2">
        <v>5538.36</v>
      </c>
      <c r="G805" s="1">
        <v>45965</v>
      </c>
      <c r="I805" t="s">
        <v>9</v>
      </c>
      <c r="J805" s="14">
        <f>IFERROR(VLOOKUP(D805,'INf. RRHH'!$A:$B,2,0),0)</f>
        <v>2900</v>
      </c>
      <c r="K805" s="16">
        <f t="shared" si="36"/>
        <v>2638.3599999999997</v>
      </c>
      <c r="L805" s="17">
        <f t="shared" si="37"/>
        <v>966.67</v>
      </c>
      <c r="M805" s="18">
        <f t="shared" si="38"/>
        <v>3605.0299999999997</v>
      </c>
    </row>
    <row r="806" spans="1:13" x14ac:dyDescent="0.25">
      <c r="A806">
        <v>1000</v>
      </c>
      <c r="B806">
        <v>1000</v>
      </c>
      <c r="C806" s="1">
        <v>45961</v>
      </c>
      <c r="D806">
        <v>93824</v>
      </c>
      <c r="E806">
        <v>240</v>
      </c>
      <c r="F806" s="2">
        <v>5465.96</v>
      </c>
      <c r="G806" s="1">
        <v>45965</v>
      </c>
      <c r="I806" t="s">
        <v>9</v>
      </c>
      <c r="J806" s="14">
        <f>IFERROR(VLOOKUP(D806,'INf. RRHH'!$A:$B,2,0),0)</f>
        <v>2900</v>
      </c>
      <c r="K806" s="16">
        <f t="shared" si="36"/>
        <v>2565.96</v>
      </c>
      <c r="L806" s="17">
        <f t="shared" si="37"/>
        <v>966.67</v>
      </c>
      <c r="M806" s="18">
        <f t="shared" si="38"/>
        <v>3532.63</v>
      </c>
    </row>
    <row r="807" spans="1:13" x14ac:dyDescent="0.25">
      <c r="A807">
        <v>1000</v>
      </c>
      <c r="B807">
        <v>1000</v>
      </c>
      <c r="C807" s="1">
        <v>45961</v>
      </c>
      <c r="D807">
        <v>94049</v>
      </c>
      <c r="E807">
        <v>224</v>
      </c>
      <c r="F807" s="2">
        <v>5321.53</v>
      </c>
      <c r="G807" s="1">
        <v>45965</v>
      </c>
      <c r="I807" t="s">
        <v>9</v>
      </c>
      <c r="J807" s="14">
        <f>IFERROR(VLOOKUP(D807,'INf. RRHH'!$A:$B,2,0),0)</f>
        <v>2900</v>
      </c>
      <c r="K807" s="16">
        <f t="shared" si="36"/>
        <v>2421.5299999999997</v>
      </c>
      <c r="L807" s="17">
        <f t="shared" si="37"/>
        <v>966.67</v>
      </c>
      <c r="M807" s="18">
        <f t="shared" si="38"/>
        <v>3388.2</v>
      </c>
    </row>
    <row r="808" spans="1:13" x14ac:dyDescent="0.25">
      <c r="A808">
        <v>1000</v>
      </c>
      <c r="B808">
        <v>1000</v>
      </c>
      <c r="C808" s="1">
        <v>45961</v>
      </c>
      <c r="D808">
        <v>94252</v>
      </c>
      <c r="E808">
        <v>272</v>
      </c>
      <c r="F808" s="2">
        <v>6653.75</v>
      </c>
      <c r="G808" s="1">
        <v>45965</v>
      </c>
      <c r="I808" t="s">
        <v>9</v>
      </c>
      <c r="J808" s="14">
        <f>IFERROR(VLOOKUP(D808,'INf. RRHH'!$A:$B,2,0),0)</f>
        <v>2900</v>
      </c>
      <c r="K808" s="16">
        <f t="shared" si="36"/>
        <v>3753.75</v>
      </c>
      <c r="L808" s="17">
        <f t="shared" si="37"/>
        <v>966.67</v>
      </c>
      <c r="M808" s="18">
        <f t="shared" si="38"/>
        <v>4720.42</v>
      </c>
    </row>
    <row r="809" spans="1:13" x14ac:dyDescent="0.25">
      <c r="A809">
        <v>1000</v>
      </c>
      <c r="B809">
        <v>1000</v>
      </c>
      <c r="C809" s="1">
        <v>45961</v>
      </c>
      <c r="D809">
        <v>94271</v>
      </c>
      <c r="E809">
        <v>24</v>
      </c>
      <c r="F809" s="2">
        <v>5716.37</v>
      </c>
      <c r="G809" s="1">
        <v>45965</v>
      </c>
      <c r="I809" t="s">
        <v>9</v>
      </c>
      <c r="J809" s="14">
        <f>IFERROR(VLOOKUP(D809,'INf. RRHH'!$A:$B,2,0),0)</f>
        <v>2900</v>
      </c>
      <c r="K809" s="16">
        <f t="shared" si="36"/>
        <v>2816.37</v>
      </c>
      <c r="L809" s="17">
        <f t="shared" si="37"/>
        <v>966.67</v>
      </c>
      <c r="M809" s="18">
        <f t="shared" si="38"/>
        <v>3783.04</v>
      </c>
    </row>
    <row r="810" spans="1:13" x14ac:dyDescent="0.25">
      <c r="A810">
        <v>1000</v>
      </c>
      <c r="B810">
        <v>1000</v>
      </c>
      <c r="C810" s="1">
        <v>45961</v>
      </c>
      <c r="D810">
        <v>94326</v>
      </c>
      <c r="E810">
        <v>338</v>
      </c>
      <c r="F810" s="2">
        <v>6694.31</v>
      </c>
      <c r="G810" s="1">
        <v>45965</v>
      </c>
      <c r="I810" t="s">
        <v>9</v>
      </c>
      <c r="J810" s="14">
        <f>IFERROR(VLOOKUP(D810,'INf. RRHH'!$A:$B,2,0),0)</f>
        <v>2900</v>
      </c>
      <c r="K810" s="16">
        <f t="shared" si="36"/>
        <v>3794.3100000000004</v>
      </c>
      <c r="L810" s="17">
        <f t="shared" si="37"/>
        <v>966.67</v>
      </c>
      <c r="M810" s="18">
        <f t="shared" si="38"/>
        <v>4760.9800000000005</v>
      </c>
    </row>
    <row r="811" spans="1:13" x14ac:dyDescent="0.25">
      <c r="A811">
        <v>1000</v>
      </c>
      <c r="B811">
        <v>1000</v>
      </c>
      <c r="C811" s="1">
        <v>45961</v>
      </c>
      <c r="D811">
        <v>94406</v>
      </c>
      <c r="E811">
        <v>303</v>
      </c>
      <c r="F811" s="2">
        <v>6563.34</v>
      </c>
      <c r="G811" s="1">
        <v>45965</v>
      </c>
      <c r="I811" t="s">
        <v>9</v>
      </c>
      <c r="J811" s="14">
        <f>IFERROR(VLOOKUP(D811,'INf. RRHH'!$A:$B,2,0),0)</f>
        <v>2900</v>
      </c>
      <c r="K811" s="16">
        <f t="shared" si="36"/>
        <v>3663.34</v>
      </c>
      <c r="L811" s="17">
        <f t="shared" si="37"/>
        <v>966.67</v>
      </c>
      <c r="M811" s="18">
        <f t="shared" si="38"/>
        <v>4630.01</v>
      </c>
    </row>
    <row r="812" spans="1:13" x14ac:dyDescent="0.25">
      <c r="A812">
        <v>1000</v>
      </c>
      <c r="B812">
        <v>1000</v>
      </c>
      <c r="C812" s="1">
        <v>45961</v>
      </c>
      <c r="D812">
        <v>94442</v>
      </c>
      <c r="E812">
        <v>240</v>
      </c>
      <c r="F812" s="2">
        <v>4534.8100000000004</v>
      </c>
      <c r="G812" s="1">
        <v>45965</v>
      </c>
      <c r="I812" t="s">
        <v>9</v>
      </c>
      <c r="J812" s="14">
        <f>IFERROR(VLOOKUP(D812,'INf. RRHH'!$A:$B,2,0),0)</f>
        <v>2900</v>
      </c>
      <c r="K812" s="16">
        <f t="shared" si="36"/>
        <v>1634.8100000000004</v>
      </c>
      <c r="L812" s="17">
        <f t="shared" si="37"/>
        <v>966.67</v>
      </c>
      <c r="M812" s="18">
        <f t="shared" si="38"/>
        <v>2601.4800000000005</v>
      </c>
    </row>
    <row r="813" spans="1:13" x14ac:dyDescent="0.25">
      <c r="A813">
        <v>1000</v>
      </c>
      <c r="B813">
        <v>1000</v>
      </c>
      <c r="C813" s="1">
        <v>45961</v>
      </c>
      <c r="D813">
        <v>94522</v>
      </c>
      <c r="E813">
        <v>145</v>
      </c>
      <c r="F813" s="2">
        <v>5293.69</v>
      </c>
      <c r="G813" s="1">
        <v>45965</v>
      </c>
      <c r="I813" t="s">
        <v>9</v>
      </c>
      <c r="J813" s="14">
        <f>IFERROR(VLOOKUP(D813,'INf. RRHH'!$A:$B,2,0),0)</f>
        <v>2900</v>
      </c>
      <c r="K813" s="16">
        <f t="shared" si="36"/>
        <v>2393.6899999999996</v>
      </c>
      <c r="L813" s="17">
        <f t="shared" si="37"/>
        <v>966.67</v>
      </c>
      <c r="M813" s="18">
        <f t="shared" si="38"/>
        <v>3360.3599999999997</v>
      </c>
    </row>
    <row r="814" spans="1:13" x14ac:dyDescent="0.25">
      <c r="A814">
        <v>1000</v>
      </c>
      <c r="B814">
        <v>1000</v>
      </c>
      <c r="C814" s="1">
        <v>45961</v>
      </c>
      <c r="D814">
        <v>95213</v>
      </c>
      <c r="E814">
        <v>240</v>
      </c>
      <c r="F814" s="2">
        <v>4873.3500000000004</v>
      </c>
      <c r="G814" s="1">
        <v>45965</v>
      </c>
      <c r="I814" t="s">
        <v>9</v>
      </c>
      <c r="J814" s="14">
        <f>IFERROR(VLOOKUP(D814,'INf. RRHH'!$A:$B,2,0),0)</f>
        <v>2900</v>
      </c>
      <c r="K814" s="16">
        <f t="shared" si="36"/>
        <v>1973.3500000000004</v>
      </c>
      <c r="L814" s="17">
        <f t="shared" si="37"/>
        <v>966.67</v>
      </c>
      <c r="M814" s="18">
        <f t="shared" si="38"/>
        <v>2940.0200000000004</v>
      </c>
    </row>
    <row r="815" spans="1:13" x14ac:dyDescent="0.25">
      <c r="A815">
        <v>1000</v>
      </c>
      <c r="B815">
        <v>1000</v>
      </c>
      <c r="C815" s="1">
        <v>45961</v>
      </c>
      <c r="D815">
        <v>95312</v>
      </c>
      <c r="E815">
        <v>240</v>
      </c>
      <c r="F815" s="2">
        <v>4968.17</v>
      </c>
      <c r="G815" s="1">
        <v>45965</v>
      </c>
      <c r="I815" t="s">
        <v>9</v>
      </c>
      <c r="J815" s="14">
        <f>IFERROR(VLOOKUP(D815,'INf. RRHH'!$A:$B,2,0),0)</f>
        <v>2900</v>
      </c>
      <c r="K815" s="16">
        <f t="shared" si="36"/>
        <v>2068.17</v>
      </c>
      <c r="L815" s="17">
        <f t="shared" si="37"/>
        <v>966.67</v>
      </c>
      <c r="M815" s="18">
        <f t="shared" si="38"/>
        <v>3034.84</v>
      </c>
    </row>
    <row r="816" spans="1:13" x14ac:dyDescent="0.25">
      <c r="A816">
        <v>1000</v>
      </c>
      <c r="B816">
        <v>1000</v>
      </c>
      <c r="C816" s="1">
        <v>45961</v>
      </c>
      <c r="D816">
        <v>90373</v>
      </c>
      <c r="E816">
        <v>240</v>
      </c>
      <c r="F816" s="2">
        <v>4157.5</v>
      </c>
      <c r="G816" s="1">
        <v>45965</v>
      </c>
      <c r="I816" t="s">
        <v>9</v>
      </c>
      <c r="J816" s="14">
        <f>IFERROR(VLOOKUP(D816,'INf. RRHH'!$A:$B,2,0),0)</f>
        <v>2900</v>
      </c>
      <c r="K816" s="16">
        <f t="shared" si="36"/>
        <v>1257.5</v>
      </c>
      <c r="L816" s="17">
        <f t="shared" si="37"/>
        <v>966.67</v>
      </c>
      <c r="M816" s="18">
        <f t="shared" si="38"/>
        <v>2224.17</v>
      </c>
    </row>
    <row r="817" spans="1:13" x14ac:dyDescent="0.25">
      <c r="A817">
        <v>1000</v>
      </c>
      <c r="B817">
        <v>1000</v>
      </c>
      <c r="C817" s="1">
        <v>45961</v>
      </c>
      <c r="D817">
        <v>90463</v>
      </c>
      <c r="E817">
        <v>123</v>
      </c>
      <c r="F817" s="2">
        <v>5426.58</v>
      </c>
      <c r="G817" s="1">
        <v>45965</v>
      </c>
      <c r="I817" t="s">
        <v>9</v>
      </c>
      <c r="J817" s="14">
        <f>IFERROR(VLOOKUP(D817,'INf. RRHH'!$A:$B,2,0),0)</f>
        <v>2900</v>
      </c>
      <c r="K817" s="16">
        <f t="shared" si="36"/>
        <v>2526.58</v>
      </c>
      <c r="L817" s="17">
        <f t="shared" si="37"/>
        <v>966.67</v>
      </c>
      <c r="M817" s="18">
        <f t="shared" si="38"/>
        <v>3493.25</v>
      </c>
    </row>
    <row r="818" spans="1:13" x14ac:dyDescent="0.25">
      <c r="A818">
        <v>1000</v>
      </c>
      <c r="B818">
        <v>1000</v>
      </c>
      <c r="C818" s="1">
        <v>45961</v>
      </c>
      <c r="D818">
        <v>90483</v>
      </c>
      <c r="E818">
        <v>322.5</v>
      </c>
      <c r="F818" s="2">
        <v>6268.95</v>
      </c>
      <c r="G818" s="1">
        <v>45965</v>
      </c>
      <c r="I818" t="s">
        <v>9</v>
      </c>
      <c r="J818" s="14">
        <f>IFERROR(VLOOKUP(D818,'INf. RRHH'!$A:$B,2,0),0)</f>
        <v>2900</v>
      </c>
      <c r="K818" s="16">
        <f t="shared" si="36"/>
        <v>3368.95</v>
      </c>
      <c r="L818" s="17">
        <f t="shared" si="37"/>
        <v>966.67</v>
      </c>
      <c r="M818" s="18">
        <f t="shared" si="38"/>
        <v>4335.62</v>
      </c>
    </row>
    <row r="819" spans="1:13" x14ac:dyDescent="0.25">
      <c r="A819">
        <v>1000</v>
      </c>
      <c r="B819">
        <v>1000</v>
      </c>
      <c r="C819" s="1">
        <v>45961</v>
      </c>
      <c r="D819">
        <v>90495</v>
      </c>
      <c r="E819">
        <v>296</v>
      </c>
      <c r="F819" s="2">
        <v>4580.59</v>
      </c>
      <c r="G819" s="1">
        <v>45965</v>
      </c>
      <c r="I819" t="s">
        <v>9</v>
      </c>
      <c r="J819" s="14">
        <f>IFERROR(VLOOKUP(D819,'INf. RRHH'!$A:$B,2,0),0)</f>
        <v>2900</v>
      </c>
      <c r="K819" s="16">
        <f t="shared" si="36"/>
        <v>1680.5900000000001</v>
      </c>
      <c r="L819" s="17">
        <f t="shared" si="37"/>
        <v>966.67</v>
      </c>
      <c r="M819" s="18">
        <f t="shared" si="38"/>
        <v>2647.26</v>
      </c>
    </row>
    <row r="820" spans="1:13" x14ac:dyDescent="0.25">
      <c r="A820">
        <v>1000</v>
      </c>
      <c r="B820">
        <v>1000</v>
      </c>
      <c r="C820" s="1">
        <v>45961</v>
      </c>
      <c r="D820">
        <v>90564</v>
      </c>
      <c r="E820">
        <v>330.95</v>
      </c>
      <c r="F820" s="2">
        <v>6726.09</v>
      </c>
      <c r="G820" s="1">
        <v>45965</v>
      </c>
      <c r="I820" t="s">
        <v>9</v>
      </c>
      <c r="J820" s="14">
        <f>IFERROR(VLOOKUP(D820,'INf. RRHH'!$A:$B,2,0),0)</f>
        <v>2900</v>
      </c>
      <c r="K820" s="16">
        <f t="shared" si="36"/>
        <v>3826.09</v>
      </c>
      <c r="L820" s="17">
        <f t="shared" si="37"/>
        <v>966.67</v>
      </c>
      <c r="M820" s="18">
        <f t="shared" si="38"/>
        <v>4792.76</v>
      </c>
    </row>
    <row r="821" spans="1:13" x14ac:dyDescent="0.25">
      <c r="A821">
        <v>1000</v>
      </c>
      <c r="B821">
        <v>1000</v>
      </c>
      <c r="C821" s="1">
        <v>45961</v>
      </c>
      <c r="D821">
        <v>90570</v>
      </c>
      <c r="E821">
        <v>355</v>
      </c>
      <c r="F821" s="2">
        <v>7844.94</v>
      </c>
      <c r="G821" s="1">
        <v>45965</v>
      </c>
      <c r="I821" t="s">
        <v>9</v>
      </c>
      <c r="J821" s="14">
        <f>IFERROR(VLOOKUP(D821,'INf. RRHH'!$A:$B,2,0),0)</f>
        <v>2900</v>
      </c>
      <c r="K821" s="16">
        <f t="shared" si="36"/>
        <v>4944.9399999999996</v>
      </c>
      <c r="L821" s="17">
        <f t="shared" si="37"/>
        <v>966.67</v>
      </c>
      <c r="M821" s="18">
        <f t="shared" si="38"/>
        <v>5911.61</v>
      </c>
    </row>
    <row r="822" spans="1:13" x14ac:dyDescent="0.25">
      <c r="A822">
        <v>1000</v>
      </c>
      <c r="B822">
        <v>1000</v>
      </c>
      <c r="C822" s="1">
        <v>45961</v>
      </c>
      <c r="D822">
        <v>90652</v>
      </c>
      <c r="E822">
        <v>32</v>
      </c>
      <c r="F822" s="2">
        <v>5740.63</v>
      </c>
      <c r="G822" s="1">
        <v>45965</v>
      </c>
      <c r="I822" t="s">
        <v>9</v>
      </c>
      <c r="J822" s="14">
        <f>IFERROR(VLOOKUP(D822,'INf. RRHH'!$A:$B,2,0),0)</f>
        <v>2900</v>
      </c>
      <c r="K822" s="16">
        <f t="shared" si="36"/>
        <v>2840.63</v>
      </c>
      <c r="L822" s="17">
        <f t="shared" si="37"/>
        <v>966.67</v>
      </c>
      <c r="M822" s="18">
        <f t="shared" si="38"/>
        <v>3807.3</v>
      </c>
    </row>
    <row r="823" spans="1:13" x14ac:dyDescent="0.25">
      <c r="A823">
        <v>1000</v>
      </c>
      <c r="B823">
        <v>1000</v>
      </c>
      <c r="C823" s="1">
        <v>45961</v>
      </c>
      <c r="D823">
        <v>90663</v>
      </c>
      <c r="E823">
        <v>267</v>
      </c>
      <c r="F823" s="2">
        <v>5913.62</v>
      </c>
      <c r="G823" s="1">
        <v>45965</v>
      </c>
      <c r="I823" t="s">
        <v>9</v>
      </c>
      <c r="J823" s="14">
        <f>IFERROR(VLOOKUP(D823,'INf. RRHH'!$A:$B,2,0),0)</f>
        <v>2900</v>
      </c>
      <c r="K823" s="16">
        <f t="shared" si="36"/>
        <v>3013.62</v>
      </c>
      <c r="L823" s="17">
        <f t="shared" si="37"/>
        <v>966.67</v>
      </c>
      <c r="M823" s="18">
        <f t="shared" si="38"/>
        <v>3980.29</v>
      </c>
    </row>
    <row r="824" spans="1:13" x14ac:dyDescent="0.25">
      <c r="A824">
        <v>1000</v>
      </c>
      <c r="B824">
        <v>1000</v>
      </c>
      <c r="C824" s="1">
        <v>45961</v>
      </c>
      <c r="D824">
        <v>90727</v>
      </c>
      <c r="E824">
        <v>282</v>
      </c>
      <c r="F824" s="2">
        <v>7713.25</v>
      </c>
      <c r="G824" s="1">
        <v>45965</v>
      </c>
      <c r="I824" t="s">
        <v>9</v>
      </c>
      <c r="J824" s="14">
        <f>IFERROR(VLOOKUP(D824,'INf. RRHH'!$A:$B,2,0),0)</f>
        <v>2900</v>
      </c>
      <c r="K824" s="16">
        <f t="shared" si="36"/>
        <v>4813.25</v>
      </c>
      <c r="L824" s="17">
        <f t="shared" si="37"/>
        <v>966.67</v>
      </c>
      <c r="M824" s="18">
        <f t="shared" si="38"/>
        <v>5779.92</v>
      </c>
    </row>
    <row r="825" spans="1:13" x14ac:dyDescent="0.25">
      <c r="A825">
        <v>1000</v>
      </c>
      <c r="B825">
        <v>1000</v>
      </c>
      <c r="C825" s="1">
        <v>45961</v>
      </c>
      <c r="D825">
        <v>90909</v>
      </c>
      <c r="E825">
        <v>312</v>
      </c>
      <c r="F825" s="2">
        <v>6353.3</v>
      </c>
      <c r="G825" s="1">
        <v>45965</v>
      </c>
      <c r="I825" t="s">
        <v>9</v>
      </c>
      <c r="J825" s="14">
        <f>IFERROR(VLOOKUP(D825,'INf. RRHH'!$A:$B,2,0),0)</f>
        <v>2900</v>
      </c>
      <c r="K825" s="16">
        <f t="shared" si="36"/>
        <v>3453.3</v>
      </c>
      <c r="L825" s="17">
        <f t="shared" si="37"/>
        <v>966.67</v>
      </c>
      <c r="M825" s="18">
        <f t="shared" si="38"/>
        <v>4419.97</v>
      </c>
    </row>
    <row r="826" spans="1:13" x14ac:dyDescent="0.25">
      <c r="A826">
        <v>1000</v>
      </c>
      <c r="B826">
        <v>1000</v>
      </c>
      <c r="C826" s="1">
        <v>45961</v>
      </c>
      <c r="D826">
        <v>91131</v>
      </c>
      <c r="E826">
        <v>391</v>
      </c>
      <c r="F826" s="2">
        <v>6651.74</v>
      </c>
      <c r="G826" s="1">
        <v>45965</v>
      </c>
      <c r="I826" t="s">
        <v>9</v>
      </c>
      <c r="J826" s="14">
        <f>IFERROR(VLOOKUP(D826,'INf. RRHH'!$A:$B,2,0),0)</f>
        <v>2900</v>
      </c>
      <c r="K826" s="16">
        <f t="shared" si="36"/>
        <v>3751.74</v>
      </c>
      <c r="L826" s="17">
        <f t="shared" si="37"/>
        <v>966.67</v>
      </c>
      <c r="M826" s="18">
        <f t="shared" si="38"/>
        <v>4718.41</v>
      </c>
    </row>
    <row r="827" spans="1:13" x14ac:dyDescent="0.25">
      <c r="A827">
        <v>1000</v>
      </c>
      <c r="B827">
        <v>1000</v>
      </c>
      <c r="C827" s="1">
        <v>45961</v>
      </c>
      <c r="D827">
        <v>91311</v>
      </c>
      <c r="E827">
        <v>240</v>
      </c>
      <c r="F827" s="2">
        <v>4121.05</v>
      </c>
      <c r="G827" s="1">
        <v>45965</v>
      </c>
      <c r="I827" t="s">
        <v>9</v>
      </c>
      <c r="J827" s="14">
        <f>IFERROR(VLOOKUP(D827,'INf. RRHH'!$A:$B,2,0),0)</f>
        <v>2900</v>
      </c>
      <c r="K827" s="16">
        <f t="shared" si="36"/>
        <v>1221.0500000000002</v>
      </c>
      <c r="L827" s="17">
        <f t="shared" si="37"/>
        <v>966.67</v>
      </c>
      <c r="M827" s="18">
        <f t="shared" si="38"/>
        <v>2187.7200000000003</v>
      </c>
    </row>
    <row r="828" spans="1:13" x14ac:dyDescent="0.25">
      <c r="A828">
        <v>1000</v>
      </c>
      <c r="B828">
        <v>1000</v>
      </c>
      <c r="C828" s="1">
        <v>45961</v>
      </c>
      <c r="D828">
        <v>91566</v>
      </c>
      <c r="E828">
        <v>233</v>
      </c>
      <c r="F828" s="2">
        <v>5532.89</v>
      </c>
      <c r="G828" s="1">
        <v>45965</v>
      </c>
      <c r="I828" t="s">
        <v>9</v>
      </c>
      <c r="J828" s="14">
        <f>IFERROR(VLOOKUP(D828,'INf. RRHH'!$A:$B,2,0),0)</f>
        <v>2900</v>
      </c>
      <c r="K828" s="16">
        <f t="shared" si="36"/>
        <v>2632.8900000000003</v>
      </c>
      <c r="L828" s="17">
        <f t="shared" si="37"/>
        <v>966.67</v>
      </c>
      <c r="M828" s="18">
        <f t="shared" si="38"/>
        <v>3599.5600000000004</v>
      </c>
    </row>
    <row r="829" spans="1:13" x14ac:dyDescent="0.25">
      <c r="A829">
        <v>1000</v>
      </c>
      <c r="B829">
        <v>1000</v>
      </c>
      <c r="C829" s="1">
        <v>45961</v>
      </c>
      <c r="D829">
        <v>91638</v>
      </c>
      <c r="E829">
        <v>288</v>
      </c>
      <c r="F829" s="2">
        <v>4806.7700000000004</v>
      </c>
      <c r="G829" s="1">
        <v>45965</v>
      </c>
      <c r="I829" t="s">
        <v>9</v>
      </c>
      <c r="J829" s="14">
        <f>IFERROR(VLOOKUP(D829,'INf. RRHH'!$A:$B,2,0),0)</f>
        <v>2900</v>
      </c>
      <c r="K829" s="16">
        <f t="shared" si="36"/>
        <v>1906.7700000000004</v>
      </c>
      <c r="L829" s="17">
        <f t="shared" si="37"/>
        <v>966.67</v>
      </c>
      <c r="M829" s="18">
        <f t="shared" si="38"/>
        <v>2873.4400000000005</v>
      </c>
    </row>
    <row r="830" spans="1:13" x14ac:dyDescent="0.25">
      <c r="A830">
        <v>1000</v>
      </c>
      <c r="B830">
        <v>1000</v>
      </c>
      <c r="C830" s="1">
        <v>45961</v>
      </c>
      <c r="D830">
        <v>91653</v>
      </c>
      <c r="E830">
        <v>328</v>
      </c>
      <c r="F830" s="2">
        <v>6878.86</v>
      </c>
      <c r="G830" s="1">
        <v>45965</v>
      </c>
      <c r="I830" t="s">
        <v>9</v>
      </c>
      <c r="J830" s="14">
        <f>IFERROR(VLOOKUP(D830,'INf. RRHH'!$A:$B,2,0),0)</f>
        <v>2900</v>
      </c>
      <c r="K830" s="16">
        <f t="shared" si="36"/>
        <v>3978.8599999999997</v>
      </c>
      <c r="L830" s="17">
        <f t="shared" si="37"/>
        <v>966.67</v>
      </c>
      <c r="M830" s="18">
        <f t="shared" si="38"/>
        <v>4945.53</v>
      </c>
    </row>
    <row r="831" spans="1:13" x14ac:dyDescent="0.25">
      <c r="A831">
        <v>1000</v>
      </c>
      <c r="B831">
        <v>1000</v>
      </c>
      <c r="C831" s="1">
        <v>45961</v>
      </c>
      <c r="D831">
        <v>91716</v>
      </c>
      <c r="E831">
        <v>330</v>
      </c>
      <c r="F831" s="2">
        <v>6801.82</v>
      </c>
      <c r="G831" s="1">
        <v>45965</v>
      </c>
      <c r="I831" t="s">
        <v>9</v>
      </c>
      <c r="J831" s="14">
        <f>IFERROR(VLOOKUP(D831,'INf. RRHH'!$A:$B,2,0),0)</f>
        <v>2900</v>
      </c>
      <c r="K831" s="16">
        <f t="shared" si="36"/>
        <v>3901.8199999999997</v>
      </c>
      <c r="L831" s="17">
        <f t="shared" si="37"/>
        <v>966.67</v>
      </c>
      <c r="M831" s="18">
        <f t="shared" si="38"/>
        <v>4868.49</v>
      </c>
    </row>
    <row r="832" spans="1:13" x14ac:dyDescent="0.25">
      <c r="A832">
        <v>1000</v>
      </c>
      <c r="B832">
        <v>1000</v>
      </c>
      <c r="C832" s="1">
        <v>45961</v>
      </c>
      <c r="D832">
        <v>91773</v>
      </c>
      <c r="E832">
        <v>240</v>
      </c>
      <c r="F832" s="2">
        <v>3704.12</v>
      </c>
      <c r="G832" s="1">
        <v>45965</v>
      </c>
      <c r="I832" t="s">
        <v>9</v>
      </c>
      <c r="J832" s="14">
        <f>IFERROR(VLOOKUP(D832,'INf. RRHH'!$A:$B,2,0),0)</f>
        <v>2900</v>
      </c>
      <c r="K832" s="16">
        <f t="shared" si="36"/>
        <v>804.11999999999989</v>
      </c>
      <c r="L832" s="17">
        <f t="shared" si="37"/>
        <v>966.67</v>
      </c>
      <c r="M832" s="18">
        <f t="shared" si="38"/>
        <v>1770.79</v>
      </c>
    </row>
    <row r="833" spans="1:13" x14ac:dyDescent="0.25">
      <c r="A833">
        <v>1000</v>
      </c>
      <c r="B833">
        <v>1000</v>
      </c>
      <c r="C833" s="1">
        <v>45961</v>
      </c>
      <c r="D833">
        <v>91824</v>
      </c>
      <c r="E833">
        <v>324</v>
      </c>
      <c r="F833" s="2">
        <v>6732.74</v>
      </c>
      <c r="G833" s="1">
        <v>45965</v>
      </c>
      <c r="I833" t="s">
        <v>9</v>
      </c>
      <c r="J833" s="14">
        <f>IFERROR(VLOOKUP(D833,'INf. RRHH'!$A:$B,2,0),0)</f>
        <v>2900</v>
      </c>
      <c r="K833" s="16">
        <f t="shared" si="36"/>
        <v>3832.74</v>
      </c>
      <c r="L833" s="17">
        <f t="shared" si="37"/>
        <v>966.67</v>
      </c>
      <c r="M833" s="18">
        <f t="shared" si="38"/>
        <v>4799.41</v>
      </c>
    </row>
    <row r="834" spans="1:13" x14ac:dyDescent="0.25">
      <c r="A834">
        <v>1000</v>
      </c>
      <c r="B834">
        <v>1000</v>
      </c>
      <c r="C834" s="1">
        <v>45961</v>
      </c>
      <c r="D834">
        <v>91889</v>
      </c>
      <c r="E834">
        <v>240</v>
      </c>
      <c r="F834" s="2">
        <v>4769.63</v>
      </c>
      <c r="G834" s="1">
        <v>45965</v>
      </c>
      <c r="I834" t="s">
        <v>9</v>
      </c>
      <c r="J834" s="14">
        <f>IFERROR(VLOOKUP(D834,'INf. RRHH'!$A:$B,2,0),0)</f>
        <v>2900</v>
      </c>
      <c r="K834" s="16">
        <f t="shared" si="36"/>
        <v>1869.63</v>
      </c>
      <c r="L834" s="17">
        <f t="shared" si="37"/>
        <v>966.67</v>
      </c>
      <c r="M834" s="18">
        <f t="shared" si="38"/>
        <v>2836.3</v>
      </c>
    </row>
    <row r="835" spans="1:13" x14ac:dyDescent="0.25">
      <c r="A835">
        <v>1000</v>
      </c>
      <c r="B835">
        <v>1000</v>
      </c>
      <c r="C835" s="1">
        <v>45961</v>
      </c>
      <c r="D835">
        <v>91935</v>
      </c>
      <c r="E835">
        <v>304</v>
      </c>
      <c r="F835" s="2">
        <v>5452.94</v>
      </c>
      <c r="G835" s="1">
        <v>45965</v>
      </c>
      <c r="I835" t="s">
        <v>9</v>
      </c>
      <c r="J835" s="14">
        <f>IFERROR(VLOOKUP(D835,'INf. RRHH'!$A:$B,2,0),0)</f>
        <v>2900</v>
      </c>
      <c r="K835" s="16">
        <f t="shared" ref="K835:K898" si="39">+F835-J835</f>
        <v>2552.9399999999996</v>
      </c>
      <c r="L835" s="17">
        <f t="shared" ref="L835:L898" si="40">ROUND(J835/3,2)</f>
        <v>966.67</v>
      </c>
      <c r="M835" s="18">
        <f t="shared" ref="M835:M898" si="41">+K835+L835</f>
        <v>3519.6099999999997</v>
      </c>
    </row>
    <row r="836" spans="1:13" x14ac:dyDescent="0.25">
      <c r="A836">
        <v>1000</v>
      </c>
      <c r="B836">
        <v>1000</v>
      </c>
      <c r="C836" s="1">
        <v>45961</v>
      </c>
      <c r="D836">
        <v>92026</v>
      </c>
      <c r="E836">
        <v>344</v>
      </c>
      <c r="F836" s="2">
        <v>6425.55</v>
      </c>
      <c r="G836" s="1">
        <v>45965</v>
      </c>
      <c r="I836" t="s">
        <v>9</v>
      </c>
      <c r="J836" s="14">
        <f>IFERROR(VLOOKUP(D836,'INf. RRHH'!$A:$B,2,0),0)</f>
        <v>2900</v>
      </c>
      <c r="K836" s="16">
        <f t="shared" si="39"/>
        <v>3525.55</v>
      </c>
      <c r="L836" s="17">
        <f t="shared" si="40"/>
        <v>966.67</v>
      </c>
      <c r="M836" s="18">
        <f t="shared" si="41"/>
        <v>4492.22</v>
      </c>
    </row>
    <row r="837" spans="1:13" x14ac:dyDescent="0.25">
      <c r="A837">
        <v>1000</v>
      </c>
      <c r="B837">
        <v>1000</v>
      </c>
      <c r="C837" s="1">
        <v>45961</v>
      </c>
      <c r="D837">
        <v>92259</v>
      </c>
      <c r="E837">
        <v>240</v>
      </c>
      <c r="F837" s="2">
        <v>5090.83</v>
      </c>
      <c r="G837" s="1">
        <v>45965</v>
      </c>
      <c r="I837" t="s">
        <v>9</v>
      </c>
      <c r="J837" s="14">
        <f>IFERROR(VLOOKUP(D837,'INf. RRHH'!$A:$B,2,0),0)</f>
        <v>2900</v>
      </c>
      <c r="K837" s="16">
        <f t="shared" si="39"/>
        <v>2190.83</v>
      </c>
      <c r="L837" s="17">
        <f t="shared" si="40"/>
        <v>966.67</v>
      </c>
      <c r="M837" s="18">
        <f t="shared" si="41"/>
        <v>3157.5</v>
      </c>
    </row>
    <row r="838" spans="1:13" x14ac:dyDescent="0.25">
      <c r="A838">
        <v>1000</v>
      </c>
      <c r="B838">
        <v>1000</v>
      </c>
      <c r="C838" s="1">
        <v>45961</v>
      </c>
      <c r="D838">
        <v>92279</v>
      </c>
      <c r="E838">
        <v>266</v>
      </c>
      <c r="F838" s="2">
        <v>5961.41</v>
      </c>
      <c r="G838" s="1">
        <v>45965</v>
      </c>
      <c r="I838" t="s">
        <v>9</v>
      </c>
      <c r="J838" s="14">
        <f>IFERROR(VLOOKUP(D838,'INf. RRHH'!$A:$B,2,0),0)</f>
        <v>2900</v>
      </c>
      <c r="K838" s="16">
        <f t="shared" si="39"/>
        <v>3061.41</v>
      </c>
      <c r="L838" s="17">
        <f t="shared" si="40"/>
        <v>966.67</v>
      </c>
      <c r="M838" s="18">
        <f t="shared" si="41"/>
        <v>4028.08</v>
      </c>
    </row>
    <row r="839" spans="1:13" x14ac:dyDescent="0.25">
      <c r="A839">
        <v>1000</v>
      </c>
      <c r="B839">
        <v>1000</v>
      </c>
      <c r="C839" s="1">
        <v>45961</v>
      </c>
      <c r="D839">
        <v>92457</v>
      </c>
      <c r="E839">
        <v>280</v>
      </c>
      <c r="F839" s="2">
        <v>4832.5</v>
      </c>
      <c r="G839" s="1">
        <v>45965</v>
      </c>
      <c r="I839" t="s">
        <v>9</v>
      </c>
      <c r="J839" s="14">
        <f>IFERROR(VLOOKUP(D839,'INf. RRHH'!$A:$B,2,0),0)</f>
        <v>2900</v>
      </c>
      <c r="K839" s="16">
        <f t="shared" si="39"/>
        <v>1932.5</v>
      </c>
      <c r="L839" s="17">
        <f t="shared" si="40"/>
        <v>966.67</v>
      </c>
      <c r="M839" s="18">
        <f t="shared" si="41"/>
        <v>2899.17</v>
      </c>
    </row>
    <row r="840" spans="1:13" x14ac:dyDescent="0.25">
      <c r="A840">
        <v>1000</v>
      </c>
      <c r="B840">
        <v>1000</v>
      </c>
      <c r="C840" s="1">
        <v>45961</v>
      </c>
      <c r="D840">
        <v>92565</v>
      </c>
      <c r="E840">
        <v>240</v>
      </c>
      <c r="F840" s="2">
        <v>5192.5200000000004</v>
      </c>
      <c r="G840" s="1">
        <v>45965</v>
      </c>
      <c r="I840" t="s">
        <v>9</v>
      </c>
      <c r="J840" s="14">
        <f>IFERROR(VLOOKUP(D840,'INf. RRHH'!$A:$B,2,0),0)</f>
        <v>2900</v>
      </c>
      <c r="K840" s="16">
        <f t="shared" si="39"/>
        <v>2292.5200000000004</v>
      </c>
      <c r="L840" s="17">
        <f t="shared" si="40"/>
        <v>966.67</v>
      </c>
      <c r="M840" s="18">
        <f t="shared" si="41"/>
        <v>3259.1900000000005</v>
      </c>
    </row>
    <row r="841" spans="1:13" x14ac:dyDescent="0.25">
      <c r="A841">
        <v>1000</v>
      </c>
      <c r="B841">
        <v>1000</v>
      </c>
      <c r="C841" s="1">
        <v>45961</v>
      </c>
      <c r="D841">
        <v>92608</v>
      </c>
      <c r="E841">
        <v>299</v>
      </c>
      <c r="F841" s="2">
        <v>5628.08</v>
      </c>
      <c r="G841" s="1">
        <v>45965</v>
      </c>
      <c r="I841" t="s">
        <v>9</v>
      </c>
      <c r="J841" s="14">
        <f>IFERROR(VLOOKUP(D841,'INf. RRHH'!$A:$B,2,0),0)</f>
        <v>2900</v>
      </c>
      <c r="K841" s="16">
        <f t="shared" si="39"/>
        <v>2728.08</v>
      </c>
      <c r="L841" s="17">
        <f t="shared" si="40"/>
        <v>966.67</v>
      </c>
      <c r="M841" s="18">
        <f t="shared" si="41"/>
        <v>3694.75</v>
      </c>
    </row>
    <row r="842" spans="1:13" x14ac:dyDescent="0.25">
      <c r="A842">
        <v>1000</v>
      </c>
      <c r="B842">
        <v>1000</v>
      </c>
      <c r="C842" s="1">
        <v>45961</v>
      </c>
      <c r="D842">
        <v>92619</v>
      </c>
      <c r="E842">
        <v>240</v>
      </c>
      <c r="F842" s="2">
        <v>3917.53</v>
      </c>
      <c r="G842" s="1">
        <v>45965</v>
      </c>
      <c r="I842" t="s">
        <v>9</v>
      </c>
      <c r="J842" s="14">
        <f>IFERROR(VLOOKUP(D842,'INf. RRHH'!$A:$B,2,0),0)</f>
        <v>2900</v>
      </c>
      <c r="K842" s="16">
        <f t="shared" si="39"/>
        <v>1017.5300000000002</v>
      </c>
      <c r="L842" s="17">
        <f t="shared" si="40"/>
        <v>966.67</v>
      </c>
      <c r="M842" s="18">
        <f t="shared" si="41"/>
        <v>1984.2000000000003</v>
      </c>
    </row>
    <row r="843" spans="1:13" x14ac:dyDescent="0.25">
      <c r="A843">
        <v>1000</v>
      </c>
      <c r="B843">
        <v>1000</v>
      </c>
      <c r="C843" s="1">
        <v>45961</v>
      </c>
      <c r="D843">
        <v>92652</v>
      </c>
      <c r="E843">
        <v>349</v>
      </c>
      <c r="F843" s="2">
        <v>6975.98</v>
      </c>
      <c r="G843" s="1">
        <v>45965</v>
      </c>
      <c r="I843" t="s">
        <v>9</v>
      </c>
      <c r="J843" s="14">
        <f>IFERROR(VLOOKUP(D843,'INf. RRHH'!$A:$B,2,0),0)</f>
        <v>2900</v>
      </c>
      <c r="K843" s="16">
        <f t="shared" si="39"/>
        <v>4075.9799999999996</v>
      </c>
      <c r="L843" s="17">
        <f t="shared" si="40"/>
        <v>966.67</v>
      </c>
      <c r="M843" s="18">
        <f t="shared" si="41"/>
        <v>5042.6499999999996</v>
      </c>
    </row>
    <row r="844" spans="1:13" x14ac:dyDescent="0.25">
      <c r="A844">
        <v>1000</v>
      </c>
      <c r="B844">
        <v>1000</v>
      </c>
      <c r="C844" s="1">
        <v>45961</v>
      </c>
      <c r="D844">
        <v>92680</v>
      </c>
      <c r="E844">
        <v>371</v>
      </c>
      <c r="F844" s="2">
        <v>7269.67</v>
      </c>
      <c r="G844" s="1">
        <v>45965</v>
      </c>
      <c r="I844" t="s">
        <v>9</v>
      </c>
      <c r="J844" s="14">
        <f>IFERROR(VLOOKUP(D844,'INf. RRHH'!$A:$B,2,0),0)</f>
        <v>2900</v>
      </c>
      <c r="K844" s="16">
        <f t="shared" si="39"/>
        <v>4369.67</v>
      </c>
      <c r="L844" s="17">
        <f t="shared" si="40"/>
        <v>966.67</v>
      </c>
      <c r="M844" s="18">
        <f t="shared" si="41"/>
        <v>5336.34</v>
      </c>
    </row>
    <row r="845" spans="1:13" x14ac:dyDescent="0.25">
      <c r="A845">
        <v>1000</v>
      </c>
      <c r="B845">
        <v>1000</v>
      </c>
      <c r="C845" s="1">
        <v>45961</v>
      </c>
      <c r="D845">
        <v>92706</v>
      </c>
      <c r="E845">
        <v>298</v>
      </c>
      <c r="F845" s="2">
        <v>7063.47</v>
      </c>
      <c r="G845" s="1">
        <v>45965</v>
      </c>
      <c r="I845" t="s">
        <v>9</v>
      </c>
      <c r="J845" s="14">
        <f>IFERROR(VLOOKUP(D845,'INf. RRHH'!$A:$B,2,0),0)</f>
        <v>2900</v>
      </c>
      <c r="K845" s="16">
        <f t="shared" si="39"/>
        <v>4163.47</v>
      </c>
      <c r="L845" s="17">
        <f t="shared" si="40"/>
        <v>966.67</v>
      </c>
      <c r="M845" s="18">
        <f t="shared" si="41"/>
        <v>5130.1400000000003</v>
      </c>
    </row>
    <row r="846" spans="1:13" x14ac:dyDescent="0.25">
      <c r="A846">
        <v>1000</v>
      </c>
      <c r="B846">
        <v>1000</v>
      </c>
      <c r="C846" s="1">
        <v>45961</v>
      </c>
      <c r="D846">
        <v>92736</v>
      </c>
      <c r="E846">
        <v>312</v>
      </c>
      <c r="F846" s="2">
        <v>4802.12</v>
      </c>
      <c r="G846" s="1">
        <v>45965</v>
      </c>
      <c r="I846" t="s">
        <v>9</v>
      </c>
      <c r="J846" s="14">
        <f>IFERROR(VLOOKUP(D846,'INf. RRHH'!$A:$B,2,0),0)</f>
        <v>2900</v>
      </c>
      <c r="K846" s="16">
        <f t="shared" si="39"/>
        <v>1902.12</v>
      </c>
      <c r="L846" s="17">
        <f t="shared" si="40"/>
        <v>966.67</v>
      </c>
      <c r="M846" s="18">
        <f t="shared" si="41"/>
        <v>2868.79</v>
      </c>
    </row>
    <row r="847" spans="1:13" x14ac:dyDescent="0.25">
      <c r="A847">
        <v>1000</v>
      </c>
      <c r="B847">
        <v>1000</v>
      </c>
      <c r="C847" s="1">
        <v>45961</v>
      </c>
      <c r="D847">
        <v>92745</v>
      </c>
      <c r="E847">
        <v>240</v>
      </c>
      <c r="F847" s="2">
        <v>5376.5</v>
      </c>
      <c r="G847" s="1">
        <v>45965</v>
      </c>
      <c r="I847" t="s">
        <v>9</v>
      </c>
      <c r="J847" s="14">
        <f>IFERROR(VLOOKUP(D847,'INf. RRHH'!$A:$B,2,0),0)</f>
        <v>2900</v>
      </c>
      <c r="K847" s="16">
        <f t="shared" si="39"/>
        <v>2476.5</v>
      </c>
      <c r="L847" s="17">
        <f t="shared" si="40"/>
        <v>966.67</v>
      </c>
      <c r="M847" s="18">
        <f t="shared" si="41"/>
        <v>3443.17</v>
      </c>
    </row>
    <row r="848" spans="1:13" x14ac:dyDescent="0.25">
      <c r="A848">
        <v>1000</v>
      </c>
      <c r="B848">
        <v>1000</v>
      </c>
      <c r="C848" s="1">
        <v>45961</v>
      </c>
      <c r="D848">
        <v>92853</v>
      </c>
      <c r="E848">
        <v>280</v>
      </c>
      <c r="F848" s="2">
        <v>4995.78</v>
      </c>
      <c r="G848" s="1">
        <v>45965</v>
      </c>
      <c r="I848" t="s">
        <v>9</v>
      </c>
      <c r="J848" s="14">
        <f>IFERROR(VLOOKUP(D848,'INf. RRHH'!$A:$B,2,0),0)</f>
        <v>2900</v>
      </c>
      <c r="K848" s="16">
        <f t="shared" si="39"/>
        <v>2095.7799999999997</v>
      </c>
      <c r="L848" s="17">
        <f t="shared" si="40"/>
        <v>966.67</v>
      </c>
      <c r="M848" s="18">
        <f t="shared" si="41"/>
        <v>3062.45</v>
      </c>
    </row>
    <row r="849" spans="1:13" x14ac:dyDescent="0.25">
      <c r="A849">
        <v>1000</v>
      </c>
      <c r="B849">
        <v>1000</v>
      </c>
      <c r="C849" s="1">
        <v>45961</v>
      </c>
      <c r="D849">
        <v>93087</v>
      </c>
      <c r="E849">
        <v>248</v>
      </c>
      <c r="F849" s="2">
        <v>4677.3100000000004</v>
      </c>
      <c r="G849" s="1">
        <v>45965</v>
      </c>
      <c r="I849" t="s">
        <v>9</v>
      </c>
      <c r="J849" s="14">
        <f>IFERROR(VLOOKUP(D849,'INf. RRHH'!$A:$B,2,0),0)</f>
        <v>2900</v>
      </c>
      <c r="K849" s="16">
        <f t="shared" si="39"/>
        <v>1777.3100000000004</v>
      </c>
      <c r="L849" s="17">
        <f t="shared" si="40"/>
        <v>966.67</v>
      </c>
      <c r="M849" s="18">
        <f t="shared" si="41"/>
        <v>2743.9800000000005</v>
      </c>
    </row>
    <row r="850" spans="1:13" x14ac:dyDescent="0.25">
      <c r="A850">
        <v>1000</v>
      </c>
      <c r="B850">
        <v>1000</v>
      </c>
      <c r="C850" s="1">
        <v>45961</v>
      </c>
      <c r="D850">
        <v>93156</v>
      </c>
      <c r="E850">
        <v>362.5</v>
      </c>
      <c r="F850" s="2">
        <v>6948.96</v>
      </c>
      <c r="G850" s="1">
        <v>45965</v>
      </c>
      <c r="I850" t="s">
        <v>9</v>
      </c>
      <c r="J850" s="14">
        <f>IFERROR(VLOOKUP(D850,'INf. RRHH'!$A:$B,2,0),0)</f>
        <v>2900</v>
      </c>
      <c r="K850" s="16">
        <f t="shared" si="39"/>
        <v>4048.96</v>
      </c>
      <c r="L850" s="17">
        <f t="shared" si="40"/>
        <v>966.67</v>
      </c>
      <c r="M850" s="18">
        <f t="shared" si="41"/>
        <v>5015.63</v>
      </c>
    </row>
    <row r="851" spans="1:13" x14ac:dyDescent="0.25">
      <c r="A851">
        <v>1000</v>
      </c>
      <c r="B851">
        <v>1000</v>
      </c>
      <c r="C851" s="1">
        <v>45961</v>
      </c>
      <c r="D851">
        <v>93345</v>
      </c>
      <c r="E851">
        <v>168</v>
      </c>
      <c r="F851" s="2">
        <v>5031.13</v>
      </c>
      <c r="G851" s="1">
        <v>45965</v>
      </c>
      <c r="I851" t="s">
        <v>9</v>
      </c>
      <c r="J851" s="14">
        <f>IFERROR(VLOOKUP(D851,'INf. RRHH'!$A:$B,2,0),0)</f>
        <v>2900</v>
      </c>
      <c r="K851" s="16">
        <f t="shared" si="39"/>
        <v>2131.13</v>
      </c>
      <c r="L851" s="17">
        <f t="shared" si="40"/>
        <v>966.67</v>
      </c>
      <c r="M851" s="18">
        <f t="shared" si="41"/>
        <v>3097.8</v>
      </c>
    </row>
    <row r="852" spans="1:13" x14ac:dyDescent="0.25">
      <c r="A852">
        <v>1000</v>
      </c>
      <c r="B852">
        <v>1000</v>
      </c>
      <c r="C852" s="1">
        <v>45961</v>
      </c>
      <c r="D852">
        <v>93363</v>
      </c>
      <c r="E852">
        <v>332</v>
      </c>
      <c r="F852" s="2">
        <v>6517.05</v>
      </c>
      <c r="G852" s="1">
        <v>45965</v>
      </c>
      <c r="I852" t="s">
        <v>9</v>
      </c>
      <c r="J852" s="14">
        <f>IFERROR(VLOOKUP(D852,'INf. RRHH'!$A:$B,2,0),0)</f>
        <v>2900</v>
      </c>
      <c r="K852" s="16">
        <f t="shared" si="39"/>
        <v>3617.05</v>
      </c>
      <c r="L852" s="17">
        <f t="shared" si="40"/>
        <v>966.67</v>
      </c>
      <c r="M852" s="18">
        <f t="shared" si="41"/>
        <v>4583.72</v>
      </c>
    </row>
    <row r="853" spans="1:13" x14ac:dyDescent="0.25">
      <c r="A853">
        <v>1000</v>
      </c>
      <c r="B853">
        <v>1000</v>
      </c>
      <c r="C853" s="1">
        <v>45961</v>
      </c>
      <c r="D853">
        <v>93417</v>
      </c>
      <c r="E853">
        <v>240</v>
      </c>
      <c r="F853" s="2">
        <v>4313.97</v>
      </c>
      <c r="G853" s="1">
        <v>45965</v>
      </c>
      <c r="I853" t="s">
        <v>9</v>
      </c>
      <c r="J853" s="14">
        <f>IFERROR(VLOOKUP(D853,'INf. RRHH'!$A:$B,2,0),0)</f>
        <v>2900</v>
      </c>
      <c r="K853" s="16">
        <f t="shared" si="39"/>
        <v>1413.9700000000003</v>
      </c>
      <c r="L853" s="17">
        <f t="shared" si="40"/>
        <v>966.67</v>
      </c>
      <c r="M853" s="18">
        <f t="shared" si="41"/>
        <v>2380.6400000000003</v>
      </c>
    </row>
    <row r="854" spans="1:13" x14ac:dyDescent="0.25">
      <c r="A854">
        <v>1000</v>
      </c>
      <c r="B854">
        <v>1000</v>
      </c>
      <c r="C854" s="1">
        <v>45961</v>
      </c>
      <c r="D854">
        <v>93725</v>
      </c>
      <c r="E854">
        <v>0</v>
      </c>
      <c r="F854" s="2">
        <v>3508.52</v>
      </c>
      <c r="G854" s="1">
        <v>45965</v>
      </c>
      <c r="I854" t="s">
        <v>9</v>
      </c>
      <c r="J854" s="14">
        <f>IFERROR(VLOOKUP(D854,'INf. RRHH'!$A:$B,2,0),0)</f>
        <v>2900</v>
      </c>
      <c r="K854" s="16">
        <f t="shared" si="39"/>
        <v>608.52</v>
      </c>
      <c r="L854" s="17">
        <f t="shared" si="40"/>
        <v>966.67</v>
      </c>
      <c r="M854" s="18">
        <f t="shared" si="41"/>
        <v>1575.19</v>
      </c>
    </row>
    <row r="855" spans="1:13" x14ac:dyDescent="0.25">
      <c r="A855">
        <v>1000</v>
      </c>
      <c r="B855">
        <v>1000</v>
      </c>
      <c r="C855" s="1">
        <v>45961</v>
      </c>
      <c r="D855">
        <v>93780</v>
      </c>
      <c r="E855">
        <v>240</v>
      </c>
      <c r="F855" s="2">
        <v>4232.54</v>
      </c>
      <c r="G855" s="1">
        <v>45965</v>
      </c>
      <c r="I855" t="s">
        <v>9</v>
      </c>
      <c r="J855" s="14">
        <f>IFERROR(VLOOKUP(D855,'INf. RRHH'!$A:$B,2,0),0)</f>
        <v>2900</v>
      </c>
      <c r="K855" s="16">
        <f t="shared" si="39"/>
        <v>1332.54</v>
      </c>
      <c r="L855" s="17">
        <f t="shared" si="40"/>
        <v>966.67</v>
      </c>
      <c r="M855" s="18">
        <f t="shared" si="41"/>
        <v>2299.21</v>
      </c>
    </row>
    <row r="856" spans="1:13" x14ac:dyDescent="0.25">
      <c r="A856">
        <v>1000</v>
      </c>
      <c r="B856">
        <v>1000</v>
      </c>
      <c r="C856" s="1">
        <v>45961</v>
      </c>
      <c r="D856">
        <v>93834</v>
      </c>
      <c r="E856">
        <v>248</v>
      </c>
      <c r="F856" s="2">
        <v>4404.7700000000004</v>
      </c>
      <c r="G856" s="1">
        <v>45965</v>
      </c>
      <c r="I856" t="s">
        <v>9</v>
      </c>
      <c r="J856" s="14">
        <f>IFERROR(VLOOKUP(D856,'INf. RRHH'!$A:$B,2,0),0)</f>
        <v>2900</v>
      </c>
      <c r="K856" s="16">
        <f t="shared" si="39"/>
        <v>1504.7700000000004</v>
      </c>
      <c r="L856" s="17">
        <f t="shared" si="40"/>
        <v>966.67</v>
      </c>
      <c r="M856" s="18">
        <f t="shared" si="41"/>
        <v>2471.4400000000005</v>
      </c>
    </row>
    <row r="857" spans="1:13" x14ac:dyDescent="0.25">
      <c r="A857">
        <v>1000</v>
      </c>
      <c r="B857">
        <v>1000</v>
      </c>
      <c r="C857" s="1">
        <v>45961</v>
      </c>
      <c r="D857">
        <v>94011</v>
      </c>
      <c r="E857">
        <v>370</v>
      </c>
      <c r="F857" s="2">
        <v>6349.48</v>
      </c>
      <c r="G857" s="1">
        <v>45965</v>
      </c>
      <c r="I857" t="s">
        <v>9</v>
      </c>
      <c r="J857" s="14">
        <f>IFERROR(VLOOKUP(D857,'INf. RRHH'!$A:$B,2,0),0)</f>
        <v>2900</v>
      </c>
      <c r="K857" s="16">
        <f t="shared" si="39"/>
        <v>3449.4799999999996</v>
      </c>
      <c r="L857" s="17">
        <f t="shared" si="40"/>
        <v>966.67</v>
      </c>
      <c r="M857" s="18">
        <f t="shared" si="41"/>
        <v>4416.1499999999996</v>
      </c>
    </row>
    <row r="858" spans="1:13" x14ac:dyDescent="0.25">
      <c r="A858">
        <v>1000</v>
      </c>
      <c r="B858">
        <v>1000</v>
      </c>
      <c r="C858" s="1">
        <v>45961</v>
      </c>
      <c r="D858">
        <v>94125</v>
      </c>
      <c r="E858">
        <v>296</v>
      </c>
      <c r="F858" s="2">
        <v>5445.38</v>
      </c>
      <c r="G858" s="1">
        <v>45965</v>
      </c>
      <c r="I858" t="s">
        <v>9</v>
      </c>
      <c r="J858" s="14">
        <f>IFERROR(VLOOKUP(D858,'INf. RRHH'!$A:$B,2,0),0)</f>
        <v>2900</v>
      </c>
      <c r="K858" s="16">
        <f t="shared" si="39"/>
        <v>2545.38</v>
      </c>
      <c r="L858" s="17">
        <f t="shared" si="40"/>
        <v>966.67</v>
      </c>
      <c r="M858" s="18">
        <f t="shared" si="41"/>
        <v>3512.05</v>
      </c>
    </row>
    <row r="859" spans="1:13" x14ac:dyDescent="0.25">
      <c r="A859">
        <v>1000</v>
      </c>
      <c r="B859">
        <v>1000</v>
      </c>
      <c r="C859" s="1">
        <v>45961</v>
      </c>
      <c r="D859">
        <v>94155</v>
      </c>
      <c r="E859">
        <v>399</v>
      </c>
      <c r="F859" s="2">
        <v>6647.46</v>
      </c>
      <c r="G859" s="1">
        <v>45965</v>
      </c>
      <c r="I859" t="s">
        <v>9</v>
      </c>
      <c r="J859" s="14">
        <f>IFERROR(VLOOKUP(D859,'INf. RRHH'!$A:$B,2,0),0)</f>
        <v>2900</v>
      </c>
      <c r="K859" s="16">
        <f t="shared" si="39"/>
        <v>3747.46</v>
      </c>
      <c r="L859" s="17">
        <f t="shared" si="40"/>
        <v>966.67</v>
      </c>
      <c r="M859" s="18">
        <f t="shared" si="41"/>
        <v>4714.13</v>
      </c>
    </row>
    <row r="860" spans="1:13" x14ac:dyDescent="0.25">
      <c r="A860">
        <v>1000</v>
      </c>
      <c r="B860">
        <v>1000</v>
      </c>
      <c r="C860" s="1">
        <v>45961</v>
      </c>
      <c r="D860">
        <v>94428</v>
      </c>
      <c r="E860">
        <v>275</v>
      </c>
      <c r="F860" s="2">
        <v>5843.73</v>
      </c>
      <c r="G860" s="1">
        <v>45965</v>
      </c>
      <c r="I860" t="s">
        <v>9</v>
      </c>
      <c r="J860" s="14">
        <f>IFERROR(VLOOKUP(D860,'INf. RRHH'!$A:$B,2,0),0)</f>
        <v>2900</v>
      </c>
      <c r="K860" s="16">
        <f t="shared" si="39"/>
        <v>2943.7299999999996</v>
      </c>
      <c r="L860" s="17">
        <f t="shared" si="40"/>
        <v>966.67</v>
      </c>
      <c r="M860" s="18">
        <f t="shared" si="41"/>
        <v>3910.3999999999996</v>
      </c>
    </row>
    <row r="861" spans="1:13" x14ac:dyDescent="0.25">
      <c r="A861">
        <v>1000</v>
      </c>
      <c r="B861">
        <v>1000</v>
      </c>
      <c r="C861" s="1">
        <v>45961</v>
      </c>
      <c r="D861">
        <v>94527</v>
      </c>
      <c r="E861">
        <v>240</v>
      </c>
      <c r="F861" s="2">
        <v>5211.7299999999996</v>
      </c>
      <c r="G861" s="1">
        <v>45965</v>
      </c>
      <c r="I861" t="s">
        <v>9</v>
      </c>
      <c r="J861" s="14">
        <f>IFERROR(VLOOKUP(D861,'INf. RRHH'!$A:$B,2,0),0)</f>
        <v>2900</v>
      </c>
      <c r="K861" s="16">
        <f t="shared" si="39"/>
        <v>2311.7299999999996</v>
      </c>
      <c r="L861" s="17">
        <f t="shared" si="40"/>
        <v>966.67</v>
      </c>
      <c r="M861" s="18">
        <f t="shared" si="41"/>
        <v>3278.3999999999996</v>
      </c>
    </row>
    <row r="862" spans="1:13" x14ac:dyDescent="0.25">
      <c r="A862">
        <v>1000</v>
      </c>
      <c r="B862">
        <v>1000</v>
      </c>
      <c r="C862" s="1">
        <v>45961</v>
      </c>
      <c r="D862">
        <v>94860</v>
      </c>
      <c r="E862">
        <v>240</v>
      </c>
      <c r="F862" s="2">
        <v>2758.64</v>
      </c>
      <c r="G862" s="1">
        <v>45965</v>
      </c>
      <c r="I862" t="s">
        <v>9</v>
      </c>
      <c r="J862" s="14">
        <f>IFERROR(VLOOKUP(D862,'INf. RRHH'!$A:$B,2,0),0)</f>
        <v>2900</v>
      </c>
      <c r="K862" s="16">
        <f t="shared" si="39"/>
        <v>-141.36000000000013</v>
      </c>
      <c r="L862" s="17">
        <f t="shared" si="40"/>
        <v>966.67</v>
      </c>
      <c r="M862" s="18">
        <f t="shared" si="41"/>
        <v>825.30999999999983</v>
      </c>
    </row>
    <row r="863" spans="1:13" x14ac:dyDescent="0.25">
      <c r="A863">
        <v>1000</v>
      </c>
      <c r="B863">
        <v>1000</v>
      </c>
      <c r="C863" s="1">
        <v>45961</v>
      </c>
      <c r="D863">
        <v>95214</v>
      </c>
      <c r="E863">
        <v>302</v>
      </c>
      <c r="F863" s="2">
        <v>5314.61</v>
      </c>
      <c r="G863" s="1">
        <v>45965</v>
      </c>
      <c r="I863" t="s">
        <v>9</v>
      </c>
      <c r="J863" s="14">
        <f>IFERROR(VLOOKUP(D863,'INf. RRHH'!$A:$B,2,0),0)</f>
        <v>2900</v>
      </c>
      <c r="K863" s="16">
        <f t="shared" si="39"/>
        <v>2414.6099999999997</v>
      </c>
      <c r="L863" s="17">
        <f t="shared" si="40"/>
        <v>966.67</v>
      </c>
      <c r="M863" s="18">
        <f t="shared" si="41"/>
        <v>3381.2799999999997</v>
      </c>
    </row>
    <row r="864" spans="1:13" x14ac:dyDescent="0.25">
      <c r="A864">
        <v>1000</v>
      </c>
      <c r="B864">
        <v>1000</v>
      </c>
      <c r="C864" s="1">
        <v>45961</v>
      </c>
      <c r="D864">
        <v>95235</v>
      </c>
      <c r="E864">
        <v>287.5</v>
      </c>
      <c r="F864" s="2">
        <v>5405.19</v>
      </c>
      <c r="G864" s="1">
        <v>45965</v>
      </c>
      <c r="I864" t="s">
        <v>9</v>
      </c>
      <c r="J864" s="14">
        <f>IFERROR(VLOOKUP(D864,'INf. RRHH'!$A:$B,2,0),0)</f>
        <v>2900</v>
      </c>
      <c r="K864" s="16">
        <f t="shared" si="39"/>
        <v>2505.1899999999996</v>
      </c>
      <c r="L864" s="17">
        <f t="shared" si="40"/>
        <v>966.67</v>
      </c>
      <c r="M864" s="18">
        <f t="shared" si="41"/>
        <v>3471.8599999999997</v>
      </c>
    </row>
    <row r="865" spans="1:13" x14ac:dyDescent="0.25">
      <c r="A865">
        <v>1000</v>
      </c>
      <c r="B865">
        <v>1000</v>
      </c>
      <c r="C865" s="1">
        <v>45961</v>
      </c>
      <c r="D865">
        <v>95247</v>
      </c>
      <c r="E865">
        <v>218.5</v>
      </c>
      <c r="F865" s="2">
        <v>5132.24</v>
      </c>
      <c r="G865" s="1">
        <v>45965</v>
      </c>
      <c r="I865" t="s">
        <v>9</v>
      </c>
      <c r="J865" s="14">
        <f>IFERROR(VLOOKUP(D865,'INf. RRHH'!$A:$B,2,0),0)</f>
        <v>2900</v>
      </c>
      <c r="K865" s="16">
        <f t="shared" si="39"/>
        <v>2232.2399999999998</v>
      </c>
      <c r="L865" s="17">
        <f t="shared" si="40"/>
        <v>966.67</v>
      </c>
      <c r="M865" s="18">
        <f t="shared" si="41"/>
        <v>3198.91</v>
      </c>
    </row>
    <row r="866" spans="1:13" x14ac:dyDescent="0.25">
      <c r="A866">
        <v>1000</v>
      </c>
      <c r="B866">
        <v>1000</v>
      </c>
      <c r="C866" s="1">
        <v>45961</v>
      </c>
      <c r="D866">
        <v>7482</v>
      </c>
      <c r="E866">
        <v>416</v>
      </c>
      <c r="F866" s="2">
        <v>8105.33</v>
      </c>
      <c r="G866" s="1">
        <v>45965</v>
      </c>
      <c r="I866" t="s">
        <v>9</v>
      </c>
      <c r="J866" s="14">
        <f>IFERROR(VLOOKUP(D866,'INf. RRHH'!$A:$B,2,0),0)</f>
        <v>2900</v>
      </c>
      <c r="K866" s="16">
        <f t="shared" si="39"/>
        <v>5205.33</v>
      </c>
      <c r="L866" s="17">
        <f t="shared" si="40"/>
        <v>966.67</v>
      </c>
      <c r="M866" s="18">
        <f t="shared" si="41"/>
        <v>6172</v>
      </c>
    </row>
    <row r="867" spans="1:13" x14ac:dyDescent="0.25">
      <c r="A867">
        <v>1000</v>
      </c>
      <c r="B867">
        <v>1000</v>
      </c>
      <c r="C867" s="1">
        <v>45961</v>
      </c>
      <c r="D867">
        <v>7584</v>
      </c>
      <c r="E867">
        <v>375</v>
      </c>
      <c r="F867" s="2">
        <v>7409.35</v>
      </c>
      <c r="G867" s="1">
        <v>45965</v>
      </c>
      <c r="I867" t="s">
        <v>9</v>
      </c>
      <c r="J867" s="14">
        <f>IFERROR(VLOOKUP(D867,'INf. RRHH'!$A:$B,2,0),0)</f>
        <v>2900</v>
      </c>
      <c r="K867" s="16">
        <f t="shared" si="39"/>
        <v>4509.3500000000004</v>
      </c>
      <c r="L867" s="17">
        <f t="shared" si="40"/>
        <v>966.67</v>
      </c>
      <c r="M867" s="18">
        <f t="shared" si="41"/>
        <v>5476.02</v>
      </c>
    </row>
    <row r="868" spans="1:13" x14ac:dyDescent="0.25">
      <c r="A868">
        <v>1000</v>
      </c>
      <c r="B868">
        <v>1000</v>
      </c>
      <c r="C868" s="1">
        <v>45961</v>
      </c>
      <c r="D868">
        <v>7908</v>
      </c>
      <c r="E868">
        <v>314</v>
      </c>
      <c r="F868" s="2">
        <v>7022.72</v>
      </c>
      <c r="G868" s="1">
        <v>45965</v>
      </c>
      <c r="I868" t="s">
        <v>9</v>
      </c>
      <c r="J868" s="14">
        <f>IFERROR(VLOOKUP(D868,'INf. RRHH'!$A:$B,2,0),0)</f>
        <v>2900</v>
      </c>
      <c r="K868" s="16">
        <f t="shared" si="39"/>
        <v>4122.72</v>
      </c>
      <c r="L868" s="17">
        <f t="shared" si="40"/>
        <v>966.67</v>
      </c>
      <c r="M868" s="18">
        <f t="shared" si="41"/>
        <v>5089.3900000000003</v>
      </c>
    </row>
    <row r="869" spans="1:13" x14ac:dyDescent="0.25">
      <c r="A869">
        <v>1000</v>
      </c>
      <c r="B869">
        <v>1000</v>
      </c>
      <c r="C869" s="1">
        <v>45961</v>
      </c>
      <c r="D869">
        <v>90240</v>
      </c>
      <c r="E869">
        <v>1920</v>
      </c>
      <c r="F869" s="2">
        <v>21457.919999999998</v>
      </c>
      <c r="G869" s="1">
        <v>45965</v>
      </c>
      <c r="I869" t="s">
        <v>9</v>
      </c>
      <c r="J869" s="14">
        <f>IFERROR(VLOOKUP(D869,'INf. RRHH'!$A:$B,2,0),0)</f>
        <v>0</v>
      </c>
      <c r="K869" s="16">
        <f t="shared" si="39"/>
        <v>21457.919999999998</v>
      </c>
      <c r="L869" s="17">
        <f t="shared" si="40"/>
        <v>0</v>
      </c>
      <c r="M869" s="18">
        <f t="shared" si="41"/>
        <v>21457.919999999998</v>
      </c>
    </row>
    <row r="870" spans="1:13" x14ac:dyDescent="0.25">
      <c r="A870">
        <v>1000</v>
      </c>
      <c r="B870">
        <v>1000</v>
      </c>
      <c r="C870" s="1">
        <v>45961</v>
      </c>
      <c r="D870">
        <v>90438</v>
      </c>
      <c r="E870">
        <v>240</v>
      </c>
      <c r="F870" s="2">
        <v>4373.1499999999996</v>
      </c>
      <c r="G870" s="1">
        <v>45965</v>
      </c>
      <c r="I870" t="s">
        <v>9</v>
      </c>
      <c r="J870" s="14">
        <f>IFERROR(VLOOKUP(D870,'INf. RRHH'!$A:$B,2,0),0)</f>
        <v>2900</v>
      </c>
      <c r="K870" s="16">
        <f t="shared" si="39"/>
        <v>1473.1499999999996</v>
      </c>
      <c r="L870" s="17">
        <f t="shared" si="40"/>
        <v>966.67</v>
      </c>
      <c r="M870" s="18">
        <f t="shared" si="41"/>
        <v>2439.8199999999997</v>
      </c>
    </row>
    <row r="871" spans="1:13" x14ac:dyDescent="0.25">
      <c r="A871">
        <v>1000</v>
      </c>
      <c r="B871">
        <v>1000</v>
      </c>
      <c r="C871" s="1">
        <v>45961</v>
      </c>
      <c r="D871">
        <v>90537</v>
      </c>
      <c r="E871">
        <v>379</v>
      </c>
      <c r="F871" s="2">
        <v>6604.04</v>
      </c>
      <c r="G871" s="1">
        <v>45965</v>
      </c>
      <c r="I871" t="s">
        <v>9</v>
      </c>
      <c r="J871" s="14">
        <f>IFERROR(VLOOKUP(D871,'INf. RRHH'!$A:$B,2,0),0)</f>
        <v>2900</v>
      </c>
      <c r="K871" s="16">
        <f t="shared" si="39"/>
        <v>3704.04</v>
      </c>
      <c r="L871" s="17">
        <f t="shared" si="40"/>
        <v>966.67</v>
      </c>
      <c r="M871" s="18">
        <f t="shared" si="41"/>
        <v>4670.71</v>
      </c>
    </row>
    <row r="872" spans="1:13" x14ac:dyDescent="0.25">
      <c r="A872">
        <v>1000</v>
      </c>
      <c r="B872">
        <v>1000</v>
      </c>
      <c r="C872" s="1">
        <v>45961</v>
      </c>
      <c r="D872">
        <v>90563</v>
      </c>
      <c r="E872">
        <v>209</v>
      </c>
      <c r="F872" s="2">
        <v>5274.85</v>
      </c>
      <c r="G872" s="1">
        <v>45965</v>
      </c>
      <c r="I872" t="s">
        <v>9</v>
      </c>
      <c r="J872" s="14">
        <f>IFERROR(VLOOKUP(D872,'INf. RRHH'!$A:$B,2,0),0)</f>
        <v>2900</v>
      </c>
      <c r="K872" s="16">
        <f t="shared" si="39"/>
        <v>2374.8500000000004</v>
      </c>
      <c r="L872" s="17">
        <f t="shared" si="40"/>
        <v>966.67</v>
      </c>
      <c r="M872" s="18">
        <f t="shared" si="41"/>
        <v>3341.5200000000004</v>
      </c>
    </row>
    <row r="873" spans="1:13" x14ac:dyDescent="0.25">
      <c r="A873">
        <v>1000</v>
      </c>
      <c r="B873">
        <v>1000</v>
      </c>
      <c r="C873" s="1">
        <v>45961</v>
      </c>
      <c r="D873">
        <v>90705</v>
      </c>
      <c r="E873">
        <v>16</v>
      </c>
      <c r="F873" s="2">
        <v>5211.5200000000004</v>
      </c>
      <c r="G873" s="1">
        <v>45965</v>
      </c>
      <c r="I873" t="s">
        <v>9</v>
      </c>
      <c r="J873" s="14">
        <f>IFERROR(VLOOKUP(D873,'INf. RRHH'!$A:$B,2,0),0)</f>
        <v>2900</v>
      </c>
      <c r="K873" s="16">
        <f t="shared" si="39"/>
        <v>2311.5200000000004</v>
      </c>
      <c r="L873" s="17">
        <f t="shared" si="40"/>
        <v>966.67</v>
      </c>
      <c r="M873" s="18">
        <f t="shared" si="41"/>
        <v>3278.1900000000005</v>
      </c>
    </row>
    <row r="874" spans="1:13" x14ac:dyDescent="0.25">
      <c r="A874">
        <v>1000</v>
      </c>
      <c r="B874">
        <v>1000</v>
      </c>
      <c r="C874" s="1">
        <v>45961</v>
      </c>
      <c r="D874">
        <v>90752</v>
      </c>
      <c r="E874">
        <v>297.5</v>
      </c>
      <c r="F874" s="2">
        <v>7214.84</v>
      </c>
      <c r="G874" s="1">
        <v>45965</v>
      </c>
      <c r="I874" t="s">
        <v>9</v>
      </c>
      <c r="J874" s="14">
        <f>IFERROR(VLOOKUP(D874,'INf. RRHH'!$A:$B,2,0),0)</f>
        <v>2900</v>
      </c>
      <c r="K874" s="16">
        <f t="shared" si="39"/>
        <v>4314.84</v>
      </c>
      <c r="L874" s="17">
        <f t="shared" si="40"/>
        <v>966.67</v>
      </c>
      <c r="M874" s="18">
        <f t="shared" si="41"/>
        <v>5281.51</v>
      </c>
    </row>
    <row r="875" spans="1:13" x14ac:dyDescent="0.25">
      <c r="A875">
        <v>1000</v>
      </c>
      <c r="B875">
        <v>1000</v>
      </c>
      <c r="C875" s="1">
        <v>45961</v>
      </c>
      <c r="D875">
        <v>90827</v>
      </c>
      <c r="E875">
        <v>390</v>
      </c>
      <c r="F875" s="2">
        <v>6819.73</v>
      </c>
      <c r="G875" s="1">
        <v>45965</v>
      </c>
      <c r="I875" t="s">
        <v>9</v>
      </c>
      <c r="J875" s="14">
        <f>IFERROR(VLOOKUP(D875,'INf. RRHH'!$A:$B,2,0),0)</f>
        <v>2900</v>
      </c>
      <c r="K875" s="16">
        <f t="shared" si="39"/>
        <v>3919.7299999999996</v>
      </c>
      <c r="L875" s="17">
        <f t="shared" si="40"/>
        <v>966.67</v>
      </c>
      <c r="M875" s="18">
        <f t="shared" si="41"/>
        <v>4886.3999999999996</v>
      </c>
    </row>
    <row r="876" spans="1:13" x14ac:dyDescent="0.25">
      <c r="A876">
        <v>1000</v>
      </c>
      <c r="B876">
        <v>1000</v>
      </c>
      <c r="C876" s="1">
        <v>45961</v>
      </c>
      <c r="D876">
        <v>91094</v>
      </c>
      <c r="E876">
        <v>244</v>
      </c>
      <c r="F876" s="2">
        <v>5614.53</v>
      </c>
      <c r="G876" s="1">
        <v>45965</v>
      </c>
      <c r="I876" t="s">
        <v>9</v>
      </c>
      <c r="J876" s="14">
        <f>IFERROR(VLOOKUP(D876,'INf. RRHH'!$A:$B,2,0),0)</f>
        <v>2900</v>
      </c>
      <c r="K876" s="16">
        <f t="shared" si="39"/>
        <v>2714.5299999999997</v>
      </c>
      <c r="L876" s="17">
        <f t="shared" si="40"/>
        <v>966.67</v>
      </c>
      <c r="M876" s="18">
        <f t="shared" si="41"/>
        <v>3681.2</v>
      </c>
    </row>
    <row r="877" spans="1:13" x14ac:dyDescent="0.25">
      <c r="A877">
        <v>1000</v>
      </c>
      <c r="B877">
        <v>1000</v>
      </c>
      <c r="C877" s="1">
        <v>45961</v>
      </c>
      <c r="D877">
        <v>91188</v>
      </c>
      <c r="E877">
        <v>328</v>
      </c>
      <c r="F877" s="2">
        <v>4835.03</v>
      </c>
      <c r="G877" s="1">
        <v>45965</v>
      </c>
      <c r="I877" t="s">
        <v>9</v>
      </c>
      <c r="J877" s="14">
        <f>IFERROR(VLOOKUP(D877,'INf. RRHH'!$A:$B,2,0),0)</f>
        <v>2900</v>
      </c>
      <c r="K877" s="16">
        <f t="shared" si="39"/>
        <v>1935.0299999999997</v>
      </c>
      <c r="L877" s="17">
        <f t="shared" si="40"/>
        <v>966.67</v>
      </c>
      <c r="M877" s="18">
        <f t="shared" si="41"/>
        <v>2901.7</v>
      </c>
    </row>
    <row r="878" spans="1:13" x14ac:dyDescent="0.25">
      <c r="A878">
        <v>1000</v>
      </c>
      <c r="B878">
        <v>1000</v>
      </c>
      <c r="C878" s="1">
        <v>45961</v>
      </c>
      <c r="D878">
        <v>91362</v>
      </c>
      <c r="E878">
        <v>391</v>
      </c>
      <c r="F878" s="2">
        <v>6608.44</v>
      </c>
      <c r="G878" s="1">
        <v>45965</v>
      </c>
      <c r="I878" t="s">
        <v>9</v>
      </c>
      <c r="J878" s="14">
        <f>IFERROR(VLOOKUP(D878,'INf. RRHH'!$A:$B,2,0),0)</f>
        <v>2900</v>
      </c>
      <c r="K878" s="16">
        <f t="shared" si="39"/>
        <v>3708.4399999999996</v>
      </c>
      <c r="L878" s="17">
        <f t="shared" si="40"/>
        <v>966.67</v>
      </c>
      <c r="M878" s="18">
        <f t="shared" si="41"/>
        <v>4675.1099999999997</v>
      </c>
    </row>
    <row r="879" spans="1:13" x14ac:dyDescent="0.25">
      <c r="A879">
        <v>1000</v>
      </c>
      <c r="B879">
        <v>1000</v>
      </c>
      <c r="C879" s="1">
        <v>45961</v>
      </c>
      <c r="D879">
        <v>91418</v>
      </c>
      <c r="E879">
        <v>132</v>
      </c>
      <c r="F879" s="2">
        <v>5405.03</v>
      </c>
      <c r="G879" s="1">
        <v>45965</v>
      </c>
      <c r="I879" t="s">
        <v>9</v>
      </c>
      <c r="J879" s="14">
        <f>IFERROR(VLOOKUP(D879,'INf. RRHH'!$A:$B,2,0),0)</f>
        <v>2900</v>
      </c>
      <c r="K879" s="16">
        <f t="shared" si="39"/>
        <v>2505.0299999999997</v>
      </c>
      <c r="L879" s="17">
        <f t="shared" si="40"/>
        <v>966.67</v>
      </c>
      <c r="M879" s="18">
        <f t="shared" si="41"/>
        <v>3471.7</v>
      </c>
    </row>
    <row r="880" spans="1:13" x14ac:dyDescent="0.25">
      <c r="A880">
        <v>1000</v>
      </c>
      <c r="B880">
        <v>1000</v>
      </c>
      <c r="C880" s="1">
        <v>45961</v>
      </c>
      <c r="D880">
        <v>91460</v>
      </c>
      <c r="E880">
        <v>192</v>
      </c>
      <c r="F880" s="2">
        <v>4752.4799999999996</v>
      </c>
      <c r="G880" s="1">
        <v>45965</v>
      </c>
      <c r="I880" t="s">
        <v>9</v>
      </c>
      <c r="J880" s="14">
        <f>IFERROR(VLOOKUP(D880,'INf. RRHH'!$A:$B,2,0),0)</f>
        <v>2900</v>
      </c>
      <c r="K880" s="16">
        <f t="shared" si="39"/>
        <v>1852.4799999999996</v>
      </c>
      <c r="L880" s="17">
        <f t="shared" si="40"/>
        <v>966.67</v>
      </c>
      <c r="M880" s="18">
        <f t="shared" si="41"/>
        <v>2819.1499999999996</v>
      </c>
    </row>
    <row r="881" spans="1:13" x14ac:dyDescent="0.25">
      <c r="A881">
        <v>1000</v>
      </c>
      <c r="B881">
        <v>1000</v>
      </c>
      <c r="C881" s="1">
        <v>45961</v>
      </c>
      <c r="D881">
        <v>91625</v>
      </c>
      <c r="E881">
        <v>138</v>
      </c>
      <c r="F881" s="2">
        <v>5557.41</v>
      </c>
      <c r="G881" s="1">
        <v>45965</v>
      </c>
      <c r="I881" t="s">
        <v>9</v>
      </c>
      <c r="J881" s="14">
        <f>IFERROR(VLOOKUP(D881,'INf. RRHH'!$A:$B,2,0),0)</f>
        <v>2900</v>
      </c>
      <c r="K881" s="16">
        <f t="shared" si="39"/>
        <v>2657.41</v>
      </c>
      <c r="L881" s="17">
        <f t="shared" si="40"/>
        <v>966.67</v>
      </c>
      <c r="M881" s="18">
        <f t="shared" si="41"/>
        <v>3624.08</v>
      </c>
    </row>
    <row r="882" spans="1:13" x14ac:dyDescent="0.25">
      <c r="A882">
        <v>1000</v>
      </c>
      <c r="B882">
        <v>1000</v>
      </c>
      <c r="C882" s="1">
        <v>45961</v>
      </c>
      <c r="D882">
        <v>91669</v>
      </c>
      <c r="E882">
        <v>394</v>
      </c>
      <c r="F882" s="2">
        <v>4566.55</v>
      </c>
      <c r="G882" s="1">
        <v>45965</v>
      </c>
      <c r="I882" t="s">
        <v>9</v>
      </c>
      <c r="J882" s="14">
        <f>IFERROR(VLOOKUP(D882,'INf. RRHH'!$A:$B,2,0),0)</f>
        <v>2900</v>
      </c>
      <c r="K882" s="16">
        <f t="shared" si="39"/>
        <v>1666.5500000000002</v>
      </c>
      <c r="L882" s="17">
        <f t="shared" si="40"/>
        <v>966.67</v>
      </c>
      <c r="M882" s="18">
        <f t="shared" si="41"/>
        <v>2633.2200000000003</v>
      </c>
    </row>
    <row r="883" spans="1:13" x14ac:dyDescent="0.25">
      <c r="A883">
        <v>1000</v>
      </c>
      <c r="B883">
        <v>1000</v>
      </c>
      <c r="C883" s="1">
        <v>45961</v>
      </c>
      <c r="D883">
        <v>91790</v>
      </c>
      <c r="E883">
        <v>285</v>
      </c>
      <c r="F883" s="2">
        <v>6143.23</v>
      </c>
      <c r="G883" s="1">
        <v>45965</v>
      </c>
      <c r="I883" t="s">
        <v>9</v>
      </c>
      <c r="J883" s="14">
        <f>IFERROR(VLOOKUP(D883,'INf. RRHH'!$A:$B,2,0),0)</f>
        <v>2900</v>
      </c>
      <c r="K883" s="16">
        <f t="shared" si="39"/>
        <v>3243.2299999999996</v>
      </c>
      <c r="L883" s="17">
        <f t="shared" si="40"/>
        <v>966.67</v>
      </c>
      <c r="M883" s="18">
        <f t="shared" si="41"/>
        <v>4209.8999999999996</v>
      </c>
    </row>
    <row r="884" spans="1:13" x14ac:dyDescent="0.25">
      <c r="A884">
        <v>1000</v>
      </c>
      <c r="B884">
        <v>1000</v>
      </c>
      <c r="C884" s="1">
        <v>45961</v>
      </c>
      <c r="D884">
        <v>91904</v>
      </c>
      <c r="E884">
        <v>0</v>
      </c>
      <c r="F884" s="2">
        <v>1561.64</v>
      </c>
      <c r="G884" s="1">
        <v>45965</v>
      </c>
      <c r="I884" t="s">
        <v>9</v>
      </c>
      <c r="J884" s="14">
        <f>IFERROR(VLOOKUP(D884,'INf. RRHH'!$A:$B,2,0),0)</f>
        <v>2900</v>
      </c>
      <c r="K884" s="16">
        <f t="shared" si="39"/>
        <v>-1338.36</v>
      </c>
      <c r="L884" s="17">
        <f t="shared" si="40"/>
        <v>966.67</v>
      </c>
      <c r="M884" s="18">
        <f t="shared" si="41"/>
        <v>-371.68999999999994</v>
      </c>
    </row>
    <row r="885" spans="1:13" x14ac:dyDescent="0.25">
      <c r="A885">
        <v>1000</v>
      </c>
      <c r="B885">
        <v>1000</v>
      </c>
      <c r="C885" s="1">
        <v>45961</v>
      </c>
      <c r="D885">
        <v>91913</v>
      </c>
      <c r="E885">
        <v>115</v>
      </c>
      <c r="F885" s="2">
        <v>3531.39</v>
      </c>
      <c r="G885" s="1">
        <v>45965</v>
      </c>
      <c r="I885" t="s">
        <v>9</v>
      </c>
      <c r="J885" s="14">
        <f>IFERROR(VLOOKUP(D885,'INf. RRHH'!$A:$B,2,0),0)</f>
        <v>2900</v>
      </c>
      <c r="K885" s="16">
        <f t="shared" si="39"/>
        <v>631.38999999999987</v>
      </c>
      <c r="L885" s="17">
        <f t="shared" si="40"/>
        <v>966.67</v>
      </c>
      <c r="M885" s="18">
        <f t="shared" si="41"/>
        <v>1598.06</v>
      </c>
    </row>
    <row r="886" spans="1:13" x14ac:dyDescent="0.25">
      <c r="A886">
        <v>1000</v>
      </c>
      <c r="B886">
        <v>1000</v>
      </c>
      <c r="C886" s="1">
        <v>45961</v>
      </c>
      <c r="D886">
        <v>91945</v>
      </c>
      <c r="E886">
        <v>243</v>
      </c>
      <c r="F886" s="2">
        <v>5580.76</v>
      </c>
      <c r="G886" s="1">
        <v>45965</v>
      </c>
      <c r="I886" t="s">
        <v>9</v>
      </c>
      <c r="J886" s="14">
        <f>IFERROR(VLOOKUP(D886,'INf. RRHH'!$A:$B,2,0),0)</f>
        <v>2900</v>
      </c>
      <c r="K886" s="16">
        <f t="shared" si="39"/>
        <v>2680.76</v>
      </c>
      <c r="L886" s="17">
        <f t="shared" si="40"/>
        <v>966.67</v>
      </c>
      <c r="M886" s="18">
        <f t="shared" si="41"/>
        <v>3647.4300000000003</v>
      </c>
    </row>
    <row r="887" spans="1:13" x14ac:dyDescent="0.25">
      <c r="A887">
        <v>1000</v>
      </c>
      <c r="B887">
        <v>1000</v>
      </c>
      <c r="C887" s="1">
        <v>45961</v>
      </c>
      <c r="D887">
        <v>92067</v>
      </c>
      <c r="E887">
        <v>328</v>
      </c>
      <c r="F887" s="2">
        <v>7152.69</v>
      </c>
      <c r="G887" s="1">
        <v>45965</v>
      </c>
      <c r="I887" t="s">
        <v>9</v>
      </c>
      <c r="J887" s="14">
        <f>IFERROR(VLOOKUP(D887,'INf. RRHH'!$A:$B,2,0),0)</f>
        <v>2900</v>
      </c>
      <c r="K887" s="16">
        <f t="shared" si="39"/>
        <v>4252.6899999999996</v>
      </c>
      <c r="L887" s="17">
        <f t="shared" si="40"/>
        <v>966.67</v>
      </c>
      <c r="M887" s="18">
        <f t="shared" si="41"/>
        <v>5219.3599999999997</v>
      </c>
    </row>
    <row r="888" spans="1:13" x14ac:dyDescent="0.25">
      <c r="A888">
        <v>1000</v>
      </c>
      <c r="B888">
        <v>1000</v>
      </c>
      <c r="C888" s="1">
        <v>45961</v>
      </c>
      <c r="D888">
        <v>92348</v>
      </c>
      <c r="E888">
        <v>351</v>
      </c>
      <c r="F888" s="2">
        <v>6744.15</v>
      </c>
      <c r="G888" s="1">
        <v>45965</v>
      </c>
      <c r="I888" t="s">
        <v>9</v>
      </c>
      <c r="J888" s="14">
        <f>IFERROR(VLOOKUP(D888,'INf. RRHH'!$A:$B,2,0),0)</f>
        <v>2900</v>
      </c>
      <c r="K888" s="16">
        <f t="shared" si="39"/>
        <v>3844.1499999999996</v>
      </c>
      <c r="L888" s="17">
        <f t="shared" si="40"/>
        <v>966.67</v>
      </c>
      <c r="M888" s="18">
        <f t="shared" si="41"/>
        <v>4810.82</v>
      </c>
    </row>
    <row r="889" spans="1:13" x14ac:dyDescent="0.25">
      <c r="A889">
        <v>1000</v>
      </c>
      <c r="B889">
        <v>1000</v>
      </c>
      <c r="C889" s="1">
        <v>45961</v>
      </c>
      <c r="D889">
        <v>92363</v>
      </c>
      <c r="E889">
        <v>302.5</v>
      </c>
      <c r="F889" s="2">
        <v>7184.67</v>
      </c>
      <c r="G889" s="1">
        <v>45965</v>
      </c>
      <c r="I889" t="s">
        <v>9</v>
      </c>
      <c r="J889" s="14">
        <f>IFERROR(VLOOKUP(D889,'INf. RRHH'!$A:$B,2,0),0)</f>
        <v>2900</v>
      </c>
      <c r="K889" s="16">
        <f t="shared" si="39"/>
        <v>4284.67</v>
      </c>
      <c r="L889" s="17">
        <f t="shared" si="40"/>
        <v>966.67</v>
      </c>
      <c r="M889" s="18">
        <f t="shared" si="41"/>
        <v>5251.34</v>
      </c>
    </row>
    <row r="890" spans="1:13" x14ac:dyDescent="0.25">
      <c r="A890">
        <v>1000</v>
      </c>
      <c r="B890">
        <v>1000</v>
      </c>
      <c r="C890" s="1">
        <v>45961</v>
      </c>
      <c r="D890">
        <v>92492</v>
      </c>
      <c r="E890">
        <v>240</v>
      </c>
      <c r="F890" s="2">
        <v>4585.18</v>
      </c>
      <c r="G890" s="1">
        <v>45965</v>
      </c>
      <c r="I890" t="s">
        <v>9</v>
      </c>
      <c r="J890" s="14">
        <f>IFERROR(VLOOKUP(D890,'INf. RRHH'!$A:$B,2,0),0)</f>
        <v>2900</v>
      </c>
      <c r="K890" s="16">
        <f t="shared" si="39"/>
        <v>1685.1800000000003</v>
      </c>
      <c r="L890" s="17">
        <f t="shared" si="40"/>
        <v>966.67</v>
      </c>
      <c r="M890" s="18">
        <f t="shared" si="41"/>
        <v>2651.8500000000004</v>
      </c>
    </row>
    <row r="891" spans="1:13" x14ac:dyDescent="0.25">
      <c r="A891">
        <v>1000</v>
      </c>
      <c r="B891">
        <v>1000</v>
      </c>
      <c r="C891" s="1">
        <v>45961</v>
      </c>
      <c r="D891">
        <v>92692</v>
      </c>
      <c r="E891">
        <v>240</v>
      </c>
      <c r="F891" s="2">
        <v>5377.06</v>
      </c>
      <c r="G891" s="1">
        <v>45965</v>
      </c>
      <c r="I891" t="s">
        <v>9</v>
      </c>
      <c r="J891" s="14">
        <f>IFERROR(VLOOKUP(D891,'INf. RRHH'!$A:$B,2,0),0)</f>
        <v>2900</v>
      </c>
      <c r="K891" s="16">
        <f t="shared" si="39"/>
        <v>2477.0600000000004</v>
      </c>
      <c r="L891" s="17">
        <f t="shared" si="40"/>
        <v>966.67</v>
      </c>
      <c r="M891" s="18">
        <f t="shared" si="41"/>
        <v>3443.7300000000005</v>
      </c>
    </row>
    <row r="892" spans="1:13" x14ac:dyDescent="0.25">
      <c r="A892">
        <v>1000</v>
      </c>
      <c r="B892">
        <v>1000</v>
      </c>
      <c r="C892" s="1">
        <v>45961</v>
      </c>
      <c r="D892">
        <v>92737</v>
      </c>
      <c r="E892">
        <v>240</v>
      </c>
      <c r="F892" s="2">
        <v>5211.2</v>
      </c>
      <c r="G892" s="1">
        <v>45965</v>
      </c>
      <c r="I892" t="s">
        <v>9</v>
      </c>
      <c r="J892" s="14">
        <f>IFERROR(VLOOKUP(D892,'INf. RRHH'!$A:$B,2,0),0)</f>
        <v>2900</v>
      </c>
      <c r="K892" s="16">
        <f t="shared" si="39"/>
        <v>2311.1999999999998</v>
      </c>
      <c r="L892" s="17">
        <f t="shared" si="40"/>
        <v>966.67</v>
      </c>
      <c r="M892" s="18">
        <f t="shared" si="41"/>
        <v>3277.87</v>
      </c>
    </row>
    <row r="893" spans="1:13" x14ac:dyDescent="0.25">
      <c r="A893">
        <v>1000</v>
      </c>
      <c r="B893">
        <v>1000</v>
      </c>
      <c r="C893" s="1">
        <v>45961</v>
      </c>
      <c r="D893">
        <v>92836</v>
      </c>
      <c r="E893">
        <v>296</v>
      </c>
      <c r="F893" s="2">
        <v>4811.29</v>
      </c>
      <c r="G893" s="1">
        <v>45965</v>
      </c>
      <c r="I893" t="s">
        <v>9</v>
      </c>
      <c r="J893" s="14">
        <f>IFERROR(VLOOKUP(D893,'INf. RRHH'!$A:$B,2,0),0)</f>
        <v>2900</v>
      </c>
      <c r="K893" s="16">
        <f t="shared" si="39"/>
        <v>1911.29</v>
      </c>
      <c r="L893" s="17">
        <f t="shared" si="40"/>
        <v>966.67</v>
      </c>
      <c r="M893" s="18">
        <f t="shared" si="41"/>
        <v>2877.96</v>
      </c>
    </row>
    <row r="894" spans="1:13" x14ac:dyDescent="0.25">
      <c r="A894">
        <v>1000</v>
      </c>
      <c r="B894">
        <v>1000</v>
      </c>
      <c r="C894" s="1">
        <v>45961</v>
      </c>
      <c r="D894">
        <v>92854</v>
      </c>
      <c r="E894">
        <v>288</v>
      </c>
      <c r="F894" s="2">
        <v>4922.3599999999997</v>
      </c>
      <c r="G894" s="1">
        <v>45965</v>
      </c>
      <c r="I894" t="s">
        <v>9</v>
      </c>
      <c r="J894" s="14">
        <f>IFERROR(VLOOKUP(D894,'INf. RRHH'!$A:$B,2,0),0)</f>
        <v>2900</v>
      </c>
      <c r="K894" s="16">
        <f t="shared" si="39"/>
        <v>2022.3599999999997</v>
      </c>
      <c r="L894" s="17">
        <f t="shared" si="40"/>
        <v>966.67</v>
      </c>
      <c r="M894" s="18">
        <f t="shared" si="41"/>
        <v>2989.0299999999997</v>
      </c>
    </row>
    <row r="895" spans="1:13" x14ac:dyDescent="0.25">
      <c r="A895">
        <v>1000</v>
      </c>
      <c r="B895">
        <v>1000</v>
      </c>
      <c r="C895" s="1">
        <v>45961</v>
      </c>
      <c r="D895">
        <v>92881</v>
      </c>
      <c r="E895">
        <v>240</v>
      </c>
      <c r="F895" s="2">
        <v>5376.37</v>
      </c>
      <c r="G895" s="1">
        <v>45965</v>
      </c>
      <c r="I895" t="s">
        <v>9</v>
      </c>
      <c r="J895" s="14">
        <f>IFERROR(VLOOKUP(D895,'INf. RRHH'!$A:$B,2,0),0)</f>
        <v>2900</v>
      </c>
      <c r="K895" s="16">
        <f t="shared" si="39"/>
        <v>2476.37</v>
      </c>
      <c r="L895" s="17">
        <f t="shared" si="40"/>
        <v>966.67</v>
      </c>
      <c r="M895" s="18">
        <f t="shared" si="41"/>
        <v>3443.04</v>
      </c>
    </row>
    <row r="896" spans="1:13" x14ac:dyDescent="0.25">
      <c r="A896">
        <v>1000</v>
      </c>
      <c r="B896">
        <v>1000</v>
      </c>
      <c r="C896" s="1">
        <v>45961</v>
      </c>
      <c r="D896">
        <v>92941</v>
      </c>
      <c r="E896">
        <v>72</v>
      </c>
      <c r="F896" s="2">
        <v>5662.98</v>
      </c>
      <c r="G896" s="1">
        <v>45965</v>
      </c>
      <c r="I896" t="s">
        <v>9</v>
      </c>
      <c r="J896" s="14">
        <f>IFERROR(VLOOKUP(D896,'INf. RRHH'!$A:$B,2,0),0)</f>
        <v>2900</v>
      </c>
      <c r="K896" s="16">
        <f t="shared" si="39"/>
        <v>2762.9799999999996</v>
      </c>
      <c r="L896" s="17">
        <f t="shared" si="40"/>
        <v>966.67</v>
      </c>
      <c r="M896" s="18">
        <f t="shared" si="41"/>
        <v>3729.6499999999996</v>
      </c>
    </row>
    <row r="897" spans="1:13" x14ac:dyDescent="0.25">
      <c r="A897">
        <v>1000</v>
      </c>
      <c r="B897">
        <v>1000</v>
      </c>
      <c r="C897" s="1">
        <v>45961</v>
      </c>
      <c r="D897">
        <v>93080</v>
      </c>
      <c r="E897">
        <v>104</v>
      </c>
      <c r="F897" s="2">
        <v>4452.8900000000003</v>
      </c>
      <c r="G897" s="1">
        <v>45965</v>
      </c>
      <c r="I897" t="s">
        <v>9</v>
      </c>
      <c r="J897" s="14">
        <f>IFERROR(VLOOKUP(D897,'INf. RRHH'!$A:$B,2,0),0)</f>
        <v>2900</v>
      </c>
      <c r="K897" s="16">
        <f t="shared" si="39"/>
        <v>1552.8900000000003</v>
      </c>
      <c r="L897" s="17">
        <f t="shared" si="40"/>
        <v>966.67</v>
      </c>
      <c r="M897" s="18">
        <f t="shared" si="41"/>
        <v>2519.5600000000004</v>
      </c>
    </row>
    <row r="898" spans="1:13" x14ac:dyDescent="0.25">
      <c r="A898">
        <v>1000</v>
      </c>
      <c r="B898">
        <v>1000</v>
      </c>
      <c r="C898" s="1">
        <v>45961</v>
      </c>
      <c r="D898">
        <v>93317</v>
      </c>
      <c r="E898">
        <v>209</v>
      </c>
      <c r="F898" s="2">
        <v>5482.67</v>
      </c>
      <c r="G898" s="1">
        <v>45965</v>
      </c>
      <c r="I898" t="s">
        <v>9</v>
      </c>
      <c r="J898" s="14">
        <f>IFERROR(VLOOKUP(D898,'INf. RRHH'!$A:$B,2,0),0)</f>
        <v>2900</v>
      </c>
      <c r="K898" s="16">
        <f t="shared" si="39"/>
        <v>2582.67</v>
      </c>
      <c r="L898" s="17">
        <f t="shared" si="40"/>
        <v>966.67</v>
      </c>
      <c r="M898" s="18">
        <f t="shared" si="41"/>
        <v>3549.34</v>
      </c>
    </row>
    <row r="899" spans="1:13" x14ac:dyDescent="0.25">
      <c r="A899">
        <v>1000</v>
      </c>
      <c r="B899">
        <v>1000</v>
      </c>
      <c r="C899" s="1">
        <v>45961</v>
      </c>
      <c r="D899">
        <v>93413</v>
      </c>
      <c r="E899">
        <v>232</v>
      </c>
      <c r="F899" s="2">
        <v>5297.54</v>
      </c>
      <c r="G899" s="1">
        <v>45965</v>
      </c>
      <c r="I899" t="s">
        <v>9</v>
      </c>
      <c r="J899" s="14">
        <f>IFERROR(VLOOKUP(D899,'INf. RRHH'!$A:$B,2,0),0)</f>
        <v>2900</v>
      </c>
      <c r="K899" s="16">
        <f t="shared" ref="K899:K962" si="42">+F899-J899</f>
        <v>2397.54</v>
      </c>
      <c r="L899" s="17">
        <f t="shared" ref="L899:L962" si="43">ROUND(J899/3,2)</f>
        <v>966.67</v>
      </c>
      <c r="M899" s="18">
        <f t="shared" ref="M899:M962" si="44">+K899+L899</f>
        <v>3364.21</v>
      </c>
    </row>
    <row r="900" spans="1:13" x14ac:dyDescent="0.25">
      <c r="A900">
        <v>1000</v>
      </c>
      <c r="B900">
        <v>1000</v>
      </c>
      <c r="C900" s="1">
        <v>45961</v>
      </c>
      <c r="D900">
        <v>93718</v>
      </c>
      <c r="E900">
        <v>240</v>
      </c>
      <c r="F900" s="2">
        <v>4416.72</v>
      </c>
      <c r="G900" s="1">
        <v>45965</v>
      </c>
      <c r="I900" t="s">
        <v>9</v>
      </c>
      <c r="J900" s="14">
        <f>IFERROR(VLOOKUP(D900,'INf. RRHH'!$A:$B,2,0),0)</f>
        <v>2900</v>
      </c>
      <c r="K900" s="16">
        <f t="shared" si="42"/>
        <v>1516.7200000000003</v>
      </c>
      <c r="L900" s="17">
        <f t="shared" si="43"/>
        <v>966.67</v>
      </c>
      <c r="M900" s="18">
        <f t="shared" si="44"/>
        <v>2483.3900000000003</v>
      </c>
    </row>
    <row r="901" spans="1:13" x14ac:dyDescent="0.25">
      <c r="A901">
        <v>1000</v>
      </c>
      <c r="B901">
        <v>1000</v>
      </c>
      <c r="C901" s="1">
        <v>45961</v>
      </c>
      <c r="D901">
        <v>93853</v>
      </c>
      <c r="E901">
        <v>240</v>
      </c>
      <c r="F901" s="2">
        <v>5357.89</v>
      </c>
      <c r="G901" s="1">
        <v>45965</v>
      </c>
      <c r="I901" t="s">
        <v>9</v>
      </c>
      <c r="J901" s="14">
        <f>IFERROR(VLOOKUP(D901,'INf. RRHH'!$A:$B,2,0),0)</f>
        <v>2900</v>
      </c>
      <c r="K901" s="16">
        <f t="shared" si="42"/>
        <v>2457.8900000000003</v>
      </c>
      <c r="L901" s="17">
        <f t="shared" si="43"/>
        <v>966.67</v>
      </c>
      <c r="M901" s="18">
        <f t="shared" si="44"/>
        <v>3424.5600000000004</v>
      </c>
    </row>
    <row r="902" spans="1:13" x14ac:dyDescent="0.25">
      <c r="A902">
        <v>1000</v>
      </c>
      <c r="B902">
        <v>1000</v>
      </c>
      <c r="C902" s="1">
        <v>45961</v>
      </c>
      <c r="D902">
        <v>93913</v>
      </c>
      <c r="E902">
        <v>168</v>
      </c>
      <c r="F902" s="2">
        <v>5428.23</v>
      </c>
      <c r="G902" s="1">
        <v>45965</v>
      </c>
      <c r="I902" t="s">
        <v>9</v>
      </c>
      <c r="J902" s="14">
        <f>IFERROR(VLOOKUP(D902,'INf. RRHH'!$A:$B,2,0),0)</f>
        <v>2900</v>
      </c>
      <c r="K902" s="16">
        <f t="shared" si="42"/>
        <v>2528.2299999999996</v>
      </c>
      <c r="L902" s="17">
        <f t="shared" si="43"/>
        <v>966.67</v>
      </c>
      <c r="M902" s="18">
        <f t="shared" si="44"/>
        <v>3494.8999999999996</v>
      </c>
    </row>
    <row r="903" spans="1:13" x14ac:dyDescent="0.25">
      <c r="A903">
        <v>1000</v>
      </c>
      <c r="B903">
        <v>1000</v>
      </c>
      <c r="C903" s="1">
        <v>45961</v>
      </c>
      <c r="D903">
        <v>93943</v>
      </c>
      <c r="E903">
        <v>240</v>
      </c>
      <c r="F903" s="2">
        <v>5376.5</v>
      </c>
      <c r="G903" s="1">
        <v>45965</v>
      </c>
      <c r="I903" t="s">
        <v>9</v>
      </c>
      <c r="J903" s="14">
        <f>IFERROR(VLOOKUP(D903,'INf. RRHH'!$A:$B,2,0),0)</f>
        <v>2900</v>
      </c>
      <c r="K903" s="16">
        <f t="shared" si="42"/>
        <v>2476.5</v>
      </c>
      <c r="L903" s="17">
        <f t="shared" si="43"/>
        <v>966.67</v>
      </c>
      <c r="M903" s="18">
        <f t="shared" si="44"/>
        <v>3443.17</v>
      </c>
    </row>
    <row r="904" spans="1:13" x14ac:dyDescent="0.25">
      <c r="A904">
        <v>1000</v>
      </c>
      <c r="B904">
        <v>1000</v>
      </c>
      <c r="C904" s="1">
        <v>45961</v>
      </c>
      <c r="D904">
        <v>94373</v>
      </c>
      <c r="E904">
        <v>240</v>
      </c>
      <c r="F904" s="2">
        <v>4434.26</v>
      </c>
      <c r="G904" s="1">
        <v>45965</v>
      </c>
      <c r="I904" t="s">
        <v>9</v>
      </c>
      <c r="J904" s="14">
        <f>IFERROR(VLOOKUP(D904,'INf. RRHH'!$A:$B,2,0),0)</f>
        <v>2900</v>
      </c>
      <c r="K904" s="16">
        <f t="shared" si="42"/>
        <v>1534.2600000000002</v>
      </c>
      <c r="L904" s="17">
        <f t="shared" si="43"/>
        <v>966.67</v>
      </c>
      <c r="M904" s="18">
        <f t="shared" si="44"/>
        <v>2500.9300000000003</v>
      </c>
    </row>
    <row r="905" spans="1:13" x14ac:dyDescent="0.25">
      <c r="A905">
        <v>1000</v>
      </c>
      <c r="B905">
        <v>1000</v>
      </c>
      <c r="C905" s="1">
        <v>45961</v>
      </c>
      <c r="D905">
        <v>94579</v>
      </c>
      <c r="E905">
        <v>406</v>
      </c>
      <c r="F905" s="2">
        <v>8273.15</v>
      </c>
      <c r="G905" s="1">
        <v>45965</v>
      </c>
      <c r="I905" t="s">
        <v>9</v>
      </c>
      <c r="J905" s="14">
        <f>IFERROR(VLOOKUP(D905,'INf. RRHH'!$A:$B,2,0),0)</f>
        <v>2900</v>
      </c>
      <c r="K905" s="16">
        <f t="shared" si="42"/>
        <v>5373.15</v>
      </c>
      <c r="L905" s="17">
        <f t="shared" si="43"/>
        <v>966.67</v>
      </c>
      <c r="M905" s="18">
        <f t="shared" si="44"/>
        <v>6339.82</v>
      </c>
    </row>
    <row r="906" spans="1:13" x14ac:dyDescent="0.25">
      <c r="A906">
        <v>1000</v>
      </c>
      <c r="B906">
        <v>1000</v>
      </c>
      <c r="C906" s="1">
        <v>45961</v>
      </c>
      <c r="D906">
        <v>94816</v>
      </c>
      <c r="E906">
        <v>232</v>
      </c>
      <c r="F906" s="2">
        <v>4899.43</v>
      </c>
      <c r="G906" s="1">
        <v>45965</v>
      </c>
      <c r="I906" t="s">
        <v>9</v>
      </c>
      <c r="J906" s="14">
        <f>IFERROR(VLOOKUP(D906,'INf. RRHH'!$A:$B,2,0),0)</f>
        <v>2900</v>
      </c>
      <c r="K906" s="16">
        <f t="shared" si="42"/>
        <v>1999.4300000000003</v>
      </c>
      <c r="L906" s="17">
        <f t="shared" si="43"/>
        <v>966.67</v>
      </c>
      <c r="M906" s="18">
        <f t="shared" si="44"/>
        <v>2966.1000000000004</v>
      </c>
    </row>
    <row r="907" spans="1:13" x14ac:dyDescent="0.25">
      <c r="A907">
        <v>1000</v>
      </c>
      <c r="B907">
        <v>1000</v>
      </c>
      <c r="C907" s="1">
        <v>45961</v>
      </c>
      <c r="D907">
        <v>94870</v>
      </c>
      <c r="E907">
        <v>277</v>
      </c>
      <c r="F907" s="2">
        <v>5573.4</v>
      </c>
      <c r="G907" s="1">
        <v>45965</v>
      </c>
      <c r="I907" t="s">
        <v>9</v>
      </c>
      <c r="J907" s="14">
        <f>IFERROR(VLOOKUP(D907,'INf. RRHH'!$A:$B,2,0),0)</f>
        <v>2900</v>
      </c>
      <c r="K907" s="16">
        <f t="shared" si="42"/>
        <v>2673.3999999999996</v>
      </c>
      <c r="L907" s="17">
        <f t="shared" si="43"/>
        <v>966.67</v>
      </c>
      <c r="M907" s="18">
        <f t="shared" si="44"/>
        <v>3640.0699999999997</v>
      </c>
    </row>
    <row r="908" spans="1:13" x14ac:dyDescent="0.25">
      <c r="A908">
        <v>1000</v>
      </c>
      <c r="B908">
        <v>1000</v>
      </c>
      <c r="C908" s="1">
        <v>45961</v>
      </c>
      <c r="D908">
        <v>95012</v>
      </c>
      <c r="E908">
        <v>250.5</v>
      </c>
      <c r="F908" s="2">
        <v>5642.5</v>
      </c>
      <c r="G908" s="1">
        <v>45965</v>
      </c>
      <c r="I908" t="s">
        <v>9</v>
      </c>
      <c r="J908" s="14">
        <f>IFERROR(VLOOKUP(D908,'INf. RRHH'!$A:$B,2,0),0)</f>
        <v>2900</v>
      </c>
      <c r="K908" s="16">
        <f t="shared" si="42"/>
        <v>2742.5</v>
      </c>
      <c r="L908" s="17">
        <f t="shared" si="43"/>
        <v>966.67</v>
      </c>
      <c r="M908" s="18">
        <f t="shared" si="44"/>
        <v>3709.17</v>
      </c>
    </row>
    <row r="909" spans="1:13" x14ac:dyDescent="0.25">
      <c r="A909">
        <v>1000</v>
      </c>
      <c r="B909">
        <v>1000</v>
      </c>
      <c r="C909" s="1">
        <v>45961</v>
      </c>
      <c r="D909">
        <v>95053</v>
      </c>
      <c r="E909">
        <v>240</v>
      </c>
      <c r="F909" s="2">
        <v>4076.24</v>
      </c>
      <c r="G909" s="1">
        <v>45965</v>
      </c>
      <c r="I909" t="s">
        <v>9</v>
      </c>
      <c r="J909" s="14">
        <f>IFERROR(VLOOKUP(D909,'INf. RRHH'!$A:$B,2,0),0)</f>
        <v>2900</v>
      </c>
      <c r="K909" s="16">
        <f t="shared" si="42"/>
        <v>1176.2399999999998</v>
      </c>
      <c r="L909" s="17">
        <f t="shared" si="43"/>
        <v>966.67</v>
      </c>
      <c r="M909" s="18">
        <f t="shared" si="44"/>
        <v>2142.91</v>
      </c>
    </row>
    <row r="910" spans="1:13" x14ac:dyDescent="0.25">
      <c r="A910">
        <v>1000</v>
      </c>
      <c r="B910">
        <v>1000</v>
      </c>
      <c r="C910" s="1">
        <v>45961</v>
      </c>
      <c r="D910">
        <v>95080</v>
      </c>
      <c r="E910">
        <v>235</v>
      </c>
      <c r="F910" s="2">
        <v>2166</v>
      </c>
      <c r="G910" s="1">
        <v>45965</v>
      </c>
      <c r="I910" t="s">
        <v>9</v>
      </c>
      <c r="J910" s="14">
        <f>IFERROR(VLOOKUP(D910,'INf. RRHH'!$A:$B,2,0),0)</f>
        <v>0</v>
      </c>
      <c r="K910" s="16">
        <f t="shared" si="42"/>
        <v>2166</v>
      </c>
      <c r="L910" s="17">
        <f t="shared" si="43"/>
        <v>0</v>
      </c>
      <c r="M910" s="18">
        <f t="shared" si="44"/>
        <v>2166</v>
      </c>
    </row>
    <row r="911" spans="1:13" x14ac:dyDescent="0.25">
      <c r="A911">
        <v>1000</v>
      </c>
      <c r="B911">
        <v>1000</v>
      </c>
      <c r="C911" s="1">
        <v>45961</v>
      </c>
      <c r="D911">
        <v>95224</v>
      </c>
      <c r="E911">
        <v>216</v>
      </c>
      <c r="F911" s="2">
        <v>4922.87</v>
      </c>
      <c r="G911" s="1">
        <v>45965</v>
      </c>
      <c r="I911" t="s">
        <v>9</v>
      </c>
      <c r="J911" s="14">
        <f>IFERROR(VLOOKUP(D911,'INf. RRHH'!$A:$B,2,0),0)</f>
        <v>2900</v>
      </c>
      <c r="K911" s="16">
        <f t="shared" si="42"/>
        <v>2022.87</v>
      </c>
      <c r="L911" s="17">
        <f t="shared" si="43"/>
        <v>966.67</v>
      </c>
      <c r="M911" s="18">
        <f t="shared" si="44"/>
        <v>2989.54</v>
      </c>
    </row>
    <row r="912" spans="1:13" x14ac:dyDescent="0.25">
      <c r="A912">
        <v>1000</v>
      </c>
      <c r="B912">
        <v>1000</v>
      </c>
      <c r="C912" s="1">
        <v>45961</v>
      </c>
      <c r="D912">
        <v>95259</v>
      </c>
      <c r="E912">
        <v>257</v>
      </c>
      <c r="F912" s="2">
        <v>3851.4</v>
      </c>
      <c r="G912" s="1">
        <v>45965</v>
      </c>
      <c r="I912" t="s">
        <v>9</v>
      </c>
      <c r="J912" s="14">
        <f>IFERROR(VLOOKUP(D912,'INf. RRHH'!$A:$B,2,0),0)</f>
        <v>1450</v>
      </c>
      <c r="K912" s="16">
        <f t="shared" si="42"/>
        <v>2401.4</v>
      </c>
      <c r="L912" s="17">
        <f t="shared" si="43"/>
        <v>483.33</v>
      </c>
      <c r="M912" s="18">
        <f t="shared" si="44"/>
        <v>2884.73</v>
      </c>
    </row>
    <row r="913" spans="1:13" x14ac:dyDescent="0.25">
      <c r="A913">
        <v>1000</v>
      </c>
      <c r="B913">
        <v>1000</v>
      </c>
      <c r="C913" s="1">
        <v>45961</v>
      </c>
      <c r="D913">
        <v>95269</v>
      </c>
      <c r="E913">
        <v>276</v>
      </c>
      <c r="F913" s="2">
        <v>5738.78</v>
      </c>
      <c r="G913" s="1">
        <v>45965</v>
      </c>
      <c r="I913" t="s">
        <v>9</v>
      </c>
      <c r="J913" s="14">
        <f>IFERROR(VLOOKUP(D913,'INf. RRHH'!$A:$B,2,0),0)</f>
        <v>2900</v>
      </c>
      <c r="K913" s="16">
        <f t="shared" si="42"/>
        <v>2838.7799999999997</v>
      </c>
      <c r="L913" s="17">
        <f t="shared" si="43"/>
        <v>966.67</v>
      </c>
      <c r="M913" s="18">
        <f t="shared" si="44"/>
        <v>3805.45</v>
      </c>
    </row>
    <row r="914" spans="1:13" x14ac:dyDescent="0.25">
      <c r="A914">
        <v>1000</v>
      </c>
      <c r="B914">
        <v>1000</v>
      </c>
      <c r="C914" s="1">
        <v>45961</v>
      </c>
      <c r="D914">
        <v>95313</v>
      </c>
      <c r="E914">
        <v>224</v>
      </c>
      <c r="F914" s="2">
        <v>4830.54</v>
      </c>
      <c r="G914" s="1">
        <v>45965</v>
      </c>
      <c r="I914" t="s">
        <v>9</v>
      </c>
      <c r="J914" s="14">
        <f>IFERROR(VLOOKUP(D914,'INf. RRHH'!$A:$B,2,0),0)</f>
        <v>2900</v>
      </c>
      <c r="K914" s="16">
        <f t="shared" si="42"/>
        <v>1930.54</v>
      </c>
      <c r="L914" s="17">
        <f t="shared" si="43"/>
        <v>966.67</v>
      </c>
      <c r="M914" s="18">
        <f t="shared" si="44"/>
        <v>2897.21</v>
      </c>
    </row>
    <row r="915" spans="1:13" x14ac:dyDescent="0.25">
      <c r="A915">
        <v>1000</v>
      </c>
      <c r="B915">
        <v>1000</v>
      </c>
      <c r="C915" s="1">
        <v>45961</v>
      </c>
      <c r="D915">
        <v>95314</v>
      </c>
      <c r="E915">
        <v>279</v>
      </c>
      <c r="F915" s="2">
        <v>5507.26</v>
      </c>
      <c r="G915" s="1">
        <v>45965</v>
      </c>
      <c r="I915" t="s">
        <v>9</v>
      </c>
      <c r="J915" s="14">
        <f>IFERROR(VLOOKUP(D915,'INf. RRHH'!$A:$B,2,0),0)</f>
        <v>2900</v>
      </c>
      <c r="K915" s="16">
        <f t="shared" si="42"/>
        <v>2607.2600000000002</v>
      </c>
      <c r="L915" s="17">
        <f t="shared" si="43"/>
        <v>966.67</v>
      </c>
      <c r="M915" s="18">
        <f t="shared" si="44"/>
        <v>3573.9300000000003</v>
      </c>
    </row>
    <row r="916" spans="1:13" x14ac:dyDescent="0.25">
      <c r="A916">
        <v>1000</v>
      </c>
      <c r="B916">
        <v>1000</v>
      </c>
      <c r="C916" s="1">
        <v>45961</v>
      </c>
      <c r="D916">
        <v>4479</v>
      </c>
      <c r="E916">
        <v>239</v>
      </c>
      <c r="F916" s="2">
        <v>6176.24</v>
      </c>
      <c r="G916" s="1">
        <v>45965</v>
      </c>
      <c r="I916" t="s">
        <v>9</v>
      </c>
      <c r="J916" s="14">
        <f>IFERROR(VLOOKUP(D916,'INf. RRHH'!$A:$B,2,0),0)</f>
        <v>2900</v>
      </c>
      <c r="K916" s="16">
        <f t="shared" si="42"/>
        <v>3276.24</v>
      </c>
      <c r="L916" s="17">
        <f t="shared" si="43"/>
        <v>966.67</v>
      </c>
      <c r="M916" s="18">
        <f t="shared" si="44"/>
        <v>4242.91</v>
      </c>
    </row>
    <row r="917" spans="1:13" x14ac:dyDescent="0.25">
      <c r="A917">
        <v>1000</v>
      </c>
      <c r="B917">
        <v>1000</v>
      </c>
      <c r="C917" s="1">
        <v>45961</v>
      </c>
      <c r="D917">
        <v>7549</v>
      </c>
      <c r="E917">
        <v>231</v>
      </c>
      <c r="F917" s="2">
        <v>6265.22</v>
      </c>
      <c r="G917" s="1">
        <v>45965</v>
      </c>
      <c r="I917" t="s">
        <v>9</v>
      </c>
      <c r="J917" s="14">
        <f>IFERROR(VLOOKUP(D917,'INf. RRHH'!$A:$B,2,0),0)</f>
        <v>2900</v>
      </c>
      <c r="K917" s="16">
        <f t="shared" si="42"/>
        <v>3365.2200000000003</v>
      </c>
      <c r="L917" s="17">
        <f t="shared" si="43"/>
        <v>966.67</v>
      </c>
      <c r="M917" s="18">
        <f t="shared" si="44"/>
        <v>4331.8900000000003</v>
      </c>
    </row>
    <row r="918" spans="1:13" x14ac:dyDescent="0.25">
      <c r="A918">
        <v>1000</v>
      </c>
      <c r="B918">
        <v>1000</v>
      </c>
      <c r="C918" s="1">
        <v>45961</v>
      </c>
      <c r="D918">
        <v>7957</v>
      </c>
      <c r="E918">
        <v>0</v>
      </c>
      <c r="F918" s="2">
        <v>3721.37</v>
      </c>
      <c r="G918" s="1">
        <v>45965</v>
      </c>
      <c r="I918" t="s">
        <v>9</v>
      </c>
      <c r="J918" s="14">
        <f>IFERROR(VLOOKUP(D918,'INf. RRHH'!$A:$B,2,0),0)</f>
        <v>2900</v>
      </c>
      <c r="K918" s="16">
        <f t="shared" si="42"/>
        <v>821.36999999999989</v>
      </c>
      <c r="L918" s="17">
        <f t="shared" si="43"/>
        <v>966.67</v>
      </c>
      <c r="M918" s="18">
        <f t="shared" si="44"/>
        <v>1788.04</v>
      </c>
    </row>
    <row r="919" spans="1:13" x14ac:dyDescent="0.25">
      <c r="A919">
        <v>1000</v>
      </c>
      <c r="B919">
        <v>1000</v>
      </c>
      <c r="C919" s="1">
        <v>45961</v>
      </c>
      <c r="D919">
        <v>7963</v>
      </c>
      <c r="E919">
        <v>310</v>
      </c>
      <c r="F919" s="2">
        <v>7046.62</v>
      </c>
      <c r="G919" s="1">
        <v>45965</v>
      </c>
      <c r="I919" t="s">
        <v>9</v>
      </c>
      <c r="J919" s="14">
        <f>IFERROR(VLOOKUP(D919,'INf. RRHH'!$A:$B,2,0),0)</f>
        <v>2900</v>
      </c>
      <c r="K919" s="16">
        <f t="shared" si="42"/>
        <v>4146.62</v>
      </c>
      <c r="L919" s="17">
        <f t="shared" si="43"/>
        <v>966.67</v>
      </c>
      <c r="M919" s="18">
        <f t="shared" si="44"/>
        <v>5113.29</v>
      </c>
    </row>
    <row r="920" spans="1:13" x14ac:dyDescent="0.25">
      <c r="A920">
        <v>1000</v>
      </c>
      <c r="B920">
        <v>1000</v>
      </c>
      <c r="C920" s="1">
        <v>45961</v>
      </c>
      <c r="D920">
        <v>90055</v>
      </c>
      <c r="E920">
        <v>311</v>
      </c>
      <c r="F920" s="2">
        <v>6550.64</v>
      </c>
      <c r="G920" s="1">
        <v>45965</v>
      </c>
      <c r="I920" t="s">
        <v>9</v>
      </c>
      <c r="J920" s="14">
        <f>IFERROR(VLOOKUP(D920,'INf. RRHH'!$A:$B,2,0),0)</f>
        <v>2900</v>
      </c>
      <c r="K920" s="16">
        <f t="shared" si="42"/>
        <v>3650.6400000000003</v>
      </c>
      <c r="L920" s="17">
        <f t="shared" si="43"/>
        <v>966.67</v>
      </c>
      <c r="M920" s="18">
        <f t="shared" si="44"/>
        <v>4617.3100000000004</v>
      </c>
    </row>
    <row r="921" spans="1:13" x14ac:dyDescent="0.25">
      <c r="A921">
        <v>1000</v>
      </c>
      <c r="B921">
        <v>1000</v>
      </c>
      <c r="C921" s="1">
        <v>45961</v>
      </c>
      <c r="D921">
        <v>90367</v>
      </c>
      <c r="E921">
        <v>16</v>
      </c>
      <c r="F921" s="2">
        <v>8297.06</v>
      </c>
      <c r="G921" s="1">
        <v>45965</v>
      </c>
      <c r="I921" t="s">
        <v>9</v>
      </c>
      <c r="J921" s="14">
        <f>IFERROR(VLOOKUP(D921,'INf. RRHH'!$A:$B,2,0),0)</f>
        <v>2900</v>
      </c>
      <c r="K921" s="16">
        <f t="shared" si="42"/>
        <v>5397.0599999999995</v>
      </c>
      <c r="L921" s="17">
        <f t="shared" si="43"/>
        <v>966.67</v>
      </c>
      <c r="M921" s="18">
        <f t="shared" si="44"/>
        <v>6363.73</v>
      </c>
    </row>
    <row r="922" spans="1:13" x14ac:dyDescent="0.25">
      <c r="A922">
        <v>1000</v>
      </c>
      <c r="B922">
        <v>1000</v>
      </c>
      <c r="C922" s="1">
        <v>45961</v>
      </c>
      <c r="D922">
        <v>90691</v>
      </c>
      <c r="E922">
        <v>353</v>
      </c>
      <c r="F922" s="2">
        <v>6713.65</v>
      </c>
      <c r="G922" s="1">
        <v>45965</v>
      </c>
      <c r="I922" t="s">
        <v>9</v>
      </c>
      <c r="J922" s="14">
        <f>IFERROR(VLOOKUP(D922,'INf. RRHH'!$A:$B,2,0),0)</f>
        <v>2900</v>
      </c>
      <c r="K922" s="16">
        <f t="shared" si="42"/>
        <v>3813.6499999999996</v>
      </c>
      <c r="L922" s="17">
        <f t="shared" si="43"/>
        <v>966.67</v>
      </c>
      <c r="M922" s="18">
        <f t="shared" si="44"/>
        <v>4780.32</v>
      </c>
    </row>
    <row r="923" spans="1:13" x14ac:dyDescent="0.25">
      <c r="A923">
        <v>1000</v>
      </c>
      <c r="B923">
        <v>1000</v>
      </c>
      <c r="C923" s="1">
        <v>45961</v>
      </c>
      <c r="D923">
        <v>90724</v>
      </c>
      <c r="E923">
        <v>391</v>
      </c>
      <c r="F923" s="2">
        <v>6490.07</v>
      </c>
      <c r="G923" s="1">
        <v>45965</v>
      </c>
      <c r="I923" t="s">
        <v>9</v>
      </c>
      <c r="J923" s="14">
        <f>IFERROR(VLOOKUP(D923,'INf. RRHH'!$A:$B,2,0),0)</f>
        <v>2900</v>
      </c>
      <c r="K923" s="16">
        <f t="shared" si="42"/>
        <v>3590.0699999999997</v>
      </c>
      <c r="L923" s="17">
        <f t="shared" si="43"/>
        <v>966.67</v>
      </c>
      <c r="M923" s="18">
        <f t="shared" si="44"/>
        <v>4556.74</v>
      </c>
    </row>
    <row r="924" spans="1:13" x14ac:dyDescent="0.25">
      <c r="A924">
        <v>1000</v>
      </c>
      <c r="B924">
        <v>1000</v>
      </c>
      <c r="C924" s="1">
        <v>45961</v>
      </c>
      <c r="D924">
        <v>90892</v>
      </c>
      <c r="E924">
        <v>299</v>
      </c>
      <c r="F924" s="2">
        <v>5918.34</v>
      </c>
      <c r="G924" s="1">
        <v>45965</v>
      </c>
      <c r="I924" t="s">
        <v>9</v>
      </c>
      <c r="J924" s="14">
        <f>IFERROR(VLOOKUP(D924,'INf. RRHH'!$A:$B,2,0),0)</f>
        <v>2900</v>
      </c>
      <c r="K924" s="16">
        <f t="shared" si="42"/>
        <v>3018.34</v>
      </c>
      <c r="L924" s="17">
        <f t="shared" si="43"/>
        <v>966.67</v>
      </c>
      <c r="M924" s="18">
        <f t="shared" si="44"/>
        <v>3985.01</v>
      </c>
    </row>
    <row r="925" spans="1:13" x14ac:dyDescent="0.25">
      <c r="A925">
        <v>1000</v>
      </c>
      <c r="B925">
        <v>1000</v>
      </c>
      <c r="C925" s="1">
        <v>45961</v>
      </c>
      <c r="D925">
        <v>90934</v>
      </c>
      <c r="E925">
        <v>342</v>
      </c>
      <c r="F925" s="2">
        <v>6011.2</v>
      </c>
      <c r="G925" s="1">
        <v>45965</v>
      </c>
      <c r="I925" t="s">
        <v>9</v>
      </c>
      <c r="J925" s="14">
        <f>IFERROR(VLOOKUP(D925,'INf. RRHH'!$A:$B,2,0),0)</f>
        <v>2900</v>
      </c>
      <c r="K925" s="16">
        <f t="shared" si="42"/>
        <v>3111.2</v>
      </c>
      <c r="L925" s="17">
        <f t="shared" si="43"/>
        <v>966.67</v>
      </c>
      <c r="M925" s="18">
        <f t="shared" si="44"/>
        <v>4077.87</v>
      </c>
    </row>
    <row r="926" spans="1:13" x14ac:dyDescent="0.25">
      <c r="A926">
        <v>1000</v>
      </c>
      <c r="B926">
        <v>1000</v>
      </c>
      <c r="C926" s="1">
        <v>45961</v>
      </c>
      <c r="D926">
        <v>90946</v>
      </c>
      <c r="E926">
        <v>96</v>
      </c>
      <c r="F926" s="2">
        <v>4069.56</v>
      </c>
      <c r="G926" s="1">
        <v>45965</v>
      </c>
      <c r="I926" t="s">
        <v>9</v>
      </c>
      <c r="J926" s="14">
        <f>IFERROR(VLOOKUP(D926,'INf. RRHH'!$A:$B,2,0),0)</f>
        <v>2900</v>
      </c>
      <c r="K926" s="16">
        <f t="shared" si="42"/>
        <v>1169.56</v>
      </c>
      <c r="L926" s="17">
        <f t="shared" si="43"/>
        <v>966.67</v>
      </c>
      <c r="M926" s="18">
        <f t="shared" si="44"/>
        <v>2136.23</v>
      </c>
    </row>
    <row r="927" spans="1:13" x14ac:dyDescent="0.25">
      <c r="A927">
        <v>1000</v>
      </c>
      <c r="B927">
        <v>1000</v>
      </c>
      <c r="C927" s="1">
        <v>45961</v>
      </c>
      <c r="D927">
        <v>91204</v>
      </c>
      <c r="E927">
        <v>399</v>
      </c>
      <c r="F927" s="2">
        <v>6764.65</v>
      </c>
      <c r="G927" s="1">
        <v>45965</v>
      </c>
      <c r="I927" t="s">
        <v>9</v>
      </c>
      <c r="J927" s="14">
        <f>IFERROR(VLOOKUP(D927,'INf. RRHH'!$A:$B,2,0),0)</f>
        <v>2900</v>
      </c>
      <c r="K927" s="16">
        <f t="shared" si="42"/>
        <v>3864.6499999999996</v>
      </c>
      <c r="L927" s="17">
        <f t="shared" si="43"/>
        <v>966.67</v>
      </c>
      <c r="M927" s="18">
        <f t="shared" si="44"/>
        <v>4831.32</v>
      </c>
    </row>
    <row r="928" spans="1:13" x14ac:dyDescent="0.25">
      <c r="A928">
        <v>1000</v>
      </c>
      <c r="B928">
        <v>1000</v>
      </c>
      <c r="C928" s="1">
        <v>45961</v>
      </c>
      <c r="D928">
        <v>91222</v>
      </c>
      <c r="E928">
        <v>367</v>
      </c>
      <c r="F928" s="2">
        <v>6487.31</v>
      </c>
      <c r="G928" s="1">
        <v>45965</v>
      </c>
      <c r="I928" t="s">
        <v>9</v>
      </c>
      <c r="J928" s="14">
        <f>IFERROR(VLOOKUP(D928,'INf. RRHH'!$A:$B,2,0),0)</f>
        <v>2900</v>
      </c>
      <c r="K928" s="16">
        <f t="shared" si="42"/>
        <v>3587.3100000000004</v>
      </c>
      <c r="L928" s="17">
        <f t="shared" si="43"/>
        <v>966.67</v>
      </c>
      <c r="M928" s="18">
        <f t="shared" si="44"/>
        <v>4553.9800000000005</v>
      </c>
    </row>
    <row r="929" spans="1:13" x14ac:dyDescent="0.25">
      <c r="A929">
        <v>1000</v>
      </c>
      <c r="B929">
        <v>1000</v>
      </c>
      <c r="C929" s="1">
        <v>45961</v>
      </c>
      <c r="D929">
        <v>91468</v>
      </c>
      <c r="E929">
        <v>88</v>
      </c>
      <c r="F929" s="2">
        <v>6792.15</v>
      </c>
      <c r="G929" s="1">
        <v>45965</v>
      </c>
      <c r="I929" t="s">
        <v>9</v>
      </c>
      <c r="J929" s="14">
        <f>IFERROR(VLOOKUP(D929,'INf. RRHH'!$A:$B,2,0),0)</f>
        <v>2900</v>
      </c>
      <c r="K929" s="16">
        <f t="shared" si="42"/>
        <v>3892.1499999999996</v>
      </c>
      <c r="L929" s="17">
        <f t="shared" si="43"/>
        <v>966.67</v>
      </c>
      <c r="M929" s="18">
        <f t="shared" si="44"/>
        <v>4858.82</v>
      </c>
    </row>
    <row r="930" spans="1:13" x14ac:dyDescent="0.25">
      <c r="A930">
        <v>1000</v>
      </c>
      <c r="B930">
        <v>1000</v>
      </c>
      <c r="C930" s="1">
        <v>45961</v>
      </c>
      <c r="D930">
        <v>91474</v>
      </c>
      <c r="E930">
        <v>8</v>
      </c>
      <c r="F930" s="2">
        <v>7925.48</v>
      </c>
      <c r="G930" s="1">
        <v>45965</v>
      </c>
      <c r="I930" t="s">
        <v>9</v>
      </c>
      <c r="J930" s="14">
        <f>IFERROR(VLOOKUP(D930,'INf. RRHH'!$A:$B,2,0),0)</f>
        <v>2900</v>
      </c>
      <c r="K930" s="16">
        <f t="shared" si="42"/>
        <v>5025.4799999999996</v>
      </c>
      <c r="L930" s="17">
        <f t="shared" si="43"/>
        <v>966.67</v>
      </c>
      <c r="M930" s="18">
        <f t="shared" si="44"/>
        <v>5992.15</v>
      </c>
    </row>
    <row r="931" spans="1:13" x14ac:dyDescent="0.25">
      <c r="A931">
        <v>1000</v>
      </c>
      <c r="B931">
        <v>1000</v>
      </c>
      <c r="C931" s="1">
        <v>45961</v>
      </c>
      <c r="D931">
        <v>91525</v>
      </c>
      <c r="E931">
        <v>383</v>
      </c>
      <c r="F931" s="2">
        <v>6589.63</v>
      </c>
      <c r="G931" s="1">
        <v>45965</v>
      </c>
      <c r="I931" t="s">
        <v>9</v>
      </c>
      <c r="J931" s="14">
        <f>IFERROR(VLOOKUP(D931,'INf. RRHH'!$A:$B,2,0),0)</f>
        <v>2900</v>
      </c>
      <c r="K931" s="16">
        <f t="shared" si="42"/>
        <v>3689.63</v>
      </c>
      <c r="L931" s="17">
        <f t="shared" si="43"/>
        <v>966.67</v>
      </c>
      <c r="M931" s="18">
        <f t="shared" si="44"/>
        <v>4656.3</v>
      </c>
    </row>
    <row r="932" spans="1:13" x14ac:dyDescent="0.25">
      <c r="A932">
        <v>1000</v>
      </c>
      <c r="B932">
        <v>1000</v>
      </c>
      <c r="C932" s="1">
        <v>45961</v>
      </c>
      <c r="D932">
        <v>91590</v>
      </c>
      <c r="E932">
        <v>40</v>
      </c>
      <c r="F932" s="2">
        <v>5403.66</v>
      </c>
      <c r="G932" s="1">
        <v>45965</v>
      </c>
      <c r="I932" t="s">
        <v>9</v>
      </c>
      <c r="J932" s="14">
        <f>IFERROR(VLOOKUP(D932,'INf. RRHH'!$A:$B,2,0),0)</f>
        <v>2900</v>
      </c>
      <c r="K932" s="16">
        <f t="shared" si="42"/>
        <v>2503.66</v>
      </c>
      <c r="L932" s="17">
        <f t="shared" si="43"/>
        <v>966.67</v>
      </c>
      <c r="M932" s="18">
        <f t="shared" si="44"/>
        <v>3470.33</v>
      </c>
    </row>
    <row r="933" spans="1:13" x14ac:dyDescent="0.25">
      <c r="A933">
        <v>1000</v>
      </c>
      <c r="B933">
        <v>1000</v>
      </c>
      <c r="C933" s="1">
        <v>45961</v>
      </c>
      <c r="D933">
        <v>91608</v>
      </c>
      <c r="E933">
        <v>16</v>
      </c>
      <c r="F933" s="2">
        <v>6061.12</v>
      </c>
      <c r="G933" s="1">
        <v>45965</v>
      </c>
      <c r="I933" t="s">
        <v>9</v>
      </c>
      <c r="J933" s="14">
        <f>IFERROR(VLOOKUP(D933,'INf. RRHH'!$A:$B,2,0),0)</f>
        <v>2900</v>
      </c>
      <c r="K933" s="16">
        <f t="shared" si="42"/>
        <v>3161.12</v>
      </c>
      <c r="L933" s="17">
        <f t="shared" si="43"/>
        <v>966.67</v>
      </c>
      <c r="M933" s="18">
        <f t="shared" si="44"/>
        <v>4127.79</v>
      </c>
    </row>
    <row r="934" spans="1:13" x14ac:dyDescent="0.25">
      <c r="A934">
        <v>1000</v>
      </c>
      <c r="B934">
        <v>1000</v>
      </c>
      <c r="C934" s="1">
        <v>45961</v>
      </c>
      <c r="D934">
        <v>91617</v>
      </c>
      <c r="E934">
        <v>163</v>
      </c>
      <c r="F934" s="2">
        <v>5614.3</v>
      </c>
      <c r="G934" s="1">
        <v>45965</v>
      </c>
      <c r="I934" t="s">
        <v>9</v>
      </c>
      <c r="J934" s="14">
        <f>IFERROR(VLOOKUP(D934,'INf. RRHH'!$A:$B,2,0),0)</f>
        <v>2900</v>
      </c>
      <c r="K934" s="16">
        <f t="shared" si="42"/>
        <v>2714.3</v>
      </c>
      <c r="L934" s="17">
        <f t="shared" si="43"/>
        <v>966.67</v>
      </c>
      <c r="M934" s="18">
        <f t="shared" si="44"/>
        <v>3680.9700000000003</v>
      </c>
    </row>
    <row r="935" spans="1:13" x14ac:dyDescent="0.25">
      <c r="A935">
        <v>1000</v>
      </c>
      <c r="B935">
        <v>1000</v>
      </c>
      <c r="C935" s="1">
        <v>45961</v>
      </c>
      <c r="D935">
        <v>91680</v>
      </c>
      <c r="E935">
        <v>32</v>
      </c>
      <c r="F935" s="2">
        <v>5483.96</v>
      </c>
      <c r="G935" s="1">
        <v>45965</v>
      </c>
      <c r="I935" t="s">
        <v>9</v>
      </c>
      <c r="J935" s="14">
        <f>IFERROR(VLOOKUP(D935,'INf. RRHH'!$A:$B,2,0),0)</f>
        <v>2900</v>
      </c>
      <c r="K935" s="16">
        <f t="shared" si="42"/>
        <v>2583.96</v>
      </c>
      <c r="L935" s="17">
        <f t="shared" si="43"/>
        <v>966.67</v>
      </c>
      <c r="M935" s="18">
        <f t="shared" si="44"/>
        <v>3550.63</v>
      </c>
    </row>
    <row r="936" spans="1:13" x14ac:dyDescent="0.25">
      <c r="A936">
        <v>1000</v>
      </c>
      <c r="B936">
        <v>1000</v>
      </c>
      <c r="C936" s="1">
        <v>45961</v>
      </c>
      <c r="D936">
        <v>91753</v>
      </c>
      <c r="E936">
        <v>16</v>
      </c>
      <c r="F936" s="2">
        <v>5990.31</v>
      </c>
      <c r="G936" s="1">
        <v>45965</v>
      </c>
      <c r="I936" t="s">
        <v>9</v>
      </c>
      <c r="J936" s="14">
        <f>IFERROR(VLOOKUP(D936,'INf. RRHH'!$A:$B,2,0),0)</f>
        <v>2900</v>
      </c>
      <c r="K936" s="16">
        <f t="shared" si="42"/>
        <v>3090.3100000000004</v>
      </c>
      <c r="L936" s="17">
        <f t="shared" si="43"/>
        <v>966.67</v>
      </c>
      <c r="M936" s="18">
        <f t="shared" si="44"/>
        <v>4056.9800000000005</v>
      </c>
    </row>
    <row r="937" spans="1:13" x14ac:dyDescent="0.25">
      <c r="A937">
        <v>1000</v>
      </c>
      <c r="B937">
        <v>1000</v>
      </c>
      <c r="C937" s="1">
        <v>45961</v>
      </c>
      <c r="D937">
        <v>91807</v>
      </c>
      <c r="E937">
        <v>321.5</v>
      </c>
      <c r="F937" s="2">
        <v>8090.05</v>
      </c>
      <c r="G937" s="1">
        <v>45965</v>
      </c>
      <c r="I937" t="s">
        <v>9</v>
      </c>
      <c r="J937" s="14">
        <f>IFERROR(VLOOKUP(D937,'INf. RRHH'!$A:$B,2,0),0)</f>
        <v>2900</v>
      </c>
      <c r="K937" s="16">
        <f t="shared" si="42"/>
        <v>5190.05</v>
      </c>
      <c r="L937" s="17">
        <f t="shared" si="43"/>
        <v>966.67</v>
      </c>
      <c r="M937" s="18">
        <f t="shared" si="44"/>
        <v>6156.72</v>
      </c>
    </row>
    <row r="938" spans="1:13" x14ac:dyDescent="0.25">
      <c r="A938">
        <v>1000</v>
      </c>
      <c r="B938">
        <v>1000</v>
      </c>
      <c r="C938" s="1">
        <v>45961</v>
      </c>
      <c r="D938">
        <v>91923</v>
      </c>
      <c r="E938">
        <v>121</v>
      </c>
      <c r="F938" s="2">
        <v>3230.46</v>
      </c>
      <c r="G938" s="1">
        <v>45965</v>
      </c>
      <c r="I938" t="s">
        <v>9</v>
      </c>
      <c r="J938" s="14">
        <f>IFERROR(VLOOKUP(D938,'INf. RRHH'!$A:$B,2,0),0)</f>
        <v>2900</v>
      </c>
      <c r="K938" s="16">
        <f t="shared" si="42"/>
        <v>330.46000000000004</v>
      </c>
      <c r="L938" s="17">
        <f t="shared" si="43"/>
        <v>966.67</v>
      </c>
      <c r="M938" s="18">
        <f t="shared" si="44"/>
        <v>1297.1300000000001</v>
      </c>
    </row>
    <row r="939" spans="1:13" x14ac:dyDescent="0.25">
      <c r="A939">
        <v>1000</v>
      </c>
      <c r="B939">
        <v>1000</v>
      </c>
      <c r="C939" s="1">
        <v>45961</v>
      </c>
      <c r="D939">
        <v>91927</v>
      </c>
      <c r="E939">
        <v>328</v>
      </c>
      <c r="F939" s="2">
        <v>3322.2</v>
      </c>
      <c r="G939" s="1">
        <v>45965</v>
      </c>
      <c r="I939" t="s">
        <v>9</v>
      </c>
      <c r="J939" s="14">
        <f>IFERROR(VLOOKUP(D939,'INf. RRHH'!$A:$B,2,0),0)</f>
        <v>2900</v>
      </c>
      <c r="K939" s="16">
        <f t="shared" si="42"/>
        <v>422.19999999999982</v>
      </c>
      <c r="L939" s="17">
        <f t="shared" si="43"/>
        <v>966.67</v>
      </c>
      <c r="M939" s="18">
        <f t="shared" si="44"/>
        <v>1388.87</v>
      </c>
    </row>
    <row r="940" spans="1:13" x14ac:dyDescent="0.25">
      <c r="A940">
        <v>1000</v>
      </c>
      <c r="B940">
        <v>1000</v>
      </c>
      <c r="C940" s="1">
        <v>45961</v>
      </c>
      <c r="D940">
        <v>91942</v>
      </c>
      <c r="E940">
        <v>293</v>
      </c>
      <c r="F940" s="2">
        <v>7070.08</v>
      </c>
      <c r="G940" s="1">
        <v>45965</v>
      </c>
      <c r="I940" t="s">
        <v>9</v>
      </c>
      <c r="J940" s="14">
        <f>IFERROR(VLOOKUP(D940,'INf. RRHH'!$A:$B,2,0),0)</f>
        <v>2900</v>
      </c>
      <c r="K940" s="16">
        <f t="shared" si="42"/>
        <v>4170.08</v>
      </c>
      <c r="L940" s="17">
        <f t="shared" si="43"/>
        <v>966.67</v>
      </c>
      <c r="M940" s="18">
        <f t="shared" si="44"/>
        <v>5136.75</v>
      </c>
    </row>
    <row r="941" spans="1:13" x14ac:dyDescent="0.25">
      <c r="A941">
        <v>1000</v>
      </c>
      <c r="B941">
        <v>1000</v>
      </c>
      <c r="C941" s="1">
        <v>45961</v>
      </c>
      <c r="D941">
        <v>92096</v>
      </c>
      <c r="E941">
        <v>382</v>
      </c>
      <c r="F941" s="2">
        <v>6963.1</v>
      </c>
      <c r="G941" s="1">
        <v>45965</v>
      </c>
      <c r="I941" t="s">
        <v>9</v>
      </c>
      <c r="J941" s="14">
        <f>IFERROR(VLOOKUP(D941,'INf. RRHH'!$A:$B,2,0),0)</f>
        <v>2900</v>
      </c>
      <c r="K941" s="16">
        <f t="shared" si="42"/>
        <v>4063.1000000000004</v>
      </c>
      <c r="L941" s="17">
        <f t="shared" si="43"/>
        <v>966.67</v>
      </c>
      <c r="M941" s="18">
        <f t="shared" si="44"/>
        <v>5029.7700000000004</v>
      </c>
    </row>
    <row r="942" spans="1:13" x14ac:dyDescent="0.25">
      <c r="A942">
        <v>1000</v>
      </c>
      <c r="B942">
        <v>1000</v>
      </c>
      <c r="C942" s="1">
        <v>45961</v>
      </c>
      <c r="D942">
        <v>92197</v>
      </c>
      <c r="E942">
        <v>439</v>
      </c>
      <c r="F942" s="2">
        <v>3958.42</v>
      </c>
      <c r="G942" s="1">
        <v>45965</v>
      </c>
      <c r="I942" t="s">
        <v>9</v>
      </c>
      <c r="J942" s="14">
        <f>IFERROR(VLOOKUP(D942,'INf. RRHH'!$A:$B,2,0),0)</f>
        <v>2900</v>
      </c>
      <c r="K942" s="16">
        <f t="shared" si="42"/>
        <v>1058.42</v>
      </c>
      <c r="L942" s="17">
        <f t="shared" si="43"/>
        <v>966.67</v>
      </c>
      <c r="M942" s="18">
        <f t="shared" si="44"/>
        <v>2025.0900000000001</v>
      </c>
    </row>
    <row r="943" spans="1:13" x14ac:dyDescent="0.25">
      <c r="A943">
        <v>1000</v>
      </c>
      <c r="B943">
        <v>1000</v>
      </c>
      <c r="C943" s="1">
        <v>45961</v>
      </c>
      <c r="D943">
        <v>92248</v>
      </c>
      <c r="E943">
        <v>240</v>
      </c>
      <c r="F943" s="2">
        <v>5105.13</v>
      </c>
      <c r="G943" s="1">
        <v>45965</v>
      </c>
      <c r="I943" t="s">
        <v>9</v>
      </c>
      <c r="J943" s="14">
        <f>IFERROR(VLOOKUP(D943,'INf. RRHH'!$A:$B,2,0),0)</f>
        <v>2900</v>
      </c>
      <c r="K943" s="16">
        <f t="shared" si="42"/>
        <v>2205.13</v>
      </c>
      <c r="L943" s="17">
        <f t="shared" si="43"/>
        <v>966.67</v>
      </c>
      <c r="M943" s="18">
        <f t="shared" si="44"/>
        <v>3171.8</v>
      </c>
    </row>
    <row r="944" spans="1:13" x14ac:dyDescent="0.25">
      <c r="A944">
        <v>1000</v>
      </c>
      <c r="B944">
        <v>1000</v>
      </c>
      <c r="C944" s="1">
        <v>45961</v>
      </c>
      <c r="D944">
        <v>92380</v>
      </c>
      <c r="E944">
        <v>402</v>
      </c>
      <c r="F944" s="2">
        <v>6991.32</v>
      </c>
      <c r="G944" s="1">
        <v>45965</v>
      </c>
      <c r="I944" t="s">
        <v>9</v>
      </c>
      <c r="J944" s="14">
        <f>IFERROR(VLOOKUP(D944,'INf. RRHH'!$A:$B,2,0),0)</f>
        <v>2900</v>
      </c>
      <c r="K944" s="16">
        <f t="shared" si="42"/>
        <v>4091.3199999999997</v>
      </c>
      <c r="L944" s="17">
        <f t="shared" si="43"/>
        <v>966.67</v>
      </c>
      <c r="M944" s="18">
        <f t="shared" si="44"/>
        <v>5057.99</v>
      </c>
    </row>
    <row r="945" spans="1:13" x14ac:dyDescent="0.25">
      <c r="A945">
        <v>1000</v>
      </c>
      <c r="B945">
        <v>1000</v>
      </c>
      <c r="C945" s="1">
        <v>45961</v>
      </c>
      <c r="D945">
        <v>92467</v>
      </c>
      <c r="E945">
        <v>280</v>
      </c>
      <c r="F945" s="2">
        <v>4929.5200000000004</v>
      </c>
      <c r="G945" s="1">
        <v>45965</v>
      </c>
      <c r="I945" t="s">
        <v>9</v>
      </c>
      <c r="J945" s="14">
        <f>IFERROR(VLOOKUP(D945,'INf. RRHH'!$A:$B,2,0),0)</f>
        <v>2900</v>
      </c>
      <c r="K945" s="16">
        <f t="shared" si="42"/>
        <v>2029.5200000000004</v>
      </c>
      <c r="L945" s="17">
        <f t="shared" si="43"/>
        <v>966.67</v>
      </c>
      <c r="M945" s="18">
        <f t="shared" si="44"/>
        <v>2996.1900000000005</v>
      </c>
    </row>
    <row r="946" spans="1:13" x14ac:dyDescent="0.25">
      <c r="A946">
        <v>1000</v>
      </c>
      <c r="B946">
        <v>1000</v>
      </c>
      <c r="C946" s="1">
        <v>45961</v>
      </c>
      <c r="D946">
        <v>92523</v>
      </c>
      <c r="E946">
        <v>232</v>
      </c>
      <c r="F946" s="2">
        <v>5297.78</v>
      </c>
      <c r="G946" s="1">
        <v>45965</v>
      </c>
      <c r="I946" t="s">
        <v>9</v>
      </c>
      <c r="J946" s="14">
        <f>IFERROR(VLOOKUP(D946,'INf. RRHH'!$A:$B,2,0),0)</f>
        <v>2900</v>
      </c>
      <c r="K946" s="16">
        <f t="shared" si="42"/>
        <v>2397.7799999999997</v>
      </c>
      <c r="L946" s="17">
        <f t="shared" si="43"/>
        <v>966.67</v>
      </c>
      <c r="M946" s="18">
        <f t="shared" si="44"/>
        <v>3364.45</v>
      </c>
    </row>
    <row r="947" spans="1:13" x14ac:dyDescent="0.25">
      <c r="A947">
        <v>1000</v>
      </c>
      <c r="B947">
        <v>1000</v>
      </c>
      <c r="C947" s="1">
        <v>45961</v>
      </c>
      <c r="D947">
        <v>92566</v>
      </c>
      <c r="E947">
        <v>320</v>
      </c>
      <c r="F947" s="2">
        <v>5678.87</v>
      </c>
      <c r="G947" s="1">
        <v>45965</v>
      </c>
      <c r="I947" t="s">
        <v>9</v>
      </c>
      <c r="J947" s="14">
        <f>IFERROR(VLOOKUP(D947,'INf. RRHH'!$A:$B,2,0),0)</f>
        <v>2900</v>
      </c>
      <c r="K947" s="16">
        <f t="shared" si="42"/>
        <v>2778.87</v>
      </c>
      <c r="L947" s="17">
        <f t="shared" si="43"/>
        <v>966.67</v>
      </c>
      <c r="M947" s="18">
        <f t="shared" si="44"/>
        <v>3745.54</v>
      </c>
    </row>
    <row r="948" spans="1:13" x14ac:dyDescent="0.25">
      <c r="A948">
        <v>1000</v>
      </c>
      <c r="B948">
        <v>1000</v>
      </c>
      <c r="C948" s="1">
        <v>45961</v>
      </c>
      <c r="D948">
        <v>92688</v>
      </c>
      <c r="E948">
        <v>391</v>
      </c>
      <c r="F948" s="2">
        <v>6395.51</v>
      </c>
      <c r="G948" s="1">
        <v>45965</v>
      </c>
      <c r="I948" t="s">
        <v>9</v>
      </c>
      <c r="J948" s="14">
        <f>IFERROR(VLOOKUP(D948,'INf. RRHH'!$A:$B,2,0),0)</f>
        <v>2900</v>
      </c>
      <c r="K948" s="16">
        <f t="shared" si="42"/>
        <v>3495.51</v>
      </c>
      <c r="L948" s="17">
        <f t="shared" si="43"/>
        <v>966.67</v>
      </c>
      <c r="M948" s="18">
        <f t="shared" si="44"/>
        <v>4462.18</v>
      </c>
    </row>
    <row r="949" spans="1:13" x14ac:dyDescent="0.25">
      <c r="A949">
        <v>1000</v>
      </c>
      <c r="B949">
        <v>1000</v>
      </c>
      <c r="C949" s="1">
        <v>45961</v>
      </c>
      <c r="D949">
        <v>92719</v>
      </c>
      <c r="E949">
        <v>240</v>
      </c>
      <c r="F949" s="2">
        <v>5211.2</v>
      </c>
      <c r="G949" s="1">
        <v>45965</v>
      </c>
      <c r="I949" t="s">
        <v>9</v>
      </c>
      <c r="J949" s="14">
        <f>IFERROR(VLOOKUP(D949,'INf. RRHH'!$A:$B,2,0),0)</f>
        <v>2900</v>
      </c>
      <c r="K949" s="16">
        <f t="shared" si="42"/>
        <v>2311.1999999999998</v>
      </c>
      <c r="L949" s="17">
        <f t="shared" si="43"/>
        <v>966.67</v>
      </c>
      <c r="M949" s="18">
        <f t="shared" si="44"/>
        <v>3277.87</v>
      </c>
    </row>
    <row r="950" spans="1:13" x14ac:dyDescent="0.25">
      <c r="A950">
        <v>1000</v>
      </c>
      <c r="B950">
        <v>1000</v>
      </c>
      <c r="C950" s="1">
        <v>45961</v>
      </c>
      <c r="D950">
        <v>93166</v>
      </c>
      <c r="E950">
        <v>303</v>
      </c>
      <c r="F950" s="2">
        <v>7042.29</v>
      </c>
      <c r="G950" s="1">
        <v>45965</v>
      </c>
      <c r="I950" t="s">
        <v>9</v>
      </c>
      <c r="J950" s="14">
        <f>IFERROR(VLOOKUP(D950,'INf. RRHH'!$A:$B,2,0),0)</f>
        <v>2900</v>
      </c>
      <c r="K950" s="16">
        <f t="shared" si="42"/>
        <v>4142.29</v>
      </c>
      <c r="L950" s="17">
        <f t="shared" si="43"/>
        <v>966.67</v>
      </c>
      <c r="M950" s="18">
        <f t="shared" si="44"/>
        <v>5108.96</v>
      </c>
    </row>
    <row r="951" spans="1:13" x14ac:dyDescent="0.25">
      <c r="A951">
        <v>1000</v>
      </c>
      <c r="B951">
        <v>1000</v>
      </c>
      <c r="C951" s="1">
        <v>45961</v>
      </c>
      <c r="D951">
        <v>93192</v>
      </c>
      <c r="E951">
        <v>299</v>
      </c>
      <c r="F951" s="2">
        <v>6071.46</v>
      </c>
      <c r="G951" s="1">
        <v>45965</v>
      </c>
      <c r="I951" t="s">
        <v>9</v>
      </c>
      <c r="J951" s="14">
        <f>IFERROR(VLOOKUP(D951,'INf. RRHH'!$A:$B,2,0),0)</f>
        <v>2900</v>
      </c>
      <c r="K951" s="16">
        <f t="shared" si="42"/>
        <v>3171.46</v>
      </c>
      <c r="L951" s="17">
        <f t="shared" si="43"/>
        <v>966.67</v>
      </c>
      <c r="M951" s="18">
        <f t="shared" si="44"/>
        <v>4138.13</v>
      </c>
    </row>
    <row r="952" spans="1:13" x14ac:dyDescent="0.25">
      <c r="A952">
        <v>1000</v>
      </c>
      <c r="B952">
        <v>1000</v>
      </c>
      <c r="C952" s="1">
        <v>45961</v>
      </c>
      <c r="D952">
        <v>93283</v>
      </c>
      <c r="E952">
        <v>326.5</v>
      </c>
      <c r="F952" s="2">
        <v>6319.13</v>
      </c>
      <c r="G952" s="1">
        <v>45965</v>
      </c>
      <c r="I952" t="s">
        <v>9</v>
      </c>
      <c r="J952" s="14">
        <f>IFERROR(VLOOKUP(D952,'INf. RRHH'!$A:$B,2,0),0)</f>
        <v>2900</v>
      </c>
      <c r="K952" s="16">
        <f t="shared" si="42"/>
        <v>3419.13</v>
      </c>
      <c r="L952" s="17">
        <f t="shared" si="43"/>
        <v>966.67</v>
      </c>
      <c r="M952" s="18">
        <f t="shared" si="44"/>
        <v>4385.8</v>
      </c>
    </row>
    <row r="953" spans="1:13" x14ac:dyDescent="0.25">
      <c r="A953">
        <v>1000</v>
      </c>
      <c r="B953">
        <v>1000</v>
      </c>
      <c r="C953" s="1">
        <v>45961</v>
      </c>
      <c r="D953">
        <v>93295</v>
      </c>
      <c r="E953">
        <v>240</v>
      </c>
      <c r="F953" s="2">
        <v>4095.4</v>
      </c>
      <c r="G953" s="1">
        <v>45965</v>
      </c>
      <c r="I953" t="s">
        <v>9</v>
      </c>
      <c r="J953" s="14">
        <f>IFERROR(VLOOKUP(D953,'INf. RRHH'!$A:$B,2,0),0)</f>
        <v>2900</v>
      </c>
      <c r="K953" s="16">
        <f t="shared" si="42"/>
        <v>1195.4000000000001</v>
      </c>
      <c r="L953" s="17">
        <f t="shared" si="43"/>
        <v>966.67</v>
      </c>
      <c r="M953" s="18">
        <f t="shared" si="44"/>
        <v>2162.0700000000002</v>
      </c>
    </row>
    <row r="954" spans="1:13" x14ac:dyDescent="0.25">
      <c r="A954">
        <v>1000</v>
      </c>
      <c r="B954">
        <v>1000</v>
      </c>
      <c r="C954" s="1">
        <v>45961</v>
      </c>
      <c r="D954">
        <v>93382</v>
      </c>
      <c r="E954">
        <v>281</v>
      </c>
      <c r="F954" s="2">
        <v>6109.25</v>
      </c>
      <c r="G954" s="1">
        <v>45965</v>
      </c>
      <c r="I954" t="s">
        <v>9</v>
      </c>
      <c r="J954" s="14">
        <f>IFERROR(VLOOKUP(D954,'INf. RRHH'!$A:$B,2,0),0)</f>
        <v>2900</v>
      </c>
      <c r="K954" s="16">
        <f t="shared" si="42"/>
        <v>3209.25</v>
      </c>
      <c r="L954" s="17">
        <f t="shared" si="43"/>
        <v>966.67</v>
      </c>
      <c r="M954" s="18">
        <f t="shared" si="44"/>
        <v>4175.92</v>
      </c>
    </row>
    <row r="955" spans="1:13" x14ac:dyDescent="0.25">
      <c r="A955">
        <v>1000</v>
      </c>
      <c r="B955">
        <v>1000</v>
      </c>
      <c r="C955" s="1">
        <v>45961</v>
      </c>
      <c r="D955">
        <v>93471</v>
      </c>
      <c r="E955">
        <v>201</v>
      </c>
      <c r="F955" s="2">
        <v>5317.32</v>
      </c>
      <c r="G955" s="1">
        <v>45965</v>
      </c>
      <c r="I955" t="s">
        <v>9</v>
      </c>
      <c r="J955" s="14">
        <f>IFERROR(VLOOKUP(D955,'INf. RRHH'!$A:$B,2,0),0)</f>
        <v>2900</v>
      </c>
      <c r="K955" s="16">
        <f t="shared" si="42"/>
        <v>2417.3199999999997</v>
      </c>
      <c r="L955" s="17">
        <f t="shared" si="43"/>
        <v>966.67</v>
      </c>
      <c r="M955" s="18">
        <f t="shared" si="44"/>
        <v>3383.99</v>
      </c>
    </row>
    <row r="956" spans="1:13" x14ac:dyDescent="0.25">
      <c r="A956">
        <v>1000</v>
      </c>
      <c r="B956">
        <v>1000</v>
      </c>
      <c r="C956" s="1">
        <v>45961</v>
      </c>
      <c r="D956">
        <v>93570</v>
      </c>
      <c r="E956">
        <v>105</v>
      </c>
      <c r="F956" s="2">
        <v>5424.01</v>
      </c>
      <c r="G956" s="1">
        <v>45965</v>
      </c>
      <c r="I956" t="s">
        <v>9</v>
      </c>
      <c r="J956" s="14">
        <f>IFERROR(VLOOKUP(D956,'INf. RRHH'!$A:$B,2,0),0)</f>
        <v>2900</v>
      </c>
      <c r="K956" s="16">
        <f t="shared" si="42"/>
        <v>2524.0100000000002</v>
      </c>
      <c r="L956" s="17">
        <f t="shared" si="43"/>
        <v>966.67</v>
      </c>
      <c r="M956" s="18">
        <f t="shared" si="44"/>
        <v>3490.6800000000003</v>
      </c>
    </row>
    <row r="957" spans="1:13" x14ac:dyDescent="0.25">
      <c r="A957">
        <v>1000</v>
      </c>
      <c r="B957">
        <v>1000</v>
      </c>
      <c r="C957" s="1">
        <v>45961</v>
      </c>
      <c r="D957">
        <v>93621</v>
      </c>
      <c r="E957">
        <v>224</v>
      </c>
      <c r="F957" s="2">
        <v>5257.73</v>
      </c>
      <c r="G957" s="1">
        <v>45965</v>
      </c>
      <c r="I957" t="s">
        <v>9</v>
      </c>
      <c r="J957" s="14">
        <f>IFERROR(VLOOKUP(D957,'INf. RRHH'!$A:$B,2,0),0)</f>
        <v>2900</v>
      </c>
      <c r="K957" s="16">
        <f t="shared" si="42"/>
        <v>2357.7299999999996</v>
      </c>
      <c r="L957" s="17">
        <f t="shared" si="43"/>
        <v>966.67</v>
      </c>
      <c r="M957" s="18">
        <f t="shared" si="44"/>
        <v>3324.3999999999996</v>
      </c>
    </row>
    <row r="958" spans="1:13" x14ac:dyDescent="0.25">
      <c r="A958">
        <v>1000</v>
      </c>
      <c r="B958">
        <v>1000</v>
      </c>
      <c r="C958" s="1">
        <v>45961</v>
      </c>
      <c r="D958">
        <v>93624</v>
      </c>
      <c r="E958">
        <v>129</v>
      </c>
      <c r="F958" s="2">
        <v>5476.15</v>
      </c>
      <c r="G958" s="1">
        <v>45965</v>
      </c>
      <c r="I958" t="s">
        <v>9</v>
      </c>
      <c r="J958" s="14">
        <f>IFERROR(VLOOKUP(D958,'INf. RRHH'!$A:$B,2,0),0)</f>
        <v>2900</v>
      </c>
      <c r="K958" s="16">
        <f t="shared" si="42"/>
        <v>2576.1499999999996</v>
      </c>
      <c r="L958" s="17">
        <f t="shared" si="43"/>
        <v>966.67</v>
      </c>
      <c r="M958" s="18">
        <f t="shared" si="44"/>
        <v>3542.8199999999997</v>
      </c>
    </row>
    <row r="959" spans="1:13" x14ac:dyDescent="0.25">
      <c r="A959">
        <v>1000</v>
      </c>
      <c r="B959">
        <v>1000</v>
      </c>
      <c r="C959" s="1">
        <v>45961</v>
      </c>
      <c r="D959">
        <v>93683</v>
      </c>
      <c r="E959">
        <v>395</v>
      </c>
      <c r="F959" s="2">
        <v>6781.91</v>
      </c>
      <c r="G959" s="1">
        <v>45965</v>
      </c>
      <c r="I959" t="s">
        <v>9</v>
      </c>
      <c r="J959" s="14">
        <f>IFERROR(VLOOKUP(D959,'INf. RRHH'!$A:$B,2,0),0)</f>
        <v>2900</v>
      </c>
      <c r="K959" s="16">
        <f t="shared" si="42"/>
        <v>3881.91</v>
      </c>
      <c r="L959" s="17">
        <f t="shared" si="43"/>
        <v>966.67</v>
      </c>
      <c r="M959" s="18">
        <f t="shared" si="44"/>
        <v>4848.58</v>
      </c>
    </row>
    <row r="960" spans="1:13" x14ac:dyDescent="0.25">
      <c r="A960">
        <v>1000</v>
      </c>
      <c r="B960">
        <v>1000</v>
      </c>
      <c r="C960" s="1">
        <v>45961</v>
      </c>
      <c r="D960">
        <v>94209</v>
      </c>
      <c r="E960">
        <v>202.5</v>
      </c>
      <c r="F960" s="2">
        <v>5970.02</v>
      </c>
      <c r="G960" s="1">
        <v>45965</v>
      </c>
      <c r="I960" t="s">
        <v>9</v>
      </c>
      <c r="J960" s="14">
        <f>IFERROR(VLOOKUP(D960,'INf. RRHH'!$A:$B,2,0),0)</f>
        <v>2900</v>
      </c>
      <c r="K960" s="16">
        <f t="shared" si="42"/>
        <v>3070.0200000000004</v>
      </c>
      <c r="L960" s="17">
        <f t="shared" si="43"/>
        <v>966.67</v>
      </c>
      <c r="M960" s="18">
        <f t="shared" si="44"/>
        <v>4036.6900000000005</v>
      </c>
    </row>
    <row r="961" spans="1:13" x14ac:dyDescent="0.25">
      <c r="A961">
        <v>1000</v>
      </c>
      <c r="B961">
        <v>1000</v>
      </c>
      <c r="C961" s="1">
        <v>45961</v>
      </c>
      <c r="D961">
        <v>94374</v>
      </c>
      <c r="E961">
        <v>380</v>
      </c>
      <c r="F961" s="2">
        <v>5980.77</v>
      </c>
      <c r="G961" s="1">
        <v>45965</v>
      </c>
      <c r="I961" t="s">
        <v>9</v>
      </c>
      <c r="J961" s="14">
        <f>IFERROR(VLOOKUP(D961,'INf. RRHH'!$A:$B,2,0),0)</f>
        <v>2900</v>
      </c>
      <c r="K961" s="16">
        <f t="shared" si="42"/>
        <v>3080.7700000000004</v>
      </c>
      <c r="L961" s="17">
        <f t="shared" si="43"/>
        <v>966.67</v>
      </c>
      <c r="M961" s="18">
        <f t="shared" si="44"/>
        <v>4047.4400000000005</v>
      </c>
    </row>
    <row r="962" spans="1:13" x14ac:dyDescent="0.25">
      <c r="A962">
        <v>1000</v>
      </c>
      <c r="B962">
        <v>1000</v>
      </c>
      <c r="C962" s="1">
        <v>45961</v>
      </c>
      <c r="D962">
        <v>95059</v>
      </c>
      <c r="E962">
        <v>120</v>
      </c>
      <c r="F962" s="2">
        <v>4546.05</v>
      </c>
      <c r="G962" s="1">
        <v>45965</v>
      </c>
      <c r="I962" t="s">
        <v>9</v>
      </c>
      <c r="J962" s="14">
        <f>IFERROR(VLOOKUP(D962,'INf. RRHH'!$A:$B,2,0),0)</f>
        <v>2900</v>
      </c>
      <c r="K962" s="16">
        <f t="shared" si="42"/>
        <v>1646.0500000000002</v>
      </c>
      <c r="L962" s="17">
        <f t="shared" si="43"/>
        <v>966.67</v>
      </c>
      <c r="M962" s="18">
        <f t="shared" si="44"/>
        <v>2612.7200000000003</v>
      </c>
    </row>
    <row r="963" spans="1:13" x14ac:dyDescent="0.25">
      <c r="A963">
        <v>1000</v>
      </c>
      <c r="B963">
        <v>1000</v>
      </c>
      <c r="C963" s="1">
        <v>45961</v>
      </c>
      <c r="D963">
        <v>95086</v>
      </c>
      <c r="E963">
        <v>239.5</v>
      </c>
      <c r="F963" s="2">
        <v>5883.56</v>
      </c>
      <c r="G963" s="1">
        <v>45965</v>
      </c>
      <c r="I963" t="s">
        <v>9</v>
      </c>
      <c r="J963" s="14">
        <f>IFERROR(VLOOKUP(D963,'INf. RRHH'!$A:$B,2,0),0)</f>
        <v>2900</v>
      </c>
      <c r="K963" s="16">
        <f t="shared" ref="K963:K1026" si="45">+F963-J963</f>
        <v>2983.5600000000004</v>
      </c>
      <c r="L963" s="17">
        <f t="shared" ref="L963:L1026" si="46">ROUND(J963/3,2)</f>
        <v>966.67</v>
      </c>
      <c r="M963" s="18">
        <f t="shared" ref="M963:M1026" si="47">+K963+L963</f>
        <v>3950.2300000000005</v>
      </c>
    </row>
    <row r="964" spans="1:13" x14ac:dyDescent="0.25">
      <c r="A964">
        <v>1000</v>
      </c>
      <c r="B964">
        <v>1000</v>
      </c>
      <c r="C964" s="1">
        <v>45961</v>
      </c>
      <c r="D964">
        <v>95423</v>
      </c>
      <c r="E964">
        <v>288</v>
      </c>
      <c r="F964" s="2">
        <v>4182.88</v>
      </c>
      <c r="G964" s="1">
        <v>45965</v>
      </c>
      <c r="I964" t="s">
        <v>9</v>
      </c>
      <c r="J964" s="14">
        <f>IFERROR(VLOOKUP(D964,'INf. RRHH'!$A:$B,2,0),0)</f>
        <v>1450</v>
      </c>
      <c r="K964" s="16">
        <f t="shared" si="45"/>
        <v>2732.88</v>
      </c>
      <c r="L964" s="17">
        <f t="shared" si="46"/>
        <v>483.33</v>
      </c>
      <c r="M964" s="18">
        <f t="shared" si="47"/>
        <v>3216.21</v>
      </c>
    </row>
    <row r="965" spans="1:13" x14ac:dyDescent="0.25">
      <c r="A965">
        <v>1000</v>
      </c>
      <c r="B965">
        <v>1000</v>
      </c>
      <c r="C965" s="1">
        <v>45961</v>
      </c>
      <c r="D965">
        <v>95478</v>
      </c>
      <c r="E965">
        <v>290</v>
      </c>
      <c r="F965" s="2">
        <v>3522.76</v>
      </c>
      <c r="G965" s="1">
        <v>45965</v>
      </c>
      <c r="I965" t="s">
        <v>9</v>
      </c>
      <c r="J965" s="14">
        <f>IFERROR(VLOOKUP(D965,'INf. RRHH'!$A:$B,2,0),0)</f>
        <v>0</v>
      </c>
      <c r="K965" s="16">
        <f t="shared" si="45"/>
        <v>3522.76</v>
      </c>
      <c r="L965" s="17">
        <f t="shared" si="46"/>
        <v>0</v>
      </c>
      <c r="M965" s="18">
        <f t="shared" si="47"/>
        <v>3522.76</v>
      </c>
    </row>
    <row r="966" spans="1:13" x14ac:dyDescent="0.25">
      <c r="A966">
        <v>1000</v>
      </c>
      <c r="B966">
        <v>1000</v>
      </c>
      <c r="C966" s="1">
        <v>45961</v>
      </c>
      <c r="D966">
        <v>5581</v>
      </c>
      <c r="E966">
        <v>331</v>
      </c>
      <c r="F966" s="2">
        <v>7108.48</v>
      </c>
      <c r="G966" s="1">
        <v>45965</v>
      </c>
      <c r="I966" t="s">
        <v>9</v>
      </c>
      <c r="J966" s="14">
        <f>IFERROR(VLOOKUP(D966,'INf. RRHH'!$A:$B,2,0),0)</f>
        <v>2900</v>
      </c>
      <c r="K966" s="16">
        <f t="shared" si="45"/>
        <v>4208.4799999999996</v>
      </c>
      <c r="L966" s="17">
        <f t="shared" si="46"/>
        <v>966.67</v>
      </c>
      <c r="M966" s="18">
        <f t="shared" si="47"/>
        <v>5175.1499999999996</v>
      </c>
    </row>
    <row r="967" spans="1:13" x14ac:dyDescent="0.25">
      <c r="A967">
        <v>1000</v>
      </c>
      <c r="B967">
        <v>1000</v>
      </c>
      <c r="C967" s="1">
        <v>45961</v>
      </c>
      <c r="D967">
        <v>7645</v>
      </c>
      <c r="E967">
        <v>353</v>
      </c>
      <c r="F967" s="2">
        <v>7326.66</v>
      </c>
      <c r="G967" s="1">
        <v>45965</v>
      </c>
      <c r="I967" t="s">
        <v>9</v>
      </c>
      <c r="J967" s="14">
        <f>IFERROR(VLOOKUP(D967,'INf. RRHH'!$A:$B,2,0),0)</f>
        <v>2900</v>
      </c>
      <c r="K967" s="16">
        <f t="shared" si="45"/>
        <v>4426.66</v>
      </c>
      <c r="L967" s="17">
        <f t="shared" si="46"/>
        <v>966.67</v>
      </c>
      <c r="M967" s="18">
        <f t="shared" si="47"/>
        <v>5393.33</v>
      </c>
    </row>
    <row r="968" spans="1:13" x14ac:dyDescent="0.25">
      <c r="A968">
        <v>1000</v>
      </c>
      <c r="B968">
        <v>1000</v>
      </c>
      <c r="C968" s="1">
        <v>45961</v>
      </c>
      <c r="D968">
        <v>7955</v>
      </c>
      <c r="E968">
        <v>277</v>
      </c>
      <c r="F968" s="2">
        <v>6968.77</v>
      </c>
      <c r="G968" s="1">
        <v>45965</v>
      </c>
      <c r="I968" t="s">
        <v>9</v>
      </c>
      <c r="J968" s="14">
        <f>IFERROR(VLOOKUP(D968,'INf. RRHH'!$A:$B,2,0),0)</f>
        <v>2900</v>
      </c>
      <c r="K968" s="16">
        <f t="shared" si="45"/>
        <v>4068.7700000000004</v>
      </c>
      <c r="L968" s="17">
        <f t="shared" si="46"/>
        <v>966.67</v>
      </c>
      <c r="M968" s="18">
        <f t="shared" si="47"/>
        <v>5035.4400000000005</v>
      </c>
    </row>
    <row r="969" spans="1:13" x14ac:dyDescent="0.25">
      <c r="A969">
        <v>1000</v>
      </c>
      <c r="B969">
        <v>1000</v>
      </c>
      <c r="C969" s="1">
        <v>45961</v>
      </c>
      <c r="D969">
        <v>7991</v>
      </c>
      <c r="E969">
        <v>303</v>
      </c>
      <c r="F969" s="2">
        <v>7882.72</v>
      </c>
      <c r="G969" s="1">
        <v>45965</v>
      </c>
      <c r="I969" t="s">
        <v>9</v>
      </c>
      <c r="J969" s="14">
        <f>IFERROR(VLOOKUP(D969,'INf. RRHH'!$A:$B,2,0),0)</f>
        <v>2900</v>
      </c>
      <c r="K969" s="16">
        <f t="shared" si="45"/>
        <v>4982.72</v>
      </c>
      <c r="L969" s="17">
        <f t="shared" si="46"/>
        <v>966.67</v>
      </c>
      <c r="M969" s="18">
        <f t="shared" si="47"/>
        <v>5949.39</v>
      </c>
    </row>
    <row r="970" spans="1:13" x14ac:dyDescent="0.25">
      <c r="A970">
        <v>1000</v>
      </c>
      <c r="B970">
        <v>1000</v>
      </c>
      <c r="C970" s="1">
        <v>45961</v>
      </c>
      <c r="D970">
        <v>9372</v>
      </c>
      <c r="E970">
        <v>32</v>
      </c>
      <c r="F970" s="2">
        <v>8711.0300000000007</v>
      </c>
      <c r="G970" s="1">
        <v>45965</v>
      </c>
      <c r="I970" t="s">
        <v>9</v>
      </c>
      <c r="J970" s="14">
        <f>IFERROR(VLOOKUP(D970,'INf. RRHH'!$A:$B,2,0),0)</f>
        <v>0</v>
      </c>
      <c r="K970" s="16">
        <f t="shared" si="45"/>
        <v>8711.0300000000007</v>
      </c>
      <c r="L970" s="17">
        <f t="shared" si="46"/>
        <v>0</v>
      </c>
      <c r="M970" s="18">
        <f t="shared" si="47"/>
        <v>8711.0300000000007</v>
      </c>
    </row>
    <row r="971" spans="1:13" x14ac:dyDescent="0.25">
      <c r="A971">
        <v>1000</v>
      </c>
      <c r="B971">
        <v>1000</v>
      </c>
      <c r="C971" s="1">
        <v>45961</v>
      </c>
      <c r="D971">
        <v>9403</v>
      </c>
      <c r="E971">
        <v>1920</v>
      </c>
      <c r="F971" s="2">
        <v>8237.3700000000008</v>
      </c>
      <c r="G971" s="1">
        <v>45965</v>
      </c>
      <c r="I971" t="s">
        <v>9</v>
      </c>
      <c r="J971" s="14">
        <f>IFERROR(VLOOKUP(D971,'INf. RRHH'!$A:$B,2,0),0)</f>
        <v>0</v>
      </c>
      <c r="K971" s="16">
        <f t="shared" si="45"/>
        <v>8237.3700000000008</v>
      </c>
      <c r="L971" s="17">
        <f t="shared" si="46"/>
        <v>0</v>
      </c>
      <c r="M971" s="18">
        <f t="shared" si="47"/>
        <v>8237.3700000000008</v>
      </c>
    </row>
    <row r="972" spans="1:13" x14ac:dyDescent="0.25">
      <c r="A972">
        <v>1000</v>
      </c>
      <c r="B972">
        <v>1000</v>
      </c>
      <c r="C972" s="1">
        <v>45961</v>
      </c>
      <c r="D972">
        <v>90377</v>
      </c>
      <c r="E972">
        <v>310.5</v>
      </c>
      <c r="F972" s="2">
        <v>7523.02</v>
      </c>
      <c r="G972" s="1">
        <v>45965</v>
      </c>
      <c r="I972" t="s">
        <v>9</v>
      </c>
      <c r="J972" s="14">
        <f>IFERROR(VLOOKUP(D972,'INf. RRHH'!$A:$B,2,0),0)</f>
        <v>2900</v>
      </c>
      <c r="K972" s="16">
        <f t="shared" si="45"/>
        <v>4623.0200000000004</v>
      </c>
      <c r="L972" s="17">
        <f t="shared" si="46"/>
        <v>966.67</v>
      </c>
      <c r="M972" s="18">
        <f t="shared" si="47"/>
        <v>5589.6900000000005</v>
      </c>
    </row>
    <row r="973" spans="1:13" x14ac:dyDescent="0.25">
      <c r="A973">
        <v>1000</v>
      </c>
      <c r="B973">
        <v>1000</v>
      </c>
      <c r="C973" s="1">
        <v>45961</v>
      </c>
      <c r="D973">
        <v>90449</v>
      </c>
      <c r="E973">
        <v>331</v>
      </c>
      <c r="F973" s="2">
        <v>6692.39</v>
      </c>
      <c r="G973" s="1">
        <v>45965</v>
      </c>
      <c r="I973" t="s">
        <v>9</v>
      </c>
      <c r="J973" s="14">
        <f>IFERROR(VLOOKUP(D973,'INf. RRHH'!$A:$B,2,0),0)</f>
        <v>2900</v>
      </c>
      <c r="K973" s="16">
        <f t="shared" si="45"/>
        <v>3792.3900000000003</v>
      </c>
      <c r="L973" s="17">
        <f t="shared" si="46"/>
        <v>966.67</v>
      </c>
      <c r="M973" s="18">
        <f t="shared" si="47"/>
        <v>4759.0600000000004</v>
      </c>
    </row>
    <row r="974" spans="1:13" x14ac:dyDescent="0.25">
      <c r="A974">
        <v>1000</v>
      </c>
      <c r="B974">
        <v>1000</v>
      </c>
      <c r="C974" s="1">
        <v>45961</v>
      </c>
      <c r="D974">
        <v>90458</v>
      </c>
      <c r="E974">
        <v>337.5</v>
      </c>
      <c r="F974" s="2">
        <v>7046.38</v>
      </c>
      <c r="G974" s="1">
        <v>45965</v>
      </c>
      <c r="I974" t="s">
        <v>9</v>
      </c>
      <c r="J974" s="14">
        <f>IFERROR(VLOOKUP(D974,'INf. RRHH'!$A:$B,2,0),0)</f>
        <v>2900</v>
      </c>
      <c r="K974" s="16">
        <f t="shared" si="45"/>
        <v>4146.38</v>
      </c>
      <c r="L974" s="17">
        <f t="shared" si="46"/>
        <v>966.67</v>
      </c>
      <c r="M974" s="18">
        <f t="shared" si="47"/>
        <v>5113.05</v>
      </c>
    </row>
    <row r="975" spans="1:13" x14ac:dyDescent="0.25">
      <c r="A975">
        <v>1000</v>
      </c>
      <c r="B975">
        <v>1000</v>
      </c>
      <c r="C975" s="1">
        <v>45961</v>
      </c>
      <c r="D975">
        <v>90479</v>
      </c>
      <c r="E975">
        <v>304</v>
      </c>
      <c r="F975" s="2">
        <v>5765.03</v>
      </c>
      <c r="G975" s="1">
        <v>45965</v>
      </c>
      <c r="I975" t="s">
        <v>9</v>
      </c>
      <c r="J975" s="14">
        <f>IFERROR(VLOOKUP(D975,'INf. RRHH'!$A:$B,2,0),0)</f>
        <v>2900</v>
      </c>
      <c r="K975" s="16">
        <f t="shared" si="45"/>
        <v>2865.0299999999997</v>
      </c>
      <c r="L975" s="17">
        <f t="shared" si="46"/>
        <v>966.67</v>
      </c>
      <c r="M975" s="18">
        <f t="shared" si="47"/>
        <v>3831.7</v>
      </c>
    </row>
    <row r="976" spans="1:13" x14ac:dyDescent="0.25">
      <c r="A976">
        <v>1000</v>
      </c>
      <c r="B976">
        <v>1000</v>
      </c>
      <c r="C976" s="1">
        <v>45961</v>
      </c>
      <c r="D976">
        <v>90494</v>
      </c>
      <c r="E976">
        <v>288</v>
      </c>
      <c r="F976" s="2">
        <v>7043.86</v>
      </c>
      <c r="G976" s="1">
        <v>45965</v>
      </c>
      <c r="I976" t="s">
        <v>9</v>
      </c>
      <c r="J976" s="14">
        <f>IFERROR(VLOOKUP(D976,'INf. RRHH'!$A:$B,2,0),0)</f>
        <v>2900</v>
      </c>
      <c r="K976" s="16">
        <f t="shared" si="45"/>
        <v>4143.8599999999997</v>
      </c>
      <c r="L976" s="17">
        <f t="shared" si="46"/>
        <v>966.67</v>
      </c>
      <c r="M976" s="18">
        <f t="shared" si="47"/>
        <v>5110.53</v>
      </c>
    </row>
    <row r="977" spans="1:13" x14ac:dyDescent="0.25">
      <c r="A977">
        <v>1000</v>
      </c>
      <c r="B977">
        <v>1000</v>
      </c>
      <c r="C977" s="1">
        <v>45961</v>
      </c>
      <c r="D977">
        <v>90527</v>
      </c>
      <c r="E977">
        <v>176</v>
      </c>
      <c r="F977" s="2">
        <v>4320.41</v>
      </c>
      <c r="G977" s="1">
        <v>45965</v>
      </c>
      <c r="I977" t="s">
        <v>9</v>
      </c>
      <c r="J977" s="14">
        <f>IFERROR(VLOOKUP(D977,'INf. RRHH'!$A:$B,2,0),0)</f>
        <v>2900</v>
      </c>
      <c r="K977" s="16">
        <f t="shared" si="45"/>
        <v>1420.4099999999999</v>
      </c>
      <c r="L977" s="17">
        <f t="shared" si="46"/>
        <v>966.67</v>
      </c>
      <c r="M977" s="18">
        <f t="shared" si="47"/>
        <v>2387.08</v>
      </c>
    </row>
    <row r="978" spans="1:13" x14ac:dyDescent="0.25">
      <c r="A978">
        <v>1000</v>
      </c>
      <c r="B978">
        <v>1000</v>
      </c>
      <c r="C978" s="1">
        <v>45961</v>
      </c>
      <c r="D978">
        <v>90719</v>
      </c>
      <c r="E978">
        <v>428</v>
      </c>
      <c r="F978" s="2">
        <v>6703.4</v>
      </c>
      <c r="G978" s="1">
        <v>45965</v>
      </c>
      <c r="I978" t="s">
        <v>9</v>
      </c>
      <c r="J978" s="14">
        <f>IFERROR(VLOOKUP(D978,'INf. RRHH'!$A:$B,2,0),0)</f>
        <v>2900</v>
      </c>
      <c r="K978" s="16">
        <f t="shared" si="45"/>
        <v>3803.3999999999996</v>
      </c>
      <c r="L978" s="17">
        <f t="shared" si="46"/>
        <v>966.67</v>
      </c>
      <c r="M978" s="18">
        <f t="shared" si="47"/>
        <v>4770.07</v>
      </c>
    </row>
    <row r="979" spans="1:13" x14ac:dyDescent="0.25">
      <c r="A979">
        <v>1000</v>
      </c>
      <c r="B979">
        <v>1000</v>
      </c>
      <c r="C979" s="1">
        <v>45961</v>
      </c>
      <c r="D979">
        <v>90746</v>
      </c>
      <c r="E979">
        <v>184</v>
      </c>
      <c r="F979" s="2">
        <v>5275.63</v>
      </c>
      <c r="G979" s="1">
        <v>45965</v>
      </c>
      <c r="I979" t="s">
        <v>9</v>
      </c>
      <c r="J979" s="14">
        <f>IFERROR(VLOOKUP(D979,'INf. RRHH'!$A:$B,2,0),0)</f>
        <v>2900</v>
      </c>
      <c r="K979" s="16">
        <f t="shared" si="45"/>
        <v>2375.63</v>
      </c>
      <c r="L979" s="17">
        <f t="shared" si="46"/>
        <v>966.67</v>
      </c>
      <c r="M979" s="18">
        <f t="shared" si="47"/>
        <v>3342.3</v>
      </c>
    </row>
    <row r="980" spans="1:13" x14ac:dyDescent="0.25">
      <c r="A980">
        <v>1000</v>
      </c>
      <c r="B980">
        <v>1000</v>
      </c>
      <c r="C980" s="1">
        <v>45961</v>
      </c>
      <c r="D980">
        <v>90809</v>
      </c>
      <c r="E980">
        <v>344.5</v>
      </c>
      <c r="F980" s="2">
        <v>7458.39</v>
      </c>
      <c r="G980" s="1">
        <v>45965</v>
      </c>
      <c r="I980" t="s">
        <v>9</v>
      </c>
      <c r="J980" s="14">
        <f>IFERROR(VLOOKUP(D980,'INf. RRHH'!$A:$B,2,0),0)</f>
        <v>2900</v>
      </c>
      <c r="K980" s="16">
        <f t="shared" si="45"/>
        <v>4558.3900000000003</v>
      </c>
      <c r="L980" s="17">
        <f t="shared" si="46"/>
        <v>966.67</v>
      </c>
      <c r="M980" s="18">
        <f t="shared" si="47"/>
        <v>5525.06</v>
      </c>
    </row>
    <row r="981" spans="1:13" x14ac:dyDescent="0.25">
      <c r="A981">
        <v>1000</v>
      </c>
      <c r="B981">
        <v>1000</v>
      </c>
      <c r="C981" s="1">
        <v>45961</v>
      </c>
      <c r="D981">
        <v>90875</v>
      </c>
      <c r="E981">
        <v>289.83</v>
      </c>
      <c r="F981" s="2">
        <v>7847.34</v>
      </c>
      <c r="G981" s="1">
        <v>45965</v>
      </c>
      <c r="I981" t="s">
        <v>9</v>
      </c>
      <c r="J981" s="14">
        <f>IFERROR(VLOOKUP(D981,'INf. RRHH'!$A:$B,2,0),0)</f>
        <v>2900</v>
      </c>
      <c r="K981" s="16">
        <f t="shared" si="45"/>
        <v>4947.34</v>
      </c>
      <c r="L981" s="17">
        <f t="shared" si="46"/>
        <v>966.67</v>
      </c>
      <c r="M981" s="18">
        <f t="shared" si="47"/>
        <v>5914.01</v>
      </c>
    </row>
    <row r="982" spans="1:13" x14ac:dyDescent="0.25">
      <c r="A982">
        <v>1000</v>
      </c>
      <c r="B982">
        <v>1000</v>
      </c>
      <c r="C982" s="1">
        <v>45961</v>
      </c>
      <c r="D982">
        <v>90914</v>
      </c>
      <c r="E982">
        <v>428.5</v>
      </c>
      <c r="F982" s="2">
        <v>7350.92</v>
      </c>
      <c r="G982" s="1">
        <v>45965</v>
      </c>
      <c r="I982" t="s">
        <v>9</v>
      </c>
      <c r="J982" s="14">
        <f>IFERROR(VLOOKUP(D982,'INf. RRHH'!$A:$B,2,0),0)</f>
        <v>2900</v>
      </c>
      <c r="K982" s="16">
        <f t="shared" si="45"/>
        <v>4450.92</v>
      </c>
      <c r="L982" s="17">
        <f t="shared" si="46"/>
        <v>966.67</v>
      </c>
      <c r="M982" s="18">
        <f t="shared" si="47"/>
        <v>5417.59</v>
      </c>
    </row>
    <row r="983" spans="1:13" x14ac:dyDescent="0.25">
      <c r="A983">
        <v>1000</v>
      </c>
      <c r="B983">
        <v>1000</v>
      </c>
      <c r="C983" s="1">
        <v>45961</v>
      </c>
      <c r="D983">
        <v>91214</v>
      </c>
      <c r="E983">
        <v>342</v>
      </c>
      <c r="F983" s="2">
        <v>5701.06</v>
      </c>
      <c r="G983" s="1">
        <v>45965</v>
      </c>
      <c r="I983" t="s">
        <v>9</v>
      </c>
      <c r="J983" s="14">
        <f>IFERROR(VLOOKUP(D983,'INf. RRHH'!$A:$B,2,0),0)</f>
        <v>2900</v>
      </c>
      <c r="K983" s="16">
        <f t="shared" si="45"/>
        <v>2801.0600000000004</v>
      </c>
      <c r="L983" s="17">
        <f t="shared" si="46"/>
        <v>966.67</v>
      </c>
      <c r="M983" s="18">
        <f t="shared" si="47"/>
        <v>3767.7300000000005</v>
      </c>
    </row>
    <row r="984" spans="1:13" x14ac:dyDescent="0.25">
      <c r="A984">
        <v>1000</v>
      </c>
      <c r="B984">
        <v>1000</v>
      </c>
      <c r="C984" s="1">
        <v>45961</v>
      </c>
      <c r="D984">
        <v>91223</v>
      </c>
      <c r="E984">
        <v>399</v>
      </c>
      <c r="F984" s="2">
        <v>6714.64</v>
      </c>
      <c r="G984" s="1">
        <v>45965</v>
      </c>
      <c r="I984" t="s">
        <v>9</v>
      </c>
      <c r="J984" s="14">
        <f>IFERROR(VLOOKUP(D984,'INf. RRHH'!$A:$B,2,0),0)</f>
        <v>2900</v>
      </c>
      <c r="K984" s="16">
        <f t="shared" si="45"/>
        <v>3814.6400000000003</v>
      </c>
      <c r="L984" s="17">
        <f t="shared" si="46"/>
        <v>966.67</v>
      </c>
      <c r="M984" s="18">
        <f t="shared" si="47"/>
        <v>4781.3100000000004</v>
      </c>
    </row>
    <row r="985" spans="1:13" x14ac:dyDescent="0.25">
      <c r="A985">
        <v>1000</v>
      </c>
      <c r="B985">
        <v>1000</v>
      </c>
      <c r="C985" s="1">
        <v>45961</v>
      </c>
      <c r="D985">
        <v>91293</v>
      </c>
      <c r="E985">
        <v>267</v>
      </c>
      <c r="F985" s="2">
        <v>5992.17</v>
      </c>
      <c r="G985" s="1">
        <v>45965</v>
      </c>
      <c r="I985" t="s">
        <v>9</v>
      </c>
      <c r="J985" s="14">
        <f>IFERROR(VLOOKUP(D985,'INf. RRHH'!$A:$B,2,0),0)</f>
        <v>2900</v>
      </c>
      <c r="K985" s="16">
        <f t="shared" si="45"/>
        <v>3092.17</v>
      </c>
      <c r="L985" s="17">
        <f t="shared" si="46"/>
        <v>966.67</v>
      </c>
      <c r="M985" s="18">
        <f t="shared" si="47"/>
        <v>4058.84</v>
      </c>
    </row>
    <row r="986" spans="1:13" x14ac:dyDescent="0.25">
      <c r="A986">
        <v>1000</v>
      </c>
      <c r="B986">
        <v>1000</v>
      </c>
      <c r="C986" s="1">
        <v>45961</v>
      </c>
      <c r="D986">
        <v>91295</v>
      </c>
      <c r="E986">
        <v>323.5</v>
      </c>
      <c r="F986" s="2">
        <v>7234.99</v>
      </c>
      <c r="G986" s="1">
        <v>45965</v>
      </c>
      <c r="I986" t="s">
        <v>9</v>
      </c>
      <c r="J986" s="14">
        <f>IFERROR(VLOOKUP(D986,'INf. RRHH'!$A:$B,2,0),0)</f>
        <v>2900</v>
      </c>
      <c r="K986" s="16">
        <f t="shared" si="45"/>
        <v>4334.99</v>
      </c>
      <c r="L986" s="17">
        <f t="shared" si="46"/>
        <v>966.67</v>
      </c>
      <c r="M986" s="18">
        <f t="shared" si="47"/>
        <v>5301.66</v>
      </c>
    </row>
    <row r="987" spans="1:13" x14ac:dyDescent="0.25">
      <c r="A987">
        <v>1000</v>
      </c>
      <c r="B987">
        <v>1000</v>
      </c>
      <c r="C987" s="1">
        <v>45961</v>
      </c>
      <c r="D987">
        <v>91559</v>
      </c>
      <c r="E987">
        <v>272</v>
      </c>
      <c r="F987" s="2">
        <v>4721.1499999999996</v>
      </c>
      <c r="G987" s="1">
        <v>45965</v>
      </c>
      <c r="I987" t="s">
        <v>9</v>
      </c>
      <c r="J987" s="14">
        <f>IFERROR(VLOOKUP(D987,'INf. RRHH'!$A:$B,2,0),0)</f>
        <v>2900</v>
      </c>
      <c r="K987" s="16">
        <f t="shared" si="45"/>
        <v>1821.1499999999996</v>
      </c>
      <c r="L987" s="17">
        <f t="shared" si="46"/>
        <v>966.67</v>
      </c>
      <c r="M987" s="18">
        <f t="shared" si="47"/>
        <v>2787.8199999999997</v>
      </c>
    </row>
    <row r="988" spans="1:13" x14ac:dyDescent="0.25">
      <c r="A988">
        <v>1000</v>
      </c>
      <c r="B988">
        <v>1000</v>
      </c>
      <c r="C988" s="1">
        <v>45961</v>
      </c>
      <c r="D988">
        <v>91586</v>
      </c>
      <c r="E988">
        <v>304</v>
      </c>
      <c r="F988" s="2">
        <v>4839.95</v>
      </c>
      <c r="G988" s="1">
        <v>45965</v>
      </c>
      <c r="I988" t="s">
        <v>9</v>
      </c>
      <c r="J988" s="14">
        <f>IFERROR(VLOOKUP(D988,'INf. RRHH'!$A:$B,2,0),0)</f>
        <v>2900</v>
      </c>
      <c r="K988" s="16">
        <f t="shared" si="45"/>
        <v>1939.9499999999998</v>
      </c>
      <c r="L988" s="17">
        <f t="shared" si="46"/>
        <v>966.67</v>
      </c>
      <c r="M988" s="18">
        <f t="shared" si="47"/>
        <v>2906.62</v>
      </c>
    </row>
    <row r="989" spans="1:13" x14ac:dyDescent="0.25">
      <c r="A989">
        <v>1000</v>
      </c>
      <c r="B989">
        <v>1000</v>
      </c>
      <c r="C989" s="1">
        <v>45961</v>
      </c>
      <c r="D989">
        <v>91637</v>
      </c>
      <c r="E989">
        <v>244</v>
      </c>
      <c r="F989" s="2">
        <v>6652.01</v>
      </c>
      <c r="G989" s="1">
        <v>45965</v>
      </c>
      <c r="I989" t="s">
        <v>9</v>
      </c>
      <c r="J989" s="14">
        <f>IFERROR(VLOOKUP(D989,'INf. RRHH'!$A:$B,2,0),0)</f>
        <v>2900</v>
      </c>
      <c r="K989" s="16">
        <f t="shared" si="45"/>
        <v>3752.01</v>
      </c>
      <c r="L989" s="17">
        <f t="shared" si="46"/>
        <v>966.67</v>
      </c>
      <c r="M989" s="18">
        <f t="shared" si="47"/>
        <v>4718.68</v>
      </c>
    </row>
    <row r="990" spans="1:13" x14ac:dyDescent="0.25">
      <c r="A990">
        <v>1000</v>
      </c>
      <c r="B990">
        <v>1000</v>
      </c>
      <c r="C990" s="1">
        <v>45961</v>
      </c>
      <c r="D990">
        <v>91673</v>
      </c>
      <c r="E990">
        <v>285.5</v>
      </c>
      <c r="F990" s="2">
        <v>6656.28</v>
      </c>
      <c r="G990" s="1">
        <v>45965</v>
      </c>
      <c r="I990" t="s">
        <v>9</v>
      </c>
      <c r="J990" s="14">
        <f>IFERROR(VLOOKUP(D990,'INf. RRHH'!$A:$B,2,0),0)</f>
        <v>2900</v>
      </c>
      <c r="K990" s="16">
        <f t="shared" si="45"/>
        <v>3756.2799999999997</v>
      </c>
      <c r="L990" s="17">
        <f t="shared" si="46"/>
        <v>966.67</v>
      </c>
      <c r="M990" s="18">
        <f t="shared" si="47"/>
        <v>4722.95</v>
      </c>
    </row>
    <row r="991" spans="1:13" x14ac:dyDescent="0.25">
      <c r="A991">
        <v>1000</v>
      </c>
      <c r="B991">
        <v>1000</v>
      </c>
      <c r="C991" s="1">
        <v>45961</v>
      </c>
      <c r="D991">
        <v>91745</v>
      </c>
      <c r="E991">
        <v>332</v>
      </c>
      <c r="F991" s="2">
        <v>6697.24</v>
      </c>
      <c r="G991" s="1">
        <v>45965</v>
      </c>
      <c r="I991" t="s">
        <v>9</v>
      </c>
      <c r="J991" s="14">
        <f>IFERROR(VLOOKUP(D991,'INf. RRHH'!$A:$B,2,0),0)</f>
        <v>2900</v>
      </c>
      <c r="K991" s="16">
        <f t="shared" si="45"/>
        <v>3797.24</v>
      </c>
      <c r="L991" s="17">
        <f t="shared" si="46"/>
        <v>966.67</v>
      </c>
      <c r="M991" s="18">
        <f t="shared" si="47"/>
        <v>4763.91</v>
      </c>
    </row>
    <row r="992" spans="1:13" x14ac:dyDescent="0.25">
      <c r="A992">
        <v>1000</v>
      </c>
      <c r="B992">
        <v>1000</v>
      </c>
      <c r="C992" s="1">
        <v>45961</v>
      </c>
      <c r="D992">
        <v>91766</v>
      </c>
      <c r="E992">
        <v>240</v>
      </c>
      <c r="F992" s="2">
        <v>5525.21</v>
      </c>
      <c r="G992" s="1">
        <v>45965</v>
      </c>
      <c r="I992" t="s">
        <v>9</v>
      </c>
      <c r="J992" s="14">
        <f>IFERROR(VLOOKUP(D992,'INf. RRHH'!$A:$B,2,0),0)</f>
        <v>2900</v>
      </c>
      <c r="K992" s="16">
        <f t="shared" si="45"/>
        <v>2625.21</v>
      </c>
      <c r="L992" s="17">
        <f t="shared" si="46"/>
        <v>966.67</v>
      </c>
      <c r="M992" s="18">
        <f t="shared" si="47"/>
        <v>3591.88</v>
      </c>
    </row>
    <row r="993" spans="1:13" x14ac:dyDescent="0.25">
      <c r="A993">
        <v>1000</v>
      </c>
      <c r="B993">
        <v>1000</v>
      </c>
      <c r="C993" s="1">
        <v>45961</v>
      </c>
      <c r="D993">
        <v>91781</v>
      </c>
      <c r="E993">
        <v>323</v>
      </c>
      <c r="F993" s="2">
        <v>6004.95</v>
      </c>
      <c r="G993" s="1">
        <v>45965</v>
      </c>
      <c r="I993" t="s">
        <v>9</v>
      </c>
      <c r="J993" s="14">
        <f>IFERROR(VLOOKUP(D993,'INf. RRHH'!$A:$B,2,0),0)</f>
        <v>2900</v>
      </c>
      <c r="K993" s="16">
        <f t="shared" si="45"/>
        <v>3104.95</v>
      </c>
      <c r="L993" s="17">
        <f t="shared" si="46"/>
        <v>966.67</v>
      </c>
      <c r="M993" s="18">
        <f t="shared" si="47"/>
        <v>4071.62</v>
      </c>
    </row>
    <row r="994" spans="1:13" x14ac:dyDescent="0.25">
      <c r="A994">
        <v>1000</v>
      </c>
      <c r="B994">
        <v>1000</v>
      </c>
      <c r="C994" s="1">
        <v>45961</v>
      </c>
      <c r="D994">
        <v>91960</v>
      </c>
      <c r="E994">
        <v>243</v>
      </c>
      <c r="F994" s="2">
        <v>5445.08</v>
      </c>
      <c r="G994" s="1">
        <v>45965</v>
      </c>
      <c r="I994" t="s">
        <v>9</v>
      </c>
      <c r="J994" s="14">
        <f>IFERROR(VLOOKUP(D994,'INf. RRHH'!$A:$B,2,0),0)</f>
        <v>2900</v>
      </c>
      <c r="K994" s="16">
        <f t="shared" si="45"/>
        <v>2545.08</v>
      </c>
      <c r="L994" s="17">
        <f t="shared" si="46"/>
        <v>966.67</v>
      </c>
      <c r="M994" s="18">
        <f t="shared" si="47"/>
        <v>3511.75</v>
      </c>
    </row>
    <row r="995" spans="1:13" x14ac:dyDescent="0.25">
      <c r="A995">
        <v>1000</v>
      </c>
      <c r="B995">
        <v>1000</v>
      </c>
      <c r="C995" s="1">
        <v>45961</v>
      </c>
      <c r="D995">
        <v>91991</v>
      </c>
      <c r="E995">
        <v>232</v>
      </c>
      <c r="F995" s="2">
        <v>5411.56</v>
      </c>
      <c r="G995" s="1">
        <v>45965</v>
      </c>
      <c r="I995" t="s">
        <v>9</v>
      </c>
      <c r="J995" s="14">
        <f>IFERROR(VLOOKUP(D995,'INf. RRHH'!$A:$B,2,0),0)</f>
        <v>2900</v>
      </c>
      <c r="K995" s="16">
        <f t="shared" si="45"/>
        <v>2511.5600000000004</v>
      </c>
      <c r="L995" s="17">
        <f t="shared" si="46"/>
        <v>966.67</v>
      </c>
      <c r="M995" s="18">
        <f t="shared" si="47"/>
        <v>3478.2300000000005</v>
      </c>
    </row>
    <row r="996" spans="1:13" x14ac:dyDescent="0.25">
      <c r="A996">
        <v>1000</v>
      </c>
      <c r="B996">
        <v>1000</v>
      </c>
      <c r="C996" s="1">
        <v>45961</v>
      </c>
      <c r="D996">
        <v>92343</v>
      </c>
      <c r="E996">
        <v>240</v>
      </c>
      <c r="F996" s="2">
        <v>5376.5</v>
      </c>
      <c r="G996" s="1">
        <v>45965</v>
      </c>
      <c r="I996" t="s">
        <v>9</v>
      </c>
      <c r="J996" s="14">
        <f>IFERROR(VLOOKUP(D996,'INf. RRHH'!$A:$B,2,0),0)</f>
        <v>2900</v>
      </c>
      <c r="K996" s="16">
        <f t="shared" si="45"/>
        <v>2476.5</v>
      </c>
      <c r="L996" s="17">
        <f t="shared" si="46"/>
        <v>966.67</v>
      </c>
      <c r="M996" s="18">
        <f t="shared" si="47"/>
        <v>3443.17</v>
      </c>
    </row>
    <row r="997" spans="1:13" x14ac:dyDescent="0.25">
      <c r="A997">
        <v>1000</v>
      </c>
      <c r="B997">
        <v>1000</v>
      </c>
      <c r="C997" s="1">
        <v>45961</v>
      </c>
      <c r="D997">
        <v>92411</v>
      </c>
      <c r="E997">
        <v>124</v>
      </c>
      <c r="F997" s="2">
        <v>4631.25</v>
      </c>
      <c r="G997" s="1">
        <v>45965</v>
      </c>
      <c r="I997" t="s">
        <v>9</v>
      </c>
      <c r="J997" s="14">
        <f>IFERROR(VLOOKUP(D997,'INf. RRHH'!$A:$B,2,0),0)</f>
        <v>2900</v>
      </c>
      <c r="K997" s="16">
        <f t="shared" si="45"/>
        <v>1731.25</v>
      </c>
      <c r="L997" s="17">
        <f t="shared" si="46"/>
        <v>966.67</v>
      </c>
      <c r="M997" s="18">
        <f t="shared" si="47"/>
        <v>2697.92</v>
      </c>
    </row>
    <row r="998" spans="1:13" x14ac:dyDescent="0.25">
      <c r="A998">
        <v>1000</v>
      </c>
      <c r="B998">
        <v>1000</v>
      </c>
      <c r="C998" s="1">
        <v>45961</v>
      </c>
      <c r="D998">
        <v>92493</v>
      </c>
      <c r="E998">
        <v>330</v>
      </c>
      <c r="F998" s="2">
        <v>7239.57</v>
      </c>
      <c r="G998" s="1">
        <v>45965</v>
      </c>
      <c r="I998" t="s">
        <v>9</v>
      </c>
      <c r="J998" s="14">
        <f>IFERROR(VLOOKUP(D998,'INf. RRHH'!$A:$B,2,0),0)</f>
        <v>2900</v>
      </c>
      <c r="K998" s="16">
        <f t="shared" si="45"/>
        <v>4339.57</v>
      </c>
      <c r="L998" s="17">
        <f t="shared" si="46"/>
        <v>966.67</v>
      </c>
      <c r="M998" s="18">
        <f t="shared" si="47"/>
        <v>5306.24</v>
      </c>
    </row>
    <row r="999" spans="1:13" x14ac:dyDescent="0.25">
      <c r="A999">
        <v>1000</v>
      </c>
      <c r="B999">
        <v>1000</v>
      </c>
      <c r="C999" s="1">
        <v>45961</v>
      </c>
      <c r="D999">
        <v>92567</v>
      </c>
      <c r="E999">
        <v>296</v>
      </c>
      <c r="F999" s="2">
        <v>5398.2</v>
      </c>
      <c r="G999" s="1">
        <v>45965</v>
      </c>
      <c r="I999" t="s">
        <v>9</v>
      </c>
      <c r="J999" s="14">
        <f>IFERROR(VLOOKUP(D999,'INf. RRHH'!$A:$B,2,0),0)</f>
        <v>2900</v>
      </c>
      <c r="K999" s="16">
        <f t="shared" si="45"/>
        <v>2498.1999999999998</v>
      </c>
      <c r="L999" s="17">
        <f t="shared" si="46"/>
        <v>966.67</v>
      </c>
      <c r="M999" s="18">
        <f t="shared" si="47"/>
        <v>3464.87</v>
      </c>
    </row>
    <row r="1000" spans="1:13" x14ac:dyDescent="0.25">
      <c r="A1000">
        <v>1000</v>
      </c>
      <c r="B1000">
        <v>1000</v>
      </c>
      <c r="C1000" s="1">
        <v>45961</v>
      </c>
      <c r="D1000">
        <v>92645</v>
      </c>
      <c r="E1000">
        <v>24</v>
      </c>
      <c r="F1000" s="2">
        <v>5221.92</v>
      </c>
      <c r="G1000" s="1">
        <v>45965</v>
      </c>
      <c r="I1000" t="s">
        <v>9</v>
      </c>
      <c r="J1000" s="14">
        <f>IFERROR(VLOOKUP(D1000,'INf. RRHH'!$A:$B,2,0),0)</f>
        <v>2900</v>
      </c>
      <c r="K1000" s="16">
        <f t="shared" si="45"/>
        <v>2321.92</v>
      </c>
      <c r="L1000" s="17">
        <f t="shared" si="46"/>
        <v>966.67</v>
      </c>
      <c r="M1000" s="18">
        <f t="shared" si="47"/>
        <v>3288.59</v>
      </c>
    </row>
    <row r="1001" spans="1:13" x14ac:dyDescent="0.25">
      <c r="A1001">
        <v>1000</v>
      </c>
      <c r="B1001">
        <v>1000</v>
      </c>
      <c r="C1001" s="1">
        <v>45961</v>
      </c>
      <c r="D1001">
        <v>92663</v>
      </c>
      <c r="E1001">
        <v>326.5</v>
      </c>
      <c r="F1001" s="2">
        <v>6526.83</v>
      </c>
      <c r="G1001" s="1">
        <v>45965</v>
      </c>
      <c r="I1001" t="s">
        <v>9</v>
      </c>
      <c r="J1001" s="14">
        <f>IFERROR(VLOOKUP(D1001,'INf. RRHH'!$A:$B,2,0),0)</f>
        <v>2900</v>
      </c>
      <c r="K1001" s="16">
        <f t="shared" si="45"/>
        <v>3626.83</v>
      </c>
      <c r="L1001" s="17">
        <f t="shared" si="46"/>
        <v>966.67</v>
      </c>
      <c r="M1001" s="18">
        <f t="shared" si="47"/>
        <v>4593.5</v>
      </c>
    </row>
    <row r="1002" spans="1:13" x14ac:dyDescent="0.25">
      <c r="A1002">
        <v>1000</v>
      </c>
      <c r="B1002">
        <v>1000</v>
      </c>
      <c r="C1002" s="1">
        <v>45961</v>
      </c>
      <c r="D1002">
        <v>92870</v>
      </c>
      <c r="E1002">
        <v>353</v>
      </c>
      <c r="F1002" s="2">
        <v>6346.98</v>
      </c>
      <c r="G1002" s="1">
        <v>45965</v>
      </c>
      <c r="I1002" t="s">
        <v>9</v>
      </c>
      <c r="J1002" s="14">
        <f>IFERROR(VLOOKUP(D1002,'INf. RRHH'!$A:$B,2,0),0)</f>
        <v>2900</v>
      </c>
      <c r="K1002" s="16">
        <f t="shared" si="45"/>
        <v>3446.9799999999996</v>
      </c>
      <c r="L1002" s="17">
        <f t="shared" si="46"/>
        <v>966.67</v>
      </c>
      <c r="M1002" s="18">
        <f t="shared" si="47"/>
        <v>4413.6499999999996</v>
      </c>
    </row>
    <row r="1003" spans="1:13" x14ac:dyDescent="0.25">
      <c r="A1003">
        <v>1000</v>
      </c>
      <c r="B1003">
        <v>1000</v>
      </c>
      <c r="C1003" s="1">
        <v>45961</v>
      </c>
      <c r="D1003">
        <v>92981</v>
      </c>
      <c r="E1003">
        <v>240</v>
      </c>
      <c r="F1003" s="2">
        <v>5147.2700000000004</v>
      </c>
      <c r="G1003" s="1">
        <v>45965</v>
      </c>
      <c r="I1003" t="s">
        <v>9</v>
      </c>
      <c r="J1003" s="14">
        <f>IFERROR(VLOOKUP(D1003,'INf. RRHH'!$A:$B,2,0),0)</f>
        <v>2900</v>
      </c>
      <c r="K1003" s="16">
        <f t="shared" si="45"/>
        <v>2247.2700000000004</v>
      </c>
      <c r="L1003" s="17">
        <f t="shared" si="46"/>
        <v>966.67</v>
      </c>
      <c r="M1003" s="18">
        <f t="shared" si="47"/>
        <v>3213.9400000000005</v>
      </c>
    </row>
    <row r="1004" spans="1:13" x14ac:dyDescent="0.25">
      <c r="A1004">
        <v>1000</v>
      </c>
      <c r="B1004">
        <v>1000</v>
      </c>
      <c r="C1004" s="1">
        <v>45961</v>
      </c>
      <c r="D1004">
        <v>93281</v>
      </c>
      <c r="E1004">
        <v>260</v>
      </c>
      <c r="F1004" s="2">
        <v>5958.47</v>
      </c>
      <c r="G1004" s="1">
        <v>45965</v>
      </c>
      <c r="I1004" t="s">
        <v>9</v>
      </c>
      <c r="J1004" s="14">
        <f>IFERROR(VLOOKUP(D1004,'INf. RRHH'!$A:$B,2,0),0)</f>
        <v>2900</v>
      </c>
      <c r="K1004" s="16">
        <f t="shared" si="45"/>
        <v>3058.4700000000003</v>
      </c>
      <c r="L1004" s="17">
        <f t="shared" si="46"/>
        <v>966.67</v>
      </c>
      <c r="M1004" s="18">
        <f t="shared" si="47"/>
        <v>4025.1400000000003</v>
      </c>
    </row>
    <row r="1005" spans="1:13" x14ac:dyDescent="0.25">
      <c r="A1005">
        <v>1000</v>
      </c>
      <c r="B1005">
        <v>1000</v>
      </c>
      <c r="C1005" s="1">
        <v>45961</v>
      </c>
      <c r="D1005">
        <v>93359</v>
      </c>
      <c r="E1005">
        <v>296</v>
      </c>
      <c r="F1005" s="2">
        <v>4331.0200000000004</v>
      </c>
      <c r="G1005" s="1">
        <v>45965</v>
      </c>
      <c r="I1005" t="s">
        <v>9</v>
      </c>
      <c r="J1005" s="14">
        <f>IFERROR(VLOOKUP(D1005,'INf. RRHH'!$A:$B,2,0),0)</f>
        <v>2900</v>
      </c>
      <c r="K1005" s="16">
        <f t="shared" si="45"/>
        <v>1431.0200000000004</v>
      </c>
      <c r="L1005" s="17">
        <f t="shared" si="46"/>
        <v>966.67</v>
      </c>
      <c r="M1005" s="18">
        <f t="shared" si="47"/>
        <v>2397.6900000000005</v>
      </c>
    </row>
    <row r="1006" spans="1:13" x14ac:dyDescent="0.25">
      <c r="A1006">
        <v>1000</v>
      </c>
      <c r="B1006">
        <v>1000</v>
      </c>
      <c r="C1006" s="1">
        <v>45961</v>
      </c>
      <c r="D1006">
        <v>93449</v>
      </c>
      <c r="E1006">
        <v>240</v>
      </c>
      <c r="F1006" s="2">
        <v>5211.71</v>
      </c>
      <c r="G1006" s="1">
        <v>45965</v>
      </c>
      <c r="I1006" t="s">
        <v>9</v>
      </c>
      <c r="J1006" s="14">
        <f>IFERROR(VLOOKUP(D1006,'INf. RRHH'!$A:$B,2,0),0)</f>
        <v>2900</v>
      </c>
      <c r="K1006" s="16">
        <f t="shared" si="45"/>
        <v>2311.71</v>
      </c>
      <c r="L1006" s="17">
        <f t="shared" si="46"/>
        <v>966.67</v>
      </c>
      <c r="M1006" s="18">
        <f t="shared" si="47"/>
        <v>3278.38</v>
      </c>
    </row>
    <row r="1007" spans="1:13" x14ac:dyDescent="0.25">
      <c r="A1007">
        <v>1000</v>
      </c>
      <c r="B1007">
        <v>1000</v>
      </c>
      <c r="C1007" s="1">
        <v>45961</v>
      </c>
      <c r="D1007">
        <v>93472</v>
      </c>
      <c r="E1007">
        <v>280</v>
      </c>
      <c r="F1007" s="2">
        <v>5993.41</v>
      </c>
      <c r="G1007" s="1">
        <v>45965</v>
      </c>
      <c r="I1007" t="s">
        <v>9</v>
      </c>
      <c r="J1007" s="14">
        <f>IFERROR(VLOOKUP(D1007,'INf. RRHH'!$A:$B,2,0),0)</f>
        <v>2900</v>
      </c>
      <c r="K1007" s="16">
        <f t="shared" si="45"/>
        <v>3093.41</v>
      </c>
      <c r="L1007" s="17">
        <f t="shared" si="46"/>
        <v>966.67</v>
      </c>
      <c r="M1007" s="18">
        <f t="shared" si="47"/>
        <v>4060.08</v>
      </c>
    </row>
    <row r="1008" spans="1:13" x14ac:dyDescent="0.25">
      <c r="A1008">
        <v>1000</v>
      </c>
      <c r="B1008">
        <v>1000</v>
      </c>
      <c r="C1008" s="1">
        <v>45961</v>
      </c>
      <c r="D1008">
        <v>93638</v>
      </c>
      <c r="E1008">
        <v>304</v>
      </c>
      <c r="F1008" s="2">
        <v>6089.09</v>
      </c>
      <c r="G1008" s="1">
        <v>45965</v>
      </c>
      <c r="I1008" t="s">
        <v>9</v>
      </c>
      <c r="J1008" s="14">
        <f>IFERROR(VLOOKUP(D1008,'INf. RRHH'!$A:$B,2,0),0)</f>
        <v>2900</v>
      </c>
      <c r="K1008" s="16">
        <f t="shared" si="45"/>
        <v>3189.09</v>
      </c>
      <c r="L1008" s="17">
        <f t="shared" si="46"/>
        <v>966.67</v>
      </c>
      <c r="M1008" s="18">
        <f t="shared" si="47"/>
        <v>4155.76</v>
      </c>
    </row>
    <row r="1009" spans="1:13" x14ac:dyDescent="0.25">
      <c r="A1009">
        <v>1000</v>
      </c>
      <c r="B1009">
        <v>1000</v>
      </c>
      <c r="C1009" s="1">
        <v>45961</v>
      </c>
      <c r="D1009">
        <v>93827</v>
      </c>
      <c r="E1009">
        <v>240</v>
      </c>
      <c r="F1009" s="2">
        <v>5376.11</v>
      </c>
      <c r="G1009" s="1">
        <v>45965</v>
      </c>
      <c r="I1009" t="s">
        <v>9</v>
      </c>
      <c r="J1009" s="14">
        <f>IFERROR(VLOOKUP(D1009,'INf. RRHH'!$A:$B,2,0),0)</f>
        <v>2900</v>
      </c>
      <c r="K1009" s="16">
        <f t="shared" si="45"/>
        <v>2476.1099999999997</v>
      </c>
      <c r="L1009" s="17">
        <f t="shared" si="46"/>
        <v>966.67</v>
      </c>
      <c r="M1009" s="18">
        <f t="shared" si="47"/>
        <v>3442.7799999999997</v>
      </c>
    </row>
    <row r="1010" spans="1:13" x14ac:dyDescent="0.25">
      <c r="A1010">
        <v>1000</v>
      </c>
      <c r="B1010">
        <v>1000</v>
      </c>
      <c r="C1010" s="1">
        <v>45961</v>
      </c>
      <c r="D1010">
        <v>94121</v>
      </c>
      <c r="E1010">
        <v>244</v>
      </c>
      <c r="F1010" s="2">
        <v>5393.04</v>
      </c>
      <c r="G1010" s="1">
        <v>45965</v>
      </c>
      <c r="I1010" t="s">
        <v>9</v>
      </c>
      <c r="J1010" s="14">
        <f>IFERROR(VLOOKUP(D1010,'INf. RRHH'!$A:$B,2,0),0)</f>
        <v>2900</v>
      </c>
      <c r="K1010" s="16">
        <f t="shared" si="45"/>
        <v>2493.04</v>
      </c>
      <c r="L1010" s="17">
        <f t="shared" si="46"/>
        <v>966.67</v>
      </c>
      <c r="M1010" s="18">
        <f t="shared" si="47"/>
        <v>3459.71</v>
      </c>
    </row>
    <row r="1011" spans="1:13" x14ac:dyDescent="0.25">
      <c r="A1011">
        <v>1000</v>
      </c>
      <c r="B1011">
        <v>1000</v>
      </c>
      <c r="C1011" s="1">
        <v>45961</v>
      </c>
      <c r="D1011">
        <v>94168</v>
      </c>
      <c r="E1011">
        <v>240</v>
      </c>
      <c r="F1011" s="2">
        <v>4164.68</v>
      </c>
      <c r="G1011" s="1">
        <v>45965</v>
      </c>
      <c r="I1011" t="s">
        <v>9</v>
      </c>
      <c r="J1011" s="14">
        <f>IFERROR(VLOOKUP(D1011,'INf. RRHH'!$A:$B,2,0),0)</f>
        <v>2900</v>
      </c>
      <c r="K1011" s="16">
        <f t="shared" si="45"/>
        <v>1264.6800000000003</v>
      </c>
      <c r="L1011" s="17">
        <f t="shared" si="46"/>
        <v>966.67</v>
      </c>
      <c r="M1011" s="18">
        <f t="shared" si="47"/>
        <v>2231.3500000000004</v>
      </c>
    </row>
    <row r="1012" spans="1:13" x14ac:dyDescent="0.25">
      <c r="A1012">
        <v>1000</v>
      </c>
      <c r="B1012">
        <v>1000</v>
      </c>
      <c r="C1012" s="1">
        <v>45961</v>
      </c>
      <c r="D1012">
        <v>94232</v>
      </c>
      <c r="E1012">
        <v>240</v>
      </c>
      <c r="F1012" s="2">
        <v>5201.5600000000004</v>
      </c>
      <c r="G1012" s="1">
        <v>45965</v>
      </c>
      <c r="I1012" t="s">
        <v>9</v>
      </c>
      <c r="J1012" s="14">
        <f>IFERROR(VLOOKUP(D1012,'INf. RRHH'!$A:$B,2,0),0)</f>
        <v>2900</v>
      </c>
      <c r="K1012" s="16">
        <f t="shared" si="45"/>
        <v>2301.5600000000004</v>
      </c>
      <c r="L1012" s="17">
        <f t="shared" si="46"/>
        <v>966.67</v>
      </c>
      <c r="M1012" s="18">
        <f t="shared" si="47"/>
        <v>3268.2300000000005</v>
      </c>
    </row>
    <row r="1013" spans="1:13" x14ac:dyDescent="0.25">
      <c r="A1013">
        <v>1000</v>
      </c>
      <c r="B1013">
        <v>1000</v>
      </c>
      <c r="C1013" s="1">
        <v>45961</v>
      </c>
      <c r="D1013">
        <v>94391</v>
      </c>
      <c r="E1013">
        <v>318.5</v>
      </c>
      <c r="F1013" s="2">
        <v>5961.63</v>
      </c>
      <c r="G1013" s="1">
        <v>45965</v>
      </c>
      <c r="I1013" t="s">
        <v>9</v>
      </c>
      <c r="J1013" s="14">
        <f>IFERROR(VLOOKUP(D1013,'INf. RRHH'!$A:$B,2,0),0)</f>
        <v>2900</v>
      </c>
      <c r="K1013" s="16">
        <f t="shared" si="45"/>
        <v>3061.63</v>
      </c>
      <c r="L1013" s="17">
        <f t="shared" si="46"/>
        <v>966.67</v>
      </c>
      <c r="M1013" s="18">
        <f t="shared" si="47"/>
        <v>4028.3</v>
      </c>
    </row>
    <row r="1014" spans="1:13" x14ac:dyDescent="0.25">
      <c r="A1014">
        <v>1000</v>
      </c>
      <c r="B1014">
        <v>1000</v>
      </c>
      <c r="C1014" s="1">
        <v>45961</v>
      </c>
      <c r="D1014">
        <v>95066</v>
      </c>
      <c r="E1014">
        <v>317.5</v>
      </c>
      <c r="F1014" s="2">
        <v>6041.2</v>
      </c>
      <c r="G1014" s="1">
        <v>45965</v>
      </c>
      <c r="I1014" t="s">
        <v>9</v>
      </c>
      <c r="J1014" s="14">
        <f>IFERROR(VLOOKUP(D1014,'INf. RRHH'!$A:$B,2,0),0)</f>
        <v>2900</v>
      </c>
      <c r="K1014" s="16">
        <f t="shared" si="45"/>
        <v>3141.2</v>
      </c>
      <c r="L1014" s="17">
        <f t="shared" si="46"/>
        <v>966.67</v>
      </c>
      <c r="M1014" s="18">
        <f t="shared" si="47"/>
        <v>4107.87</v>
      </c>
    </row>
    <row r="1015" spans="1:13" x14ac:dyDescent="0.25">
      <c r="A1015">
        <v>1000</v>
      </c>
      <c r="B1015">
        <v>1000</v>
      </c>
      <c r="C1015" s="1">
        <v>45961</v>
      </c>
      <c r="D1015">
        <v>95279</v>
      </c>
      <c r="E1015">
        <v>274</v>
      </c>
      <c r="F1015" s="2">
        <v>5601.33</v>
      </c>
      <c r="G1015" s="1">
        <v>45965</v>
      </c>
      <c r="I1015" t="s">
        <v>9</v>
      </c>
      <c r="J1015" s="14">
        <f>IFERROR(VLOOKUP(D1015,'INf. RRHH'!$A:$B,2,0),0)</f>
        <v>2900</v>
      </c>
      <c r="K1015" s="16">
        <f t="shared" si="45"/>
        <v>2701.33</v>
      </c>
      <c r="L1015" s="17">
        <f t="shared" si="46"/>
        <v>966.67</v>
      </c>
      <c r="M1015" s="18">
        <f t="shared" si="47"/>
        <v>3668</v>
      </c>
    </row>
    <row r="1016" spans="1:13" x14ac:dyDescent="0.25">
      <c r="A1016">
        <v>1000</v>
      </c>
      <c r="B1016">
        <v>1000</v>
      </c>
      <c r="C1016" s="1">
        <v>45961</v>
      </c>
      <c r="D1016">
        <v>7954</v>
      </c>
      <c r="E1016">
        <v>296</v>
      </c>
      <c r="F1016" s="2">
        <v>7377.66</v>
      </c>
      <c r="G1016" s="1">
        <v>45965</v>
      </c>
      <c r="I1016" t="s">
        <v>9</v>
      </c>
      <c r="J1016" s="14">
        <f>IFERROR(VLOOKUP(D1016,'INf. RRHH'!$A:$B,2,0),0)</f>
        <v>2900</v>
      </c>
      <c r="K1016" s="16">
        <f t="shared" si="45"/>
        <v>4477.66</v>
      </c>
      <c r="L1016" s="17">
        <f t="shared" si="46"/>
        <v>966.67</v>
      </c>
      <c r="M1016" s="18">
        <f t="shared" si="47"/>
        <v>5444.33</v>
      </c>
    </row>
    <row r="1017" spans="1:13" x14ac:dyDescent="0.25">
      <c r="A1017">
        <v>1000</v>
      </c>
      <c r="B1017">
        <v>1000</v>
      </c>
      <c r="C1017" s="1">
        <v>45961</v>
      </c>
      <c r="D1017">
        <v>90448</v>
      </c>
      <c r="E1017">
        <v>209</v>
      </c>
      <c r="F1017" s="2">
        <v>5276.63</v>
      </c>
      <c r="G1017" s="1">
        <v>45965</v>
      </c>
      <c r="I1017" t="s">
        <v>9</v>
      </c>
      <c r="J1017" s="14">
        <f>IFERROR(VLOOKUP(D1017,'INf. RRHH'!$A:$B,2,0),0)</f>
        <v>2900</v>
      </c>
      <c r="K1017" s="16">
        <f t="shared" si="45"/>
        <v>2376.63</v>
      </c>
      <c r="L1017" s="17">
        <f t="shared" si="46"/>
        <v>966.67</v>
      </c>
      <c r="M1017" s="18">
        <f t="shared" si="47"/>
        <v>3343.3</v>
      </c>
    </row>
    <row r="1018" spans="1:13" x14ac:dyDescent="0.25">
      <c r="A1018">
        <v>1000</v>
      </c>
      <c r="B1018">
        <v>1000</v>
      </c>
      <c r="C1018" s="1">
        <v>45961</v>
      </c>
      <c r="D1018">
        <v>90718</v>
      </c>
      <c r="E1018">
        <v>385.5</v>
      </c>
      <c r="F1018" s="2">
        <v>7703.31</v>
      </c>
      <c r="G1018" s="1">
        <v>45965</v>
      </c>
      <c r="I1018" t="s">
        <v>9</v>
      </c>
      <c r="J1018" s="14">
        <f>IFERROR(VLOOKUP(D1018,'INf. RRHH'!$A:$B,2,0),0)</f>
        <v>2900</v>
      </c>
      <c r="K1018" s="16">
        <f t="shared" si="45"/>
        <v>4803.3100000000004</v>
      </c>
      <c r="L1018" s="17">
        <f t="shared" si="46"/>
        <v>966.67</v>
      </c>
      <c r="M1018" s="18">
        <f t="shared" si="47"/>
        <v>5769.9800000000005</v>
      </c>
    </row>
    <row r="1019" spans="1:13" x14ac:dyDescent="0.25">
      <c r="A1019">
        <v>1000</v>
      </c>
      <c r="B1019">
        <v>1000</v>
      </c>
      <c r="C1019" s="1">
        <v>45961</v>
      </c>
      <c r="D1019">
        <v>90798</v>
      </c>
      <c r="E1019">
        <v>399</v>
      </c>
      <c r="F1019" s="2">
        <v>6705.78</v>
      </c>
      <c r="G1019" s="1">
        <v>45965</v>
      </c>
      <c r="I1019" t="s">
        <v>9</v>
      </c>
      <c r="J1019" s="14">
        <f>IFERROR(VLOOKUP(D1019,'INf. RRHH'!$A:$B,2,0),0)</f>
        <v>2900</v>
      </c>
      <c r="K1019" s="16">
        <f t="shared" si="45"/>
        <v>3805.7799999999997</v>
      </c>
      <c r="L1019" s="17">
        <f t="shared" si="46"/>
        <v>966.67</v>
      </c>
      <c r="M1019" s="18">
        <f t="shared" si="47"/>
        <v>4772.45</v>
      </c>
    </row>
    <row r="1020" spans="1:13" x14ac:dyDescent="0.25">
      <c r="A1020">
        <v>1000</v>
      </c>
      <c r="B1020">
        <v>1000</v>
      </c>
      <c r="C1020" s="1">
        <v>45961</v>
      </c>
      <c r="D1020">
        <v>90918</v>
      </c>
      <c r="E1020">
        <v>330</v>
      </c>
      <c r="F1020" s="2">
        <v>6417.27</v>
      </c>
      <c r="G1020" s="1">
        <v>45965</v>
      </c>
      <c r="I1020" t="s">
        <v>9</v>
      </c>
      <c r="J1020" s="14">
        <f>IFERROR(VLOOKUP(D1020,'INf. RRHH'!$A:$B,2,0),0)</f>
        <v>2900</v>
      </c>
      <c r="K1020" s="16">
        <f t="shared" si="45"/>
        <v>3517.2700000000004</v>
      </c>
      <c r="L1020" s="17">
        <f t="shared" si="46"/>
        <v>966.67</v>
      </c>
      <c r="M1020" s="18">
        <f t="shared" si="47"/>
        <v>4483.9400000000005</v>
      </c>
    </row>
    <row r="1021" spans="1:13" x14ac:dyDescent="0.25">
      <c r="A1021">
        <v>1000</v>
      </c>
      <c r="B1021">
        <v>1000</v>
      </c>
      <c r="C1021" s="1">
        <v>45961</v>
      </c>
      <c r="D1021">
        <v>90928</v>
      </c>
      <c r="E1021">
        <v>294</v>
      </c>
      <c r="F1021" s="2">
        <v>7351.98</v>
      </c>
      <c r="G1021" s="1">
        <v>45965</v>
      </c>
      <c r="I1021" t="s">
        <v>9</v>
      </c>
      <c r="J1021" s="14">
        <f>IFERROR(VLOOKUP(D1021,'INf. RRHH'!$A:$B,2,0),0)</f>
        <v>2900</v>
      </c>
      <c r="K1021" s="16">
        <f t="shared" si="45"/>
        <v>4451.9799999999996</v>
      </c>
      <c r="L1021" s="17">
        <f t="shared" si="46"/>
        <v>966.67</v>
      </c>
      <c r="M1021" s="18">
        <f t="shared" si="47"/>
        <v>5418.65</v>
      </c>
    </row>
    <row r="1022" spans="1:13" x14ac:dyDescent="0.25">
      <c r="A1022">
        <v>1000</v>
      </c>
      <c r="B1022">
        <v>1000</v>
      </c>
      <c r="C1022" s="1">
        <v>45961</v>
      </c>
      <c r="D1022">
        <v>90981</v>
      </c>
      <c r="E1022">
        <v>274</v>
      </c>
      <c r="F1022" s="2">
        <v>5637.77</v>
      </c>
      <c r="G1022" s="1">
        <v>45965</v>
      </c>
      <c r="I1022" t="s">
        <v>9</v>
      </c>
      <c r="J1022" s="14">
        <f>IFERROR(VLOOKUP(D1022,'INf. RRHH'!$A:$B,2,0),0)</f>
        <v>2900</v>
      </c>
      <c r="K1022" s="16">
        <f t="shared" si="45"/>
        <v>2737.7700000000004</v>
      </c>
      <c r="L1022" s="17">
        <f t="shared" si="46"/>
        <v>966.67</v>
      </c>
      <c r="M1022" s="18">
        <f t="shared" si="47"/>
        <v>3704.4400000000005</v>
      </c>
    </row>
    <row r="1023" spans="1:13" x14ac:dyDescent="0.25">
      <c r="A1023">
        <v>1000</v>
      </c>
      <c r="B1023">
        <v>1000</v>
      </c>
      <c r="C1023" s="1">
        <v>45961</v>
      </c>
      <c r="D1023">
        <v>90984</v>
      </c>
      <c r="E1023">
        <v>377</v>
      </c>
      <c r="F1023" s="2">
        <v>6733.32</v>
      </c>
      <c r="G1023" s="1">
        <v>45965</v>
      </c>
      <c r="I1023" t="s">
        <v>9</v>
      </c>
      <c r="J1023" s="14">
        <f>IFERROR(VLOOKUP(D1023,'INf. RRHH'!$A:$B,2,0),0)</f>
        <v>2900</v>
      </c>
      <c r="K1023" s="16">
        <f t="shared" si="45"/>
        <v>3833.3199999999997</v>
      </c>
      <c r="L1023" s="17">
        <f t="shared" si="46"/>
        <v>966.67</v>
      </c>
      <c r="M1023" s="18">
        <f t="shared" si="47"/>
        <v>4799.99</v>
      </c>
    </row>
    <row r="1024" spans="1:13" x14ac:dyDescent="0.25">
      <c r="A1024">
        <v>1000</v>
      </c>
      <c r="B1024">
        <v>1000</v>
      </c>
      <c r="C1024" s="1">
        <v>45961</v>
      </c>
      <c r="D1024">
        <v>91085</v>
      </c>
      <c r="E1024">
        <v>253</v>
      </c>
      <c r="F1024" s="2">
        <v>5815.72</v>
      </c>
      <c r="G1024" s="1">
        <v>45965</v>
      </c>
      <c r="I1024" t="s">
        <v>9</v>
      </c>
      <c r="J1024" s="14">
        <f>IFERROR(VLOOKUP(D1024,'INf. RRHH'!$A:$B,2,0),0)</f>
        <v>2900</v>
      </c>
      <c r="K1024" s="16">
        <f t="shared" si="45"/>
        <v>2915.7200000000003</v>
      </c>
      <c r="L1024" s="17">
        <f t="shared" si="46"/>
        <v>966.67</v>
      </c>
      <c r="M1024" s="18">
        <f t="shared" si="47"/>
        <v>3882.3900000000003</v>
      </c>
    </row>
    <row r="1025" spans="1:13" x14ac:dyDescent="0.25">
      <c r="A1025">
        <v>1000</v>
      </c>
      <c r="B1025">
        <v>1000</v>
      </c>
      <c r="C1025" s="1">
        <v>45961</v>
      </c>
      <c r="D1025">
        <v>91578</v>
      </c>
      <c r="E1025">
        <v>224</v>
      </c>
      <c r="F1025" s="2">
        <v>5239.8999999999996</v>
      </c>
      <c r="G1025" s="1">
        <v>45965</v>
      </c>
      <c r="I1025" t="s">
        <v>9</v>
      </c>
      <c r="J1025" s="14">
        <f>IFERROR(VLOOKUP(D1025,'INf. RRHH'!$A:$B,2,0),0)</f>
        <v>2900</v>
      </c>
      <c r="K1025" s="16">
        <f t="shared" si="45"/>
        <v>2339.8999999999996</v>
      </c>
      <c r="L1025" s="17">
        <f t="shared" si="46"/>
        <v>966.67</v>
      </c>
      <c r="M1025" s="18">
        <f t="shared" si="47"/>
        <v>3306.5699999999997</v>
      </c>
    </row>
    <row r="1026" spans="1:13" x14ac:dyDescent="0.25">
      <c r="A1026">
        <v>1000</v>
      </c>
      <c r="B1026">
        <v>1000</v>
      </c>
      <c r="C1026" s="1">
        <v>45961</v>
      </c>
      <c r="D1026">
        <v>91609</v>
      </c>
      <c r="E1026">
        <v>116</v>
      </c>
      <c r="F1026" s="2">
        <v>5295.53</v>
      </c>
      <c r="G1026" s="1">
        <v>45965</v>
      </c>
      <c r="I1026" t="s">
        <v>9</v>
      </c>
      <c r="J1026" s="14">
        <f>IFERROR(VLOOKUP(D1026,'INf. RRHH'!$A:$B,2,0),0)</f>
        <v>2900</v>
      </c>
      <c r="K1026" s="16">
        <f t="shared" si="45"/>
        <v>2395.5299999999997</v>
      </c>
      <c r="L1026" s="17">
        <f t="shared" si="46"/>
        <v>966.67</v>
      </c>
      <c r="M1026" s="18">
        <f t="shared" si="47"/>
        <v>3362.2</v>
      </c>
    </row>
    <row r="1027" spans="1:13" x14ac:dyDescent="0.25">
      <c r="A1027">
        <v>1000</v>
      </c>
      <c r="B1027">
        <v>1000</v>
      </c>
      <c r="C1027" s="1">
        <v>45961</v>
      </c>
      <c r="D1027">
        <v>91708</v>
      </c>
      <c r="E1027">
        <v>396</v>
      </c>
      <c r="F1027" s="2">
        <v>6634.29</v>
      </c>
      <c r="G1027" s="1">
        <v>45965</v>
      </c>
      <c r="I1027" t="s">
        <v>9</v>
      </c>
      <c r="J1027" s="14">
        <f>IFERROR(VLOOKUP(D1027,'INf. RRHH'!$A:$B,2,0),0)</f>
        <v>2900</v>
      </c>
      <c r="K1027" s="16">
        <f t="shared" ref="K1027:K1090" si="48">+F1027-J1027</f>
        <v>3734.29</v>
      </c>
      <c r="L1027" s="17">
        <f t="shared" ref="L1027:L1090" si="49">ROUND(J1027/3,2)</f>
        <v>966.67</v>
      </c>
      <c r="M1027" s="18">
        <f t="shared" ref="M1027:M1090" si="50">+K1027+L1027</f>
        <v>4700.96</v>
      </c>
    </row>
    <row r="1028" spans="1:13" x14ac:dyDescent="0.25">
      <c r="A1028">
        <v>1000</v>
      </c>
      <c r="B1028">
        <v>1000</v>
      </c>
      <c r="C1028" s="1">
        <v>45961</v>
      </c>
      <c r="D1028">
        <v>91764</v>
      </c>
      <c r="E1028">
        <v>330</v>
      </c>
      <c r="F1028" s="2">
        <v>6509.34</v>
      </c>
      <c r="G1028" s="1">
        <v>45965</v>
      </c>
      <c r="I1028" t="s">
        <v>9</v>
      </c>
      <c r="J1028" s="14">
        <f>IFERROR(VLOOKUP(D1028,'INf. RRHH'!$A:$B,2,0),0)</f>
        <v>2900</v>
      </c>
      <c r="K1028" s="16">
        <f t="shared" si="48"/>
        <v>3609.34</v>
      </c>
      <c r="L1028" s="17">
        <f t="shared" si="49"/>
        <v>966.67</v>
      </c>
      <c r="M1028" s="18">
        <f t="shared" si="50"/>
        <v>4576.01</v>
      </c>
    </row>
    <row r="1029" spans="1:13" x14ac:dyDescent="0.25">
      <c r="A1029">
        <v>1000</v>
      </c>
      <c r="B1029">
        <v>1000</v>
      </c>
      <c r="C1029" s="1">
        <v>45961</v>
      </c>
      <c r="D1029">
        <v>91839</v>
      </c>
      <c r="E1029">
        <v>339</v>
      </c>
      <c r="F1029" s="2">
        <v>6033.64</v>
      </c>
      <c r="G1029" s="1">
        <v>45965</v>
      </c>
      <c r="I1029" t="s">
        <v>9</v>
      </c>
      <c r="J1029" s="14">
        <f>IFERROR(VLOOKUP(D1029,'INf. RRHH'!$A:$B,2,0),0)</f>
        <v>2900</v>
      </c>
      <c r="K1029" s="16">
        <f t="shared" si="48"/>
        <v>3133.6400000000003</v>
      </c>
      <c r="L1029" s="17">
        <f t="shared" si="49"/>
        <v>966.67</v>
      </c>
      <c r="M1029" s="18">
        <f t="shared" si="50"/>
        <v>4100.3100000000004</v>
      </c>
    </row>
    <row r="1030" spans="1:13" x14ac:dyDescent="0.25">
      <c r="A1030">
        <v>1000</v>
      </c>
      <c r="B1030">
        <v>1000</v>
      </c>
      <c r="C1030" s="1">
        <v>45961</v>
      </c>
      <c r="D1030">
        <v>91938</v>
      </c>
      <c r="E1030">
        <v>248</v>
      </c>
      <c r="F1030" s="2">
        <v>5140.99</v>
      </c>
      <c r="G1030" s="1">
        <v>45965</v>
      </c>
      <c r="I1030" t="s">
        <v>9</v>
      </c>
      <c r="J1030" s="14">
        <f>IFERROR(VLOOKUP(D1030,'INf. RRHH'!$A:$B,2,0),0)</f>
        <v>2900</v>
      </c>
      <c r="K1030" s="16">
        <f t="shared" si="48"/>
        <v>2240.9899999999998</v>
      </c>
      <c r="L1030" s="17">
        <f t="shared" si="49"/>
        <v>966.67</v>
      </c>
      <c r="M1030" s="18">
        <f t="shared" si="50"/>
        <v>3207.66</v>
      </c>
    </row>
    <row r="1031" spans="1:13" x14ac:dyDescent="0.25">
      <c r="A1031">
        <v>1000</v>
      </c>
      <c r="B1031">
        <v>1000</v>
      </c>
      <c r="C1031" s="1">
        <v>45961</v>
      </c>
      <c r="D1031">
        <v>91962</v>
      </c>
      <c r="E1031">
        <v>259.17</v>
      </c>
      <c r="F1031" s="2">
        <v>7382.39</v>
      </c>
      <c r="G1031" s="1">
        <v>45965</v>
      </c>
      <c r="I1031" t="s">
        <v>9</v>
      </c>
      <c r="J1031" s="14">
        <f>IFERROR(VLOOKUP(D1031,'INf. RRHH'!$A:$B,2,0),0)</f>
        <v>2900</v>
      </c>
      <c r="K1031" s="16">
        <f t="shared" si="48"/>
        <v>4482.3900000000003</v>
      </c>
      <c r="L1031" s="17">
        <f t="shared" si="49"/>
        <v>966.67</v>
      </c>
      <c r="M1031" s="18">
        <f t="shared" si="50"/>
        <v>5449.06</v>
      </c>
    </row>
    <row r="1032" spans="1:13" x14ac:dyDescent="0.25">
      <c r="A1032">
        <v>1000</v>
      </c>
      <c r="B1032">
        <v>1000</v>
      </c>
      <c r="C1032" s="1">
        <v>45961</v>
      </c>
      <c r="D1032">
        <v>91980</v>
      </c>
      <c r="E1032">
        <v>388</v>
      </c>
      <c r="F1032" s="2">
        <v>6404.22</v>
      </c>
      <c r="G1032" s="1">
        <v>45965</v>
      </c>
      <c r="I1032" t="s">
        <v>9</v>
      </c>
      <c r="J1032" s="14">
        <f>IFERROR(VLOOKUP(D1032,'INf. RRHH'!$A:$B,2,0),0)</f>
        <v>2900</v>
      </c>
      <c r="K1032" s="16">
        <f t="shared" si="48"/>
        <v>3504.2200000000003</v>
      </c>
      <c r="L1032" s="17">
        <f t="shared" si="49"/>
        <v>966.67</v>
      </c>
      <c r="M1032" s="18">
        <f t="shared" si="50"/>
        <v>4470.8900000000003</v>
      </c>
    </row>
    <row r="1033" spans="1:13" x14ac:dyDescent="0.25">
      <c r="A1033">
        <v>1000</v>
      </c>
      <c r="B1033">
        <v>1000</v>
      </c>
      <c r="C1033" s="1">
        <v>45961</v>
      </c>
      <c r="D1033">
        <v>92329</v>
      </c>
      <c r="E1033">
        <v>170</v>
      </c>
      <c r="F1033" s="2">
        <v>5435.77</v>
      </c>
      <c r="G1033" s="1">
        <v>45965</v>
      </c>
      <c r="I1033" t="s">
        <v>9</v>
      </c>
      <c r="J1033" s="14">
        <f>IFERROR(VLOOKUP(D1033,'INf. RRHH'!$A:$B,2,0),0)</f>
        <v>2900</v>
      </c>
      <c r="K1033" s="16">
        <f t="shared" si="48"/>
        <v>2535.7700000000004</v>
      </c>
      <c r="L1033" s="17">
        <f t="shared" si="49"/>
        <v>966.67</v>
      </c>
      <c r="M1033" s="18">
        <f t="shared" si="50"/>
        <v>3502.4400000000005</v>
      </c>
    </row>
    <row r="1034" spans="1:13" x14ac:dyDescent="0.25">
      <c r="A1034">
        <v>1000</v>
      </c>
      <c r="B1034">
        <v>1000</v>
      </c>
      <c r="C1034" s="1">
        <v>45961</v>
      </c>
      <c r="D1034">
        <v>92386</v>
      </c>
      <c r="E1034">
        <v>374</v>
      </c>
      <c r="F1034" s="2">
        <v>7142.05</v>
      </c>
      <c r="G1034" s="1">
        <v>45965</v>
      </c>
      <c r="I1034" t="s">
        <v>9</v>
      </c>
      <c r="J1034" s="14">
        <f>IFERROR(VLOOKUP(D1034,'INf. RRHH'!$A:$B,2,0),0)</f>
        <v>2900</v>
      </c>
      <c r="K1034" s="16">
        <f t="shared" si="48"/>
        <v>4242.05</v>
      </c>
      <c r="L1034" s="17">
        <f t="shared" si="49"/>
        <v>966.67</v>
      </c>
      <c r="M1034" s="18">
        <f t="shared" si="50"/>
        <v>5208.72</v>
      </c>
    </row>
    <row r="1035" spans="1:13" x14ac:dyDescent="0.25">
      <c r="A1035">
        <v>1000</v>
      </c>
      <c r="B1035">
        <v>1000</v>
      </c>
      <c r="C1035" s="1">
        <v>45961</v>
      </c>
      <c r="D1035">
        <v>92484</v>
      </c>
      <c r="E1035">
        <v>224</v>
      </c>
      <c r="F1035" s="2">
        <v>4523.28</v>
      </c>
      <c r="G1035" s="1">
        <v>45965</v>
      </c>
      <c r="I1035" t="s">
        <v>9</v>
      </c>
      <c r="J1035" s="14">
        <f>IFERROR(VLOOKUP(D1035,'INf. RRHH'!$A:$B,2,0),0)</f>
        <v>2900</v>
      </c>
      <c r="K1035" s="16">
        <f t="shared" si="48"/>
        <v>1623.2799999999997</v>
      </c>
      <c r="L1035" s="17">
        <f t="shared" si="49"/>
        <v>966.67</v>
      </c>
      <c r="M1035" s="18">
        <f t="shared" si="50"/>
        <v>2589.9499999999998</v>
      </c>
    </row>
    <row r="1036" spans="1:13" x14ac:dyDescent="0.25">
      <c r="A1036">
        <v>1000</v>
      </c>
      <c r="B1036">
        <v>1000</v>
      </c>
      <c r="C1036" s="1">
        <v>45961</v>
      </c>
      <c r="D1036">
        <v>92487</v>
      </c>
      <c r="E1036">
        <v>340</v>
      </c>
      <c r="F1036" s="2">
        <v>3542.77</v>
      </c>
      <c r="G1036" s="1">
        <v>45965</v>
      </c>
      <c r="I1036" t="s">
        <v>9</v>
      </c>
      <c r="J1036" s="14">
        <f>IFERROR(VLOOKUP(D1036,'INf. RRHH'!$A:$B,2,0),0)</f>
        <v>2900</v>
      </c>
      <c r="K1036" s="16">
        <f t="shared" si="48"/>
        <v>642.77</v>
      </c>
      <c r="L1036" s="17">
        <f t="shared" si="49"/>
        <v>966.67</v>
      </c>
      <c r="M1036" s="18">
        <f t="shared" si="50"/>
        <v>1609.44</v>
      </c>
    </row>
    <row r="1037" spans="1:13" x14ac:dyDescent="0.25">
      <c r="A1037">
        <v>1000</v>
      </c>
      <c r="B1037">
        <v>1000</v>
      </c>
      <c r="C1037" s="1">
        <v>45961</v>
      </c>
      <c r="D1037">
        <v>92494</v>
      </c>
      <c r="E1037">
        <v>380</v>
      </c>
      <c r="F1037" s="2">
        <v>7237.43</v>
      </c>
      <c r="G1037" s="1">
        <v>45965</v>
      </c>
      <c r="I1037" t="s">
        <v>9</v>
      </c>
      <c r="J1037" s="14">
        <f>IFERROR(VLOOKUP(D1037,'INf. RRHH'!$A:$B,2,0),0)</f>
        <v>2900</v>
      </c>
      <c r="K1037" s="16">
        <f t="shared" si="48"/>
        <v>4337.43</v>
      </c>
      <c r="L1037" s="17">
        <f t="shared" si="49"/>
        <v>966.67</v>
      </c>
      <c r="M1037" s="18">
        <f t="shared" si="50"/>
        <v>5304.1</v>
      </c>
    </row>
    <row r="1038" spans="1:13" x14ac:dyDescent="0.25">
      <c r="A1038">
        <v>1000</v>
      </c>
      <c r="B1038">
        <v>1000</v>
      </c>
      <c r="C1038" s="1">
        <v>45961</v>
      </c>
      <c r="D1038">
        <v>92559</v>
      </c>
      <c r="E1038">
        <v>360</v>
      </c>
      <c r="F1038" s="2">
        <v>6395.19</v>
      </c>
      <c r="G1038" s="1">
        <v>45965</v>
      </c>
      <c r="I1038" t="s">
        <v>9</v>
      </c>
      <c r="J1038" s="14">
        <f>IFERROR(VLOOKUP(D1038,'INf. RRHH'!$A:$B,2,0),0)</f>
        <v>2900</v>
      </c>
      <c r="K1038" s="16">
        <f t="shared" si="48"/>
        <v>3495.1899999999996</v>
      </c>
      <c r="L1038" s="17">
        <f t="shared" si="49"/>
        <v>966.67</v>
      </c>
      <c r="M1038" s="18">
        <f t="shared" si="50"/>
        <v>4461.8599999999997</v>
      </c>
    </row>
    <row r="1039" spans="1:13" x14ac:dyDescent="0.25">
      <c r="A1039">
        <v>1000</v>
      </c>
      <c r="B1039">
        <v>1000</v>
      </c>
      <c r="C1039" s="1">
        <v>45961</v>
      </c>
      <c r="D1039">
        <v>92649</v>
      </c>
      <c r="E1039">
        <v>240</v>
      </c>
      <c r="F1039" s="2">
        <v>5376.37</v>
      </c>
      <c r="G1039" s="1">
        <v>45965</v>
      </c>
      <c r="I1039" t="s">
        <v>9</v>
      </c>
      <c r="J1039" s="14">
        <f>IFERROR(VLOOKUP(D1039,'INf. RRHH'!$A:$B,2,0),0)</f>
        <v>2900</v>
      </c>
      <c r="K1039" s="16">
        <f t="shared" si="48"/>
        <v>2476.37</v>
      </c>
      <c r="L1039" s="17">
        <f t="shared" si="49"/>
        <v>966.67</v>
      </c>
      <c r="M1039" s="18">
        <f t="shared" si="50"/>
        <v>3443.04</v>
      </c>
    </row>
    <row r="1040" spans="1:13" x14ac:dyDescent="0.25">
      <c r="A1040">
        <v>1000</v>
      </c>
      <c r="B1040">
        <v>1000</v>
      </c>
      <c r="C1040" s="1">
        <v>45961</v>
      </c>
      <c r="D1040">
        <v>92673</v>
      </c>
      <c r="E1040">
        <v>402</v>
      </c>
      <c r="F1040" s="2">
        <v>6586.11</v>
      </c>
      <c r="G1040" s="1">
        <v>45965</v>
      </c>
      <c r="I1040" t="s">
        <v>9</v>
      </c>
      <c r="J1040" s="14">
        <f>IFERROR(VLOOKUP(D1040,'INf. RRHH'!$A:$B,2,0),0)</f>
        <v>2900</v>
      </c>
      <c r="K1040" s="16">
        <f t="shared" si="48"/>
        <v>3686.1099999999997</v>
      </c>
      <c r="L1040" s="17">
        <f t="shared" si="49"/>
        <v>966.67</v>
      </c>
      <c r="M1040" s="18">
        <f t="shared" si="50"/>
        <v>4652.78</v>
      </c>
    </row>
    <row r="1041" spans="1:13" x14ac:dyDescent="0.25">
      <c r="A1041">
        <v>1000</v>
      </c>
      <c r="B1041">
        <v>1000</v>
      </c>
      <c r="C1041" s="1">
        <v>45961</v>
      </c>
      <c r="D1041">
        <v>92683</v>
      </c>
      <c r="E1041">
        <v>240</v>
      </c>
      <c r="F1041" s="2">
        <v>4221.2700000000004</v>
      </c>
      <c r="G1041" s="1">
        <v>45965</v>
      </c>
      <c r="I1041" t="s">
        <v>9</v>
      </c>
      <c r="J1041" s="14">
        <f>IFERROR(VLOOKUP(D1041,'INf. RRHH'!$A:$B,2,0),0)</f>
        <v>2900</v>
      </c>
      <c r="K1041" s="16">
        <f t="shared" si="48"/>
        <v>1321.2700000000004</v>
      </c>
      <c r="L1041" s="17">
        <f t="shared" si="49"/>
        <v>966.67</v>
      </c>
      <c r="M1041" s="18">
        <f t="shared" si="50"/>
        <v>2287.9400000000005</v>
      </c>
    </row>
    <row r="1042" spans="1:13" x14ac:dyDescent="0.25">
      <c r="A1042">
        <v>1000</v>
      </c>
      <c r="B1042">
        <v>1000</v>
      </c>
      <c r="C1042" s="1">
        <v>45961</v>
      </c>
      <c r="D1042">
        <v>92718</v>
      </c>
      <c r="E1042">
        <v>376.5</v>
      </c>
      <c r="F1042" s="2">
        <v>7338.52</v>
      </c>
      <c r="G1042" s="1">
        <v>45965</v>
      </c>
      <c r="I1042" t="s">
        <v>9</v>
      </c>
      <c r="J1042" s="14">
        <f>IFERROR(VLOOKUP(D1042,'INf. RRHH'!$A:$B,2,0),0)</f>
        <v>2900</v>
      </c>
      <c r="K1042" s="16">
        <f t="shared" si="48"/>
        <v>4438.5200000000004</v>
      </c>
      <c r="L1042" s="17">
        <f t="shared" si="49"/>
        <v>966.67</v>
      </c>
      <c r="M1042" s="18">
        <f t="shared" si="50"/>
        <v>5405.1900000000005</v>
      </c>
    </row>
    <row r="1043" spans="1:13" x14ac:dyDescent="0.25">
      <c r="A1043">
        <v>1000</v>
      </c>
      <c r="B1043">
        <v>1000</v>
      </c>
      <c r="C1043" s="1">
        <v>45961</v>
      </c>
      <c r="D1043">
        <v>92757</v>
      </c>
      <c r="E1043">
        <v>296</v>
      </c>
      <c r="F1043" s="2">
        <v>4808.59</v>
      </c>
      <c r="G1043" s="1">
        <v>45965</v>
      </c>
      <c r="I1043" t="s">
        <v>9</v>
      </c>
      <c r="J1043" s="14">
        <f>IFERROR(VLOOKUP(D1043,'INf. RRHH'!$A:$B,2,0),0)</f>
        <v>2900</v>
      </c>
      <c r="K1043" s="16">
        <f t="shared" si="48"/>
        <v>1908.5900000000001</v>
      </c>
      <c r="L1043" s="17">
        <f t="shared" si="49"/>
        <v>966.67</v>
      </c>
      <c r="M1043" s="18">
        <f t="shared" si="50"/>
        <v>2875.26</v>
      </c>
    </row>
    <row r="1044" spans="1:13" x14ac:dyDescent="0.25">
      <c r="A1044">
        <v>1000</v>
      </c>
      <c r="B1044">
        <v>1000</v>
      </c>
      <c r="C1044" s="1">
        <v>45961</v>
      </c>
      <c r="D1044">
        <v>92991</v>
      </c>
      <c r="E1044">
        <v>264</v>
      </c>
      <c r="F1044" s="2">
        <v>5331.49</v>
      </c>
      <c r="G1044" s="1">
        <v>45965</v>
      </c>
      <c r="I1044" t="s">
        <v>9</v>
      </c>
      <c r="J1044" s="14">
        <f>IFERROR(VLOOKUP(D1044,'INf. RRHH'!$A:$B,2,0),0)</f>
        <v>2900</v>
      </c>
      <c r="K1044" s="16">
        <f t="shared" si="48"/>
        <v>2431.4899999999998</v>
      </c>
      <c r="L1044" s="17">
        <f t="shared" si="49"/>
        <v>966.67</v>
      </c>
      <c r="M1044" s="18">
        <f t="shared" si="50"/>
        <v>3398.16</v>
      </c>
    </row>
    <row r="1045" spans="1:13" x14ac:dyDescent="0.25">
      <c r="A1045">
        <v>1000</v>
      </c>
      <c r="B1045">
        <v>1000</v>
      </c>
      <c r="C1045" s="1">
        <v>45961</v>
      </c>
      <c r="D1045">
        <v>93157</v>
      </c>
      <c r="E1045">
        <v>16</v>
      </c>
      <c r="F1045" s="2">
        <v>5563.19</v>
      </c>
      <c r="G1045" s="1">
        <v>45965</v>
      </c>
      <c r="I1045" t="s">
        <v>9</v>
      </c>
      <c r="J1045" s="14">
        <f>IFERROR(VLOOKUP(D1045,'INf. RRHH'!$A:$B,2,0),0)</f>
        <v>2900</v>
      </c>
      <c r="K1045" s="16">
        <f t="shared" si="48"/>
        <v>2663.1899999999996</v>
      </c>
      <c r="L1045" s="17">
        <f t="shared" si="49"/>
        <v>966.67</v>
      </c>
      <c r="M1045" s="18">
        <f t="shared" si="50"/>
        <v>3629.8599999999997</v>
      </c>
    </row>
    <row r="1046" spans="1:13" x14ac:dyDescent="0.25">
      <c r="A1046">
        <v>1000</v>
      </c>
      <c r="B1046">
        <v>1000</v>
      </c>
      <c r="C1046" s="1">
        <v>45961</v>
      </c>
      <c r="D1046">
        <v>93265</v>
      </c>
      <c r="E1046">
        <v>89</v>
      </c>
      <c r="F1046" s="2">
        <v>5510.51</v>
      </c>
      <c r="G1046" s="1">
        <v>45965</v>
      </c>
      <c r="I1046" t="s">
        <v>9</v>
      </c>
      <c r="J1046" s="14">
        <f>IFERROR(VLOOKUP(D1046,'INf. RRHH'!$A:$B,2,0),0)</f>
        <v>2900</v>
      </c>
      <c r="K1046" s="16">
        <f t="shared" si="48"/>
        <v>2610.5100000000002</v>
      </c>
      <c r="L1046" s="17">
        <f t="shared" si="49"/>
        <v>966.67</v>
      </c>
      <c r="M1046" s="18">
        <f t="shared" si="50"/>
        <v>3577.1800000000003</v>
      </c>
    </row>
    <row r="1047" spans="1:13" x14ac:dyDescent="0.25">
      <c r="A1047">
        <v>1000</v>
      </c>
      <c r="B1047">
        <v>1000</v>
      </c>
      <c r="C1047" s="1">
        <v>45961</v>
      </c>
      <c r="D1047">
        <v>93429</v>
      </c>
      <c r="E1047">
        <v>353</v>
      </c>
      <c r="F1047" s="2">
        <v>6668.09</v>
      </c>
      <c r="G1047" s="1">
        <v>45965</v>
      </c>
      <c r="I1047" t="s">
        <v>9</v>
      </c>
      <c r="J1047" s="14">
        <f>IFERROR(VLOOKUP(D1047,'INf. RRHH'!$A:$B,2,0),0)</f>
        <v>2900</v>
      </c>
      <c r="K1047" s="16">
        <f t="shared" si="48"/>
        <v>3768.09</v>
      </c>
      <c r="L1047" s="17">
        <f t="shared" si="49"/>
        <v>966.67</v>
      </c>
      <c r="M1047" s="18">
        <f t="shared" si="50"/>
        <v>4734.76</v>
      </c>
    </row>
    <row r="1048" spans="1:13" x14ac:dyDescent="0.25">
      <c r="A1048">
        <v>1000</v>
      </c>
      <c r="B1048">
        <v>1000</v>
      </c>
      <c r="C1048" s="1">
        <v>45961</v>
      </c>
      <c r="D1048">
        <v>93495</v>
      </c>
      <c r="E1048">
        <v>240</v>
      </c>
      <c r="F1048" s="2">
        <v>5377.95</v>
      </c>
      <c r="G1048" s="1">
        <v>45965</v>
      </c>
      <c r="I1048" t="s">
        <v>9</v>
      </c>
      <c r="J1048" s="14">
        <f>IFERROR(VLOOKUP(D1048,'INf. RRHH'!$A:$B,2,0),0)</f>
        <v>2900</v>
      </c>
      <c r="K1048" s="16">
        <f t="shared" si="48"/>
        <v>2477.9499999999998</v>
      </c>
      <c r="L1048" s="17">
        <f t="shared" si="49"/>
        <v>966.67</v>
      </c>
      <c r="M1048" s="18">
        <f t="shared" si="50"/>
        <v>3444.62</v>
      </c>
    </row>
    <row r="1049" spans="1:13" x14ac:dyDescent="0.25">
      <c r="A1049">
        <v>1000</v>
      </c>
      <c r="B1049">
        <v>1000</v>
      </c>
      <c r="C1049" s="1">
        <v>45961</v>
      </c>
      <c r="D1049">
        <v>93508</v>
      </c>
      <c r="E1049">
        <v>245.5</v>
      </c>
      <c r="F1049" s="2">
        <v>5490.21</v>
      </c>
      <c r="G1049" s="1">
        <v>45965</v>
      </c>
      <c r="I1049" t="s">
        <v>9</v>
      </c>
      <c r="J1049" s="14">
        <f>IFERROR(VLOOKUP(D1049,'INf. RRHH'!$A:$B,2,0),0)</f>
        <v>2900</v>
      </c>
      <c r="K1049" s="16">
        <f t="shared" si="48"/>
        <v>2590.21</v>
      </c>
      <c r="L1049" s="17">
        <f t="shared" si="49"/>
        <v>966.67</v>
      </c>
      <c r="M1049" s="18">
        <f t="shared" si="50"/>
        <v>3556.88</v>
      </c>
    </row>
    <row r="1050" spans="1:13" x14ac:dyDescent="0.25">
      <c r="A1050">
        <v>1000</v>
      </c>
      <c r="B1050">
        <v>1000</v>
      </c>
      <c r="C1050" s="1">
        <v>45961</v>
      </c>
      <c r="D1050">
        <v>93546</v>
      </c>
      <c r="E1050">
        <v>332.5</v>
      </c>
      <c r="F1050" s="2">
        <v>6512.38</v>
      </c>
      <c r="G1050" s="1">
        <v>45965</v>
      </c>
      <c r="I1050" t="s">
        <v>9</v>
      </c>
      <c r="J1050" s="14">
        <f>IFERROR(VLOOKUP(D1050,'INf. RRHH'!$A:$B,2,0),0)</f>
        <v>2900</v>
      </c>
      <c r="K1050" s="16">
        <f t="shared" si="48"/>
        <v>3612.38</v>
      </c>
      <c r="L1050" s="17">
        <f t="shared" si="49"/>
        <v>966.67</v>
      </c>
      <c r="M1050" s="18">
        <f t="shared" si="50"/>
        <v>4579.05</v>
      </c>
    </row>
    <row r="1051" spans="1:13" x14ac:dyDescent="0.25">
      <c r="A1051">
        <v>1000</v>
      </c>
      <c r="B1051">
        <v>1000</v>
      </c>
      <c r="C1051" s="1">
        <v>45961</v>
      </c>
      <c r="D1051">
        <v>93639</v>
      </c>
      <c r="E1051">
        <v>240</v>
      </c>
      <c r="F1051" s="2">
        <v>5219.91</v>
      </c>
      <c r="G1051" s="1">
        <v>45965</v>
      </c>
      <c r="I1051" t="s">
        <v>9</v>
      </c>
      <c r="J1051" s="14">
        <f>IFERROR(VLOOKUP(D1051,'INf. RRHH'!$A:$B,2,0),0)</f>
        <v>2900</v>
      </c>
      <c r="K1051" s="16">
        <f t="shared" si="48"/>
        <v>2319.91</v>
      </c>
      <c r="L1051" s="17">
        <f t="shared" si="49"/>
        <v>966.67</v>
      </c>
      <c r="M1051" s="18">
        <f t="shared" si="50"/>
        <v>3286.58</v>
      </c>
    </row>
    <row r="1052" spans="1:13" x14ac:dyDescent="0.25">
      <c r="A1052">
        <v>1000</v>
      </c>
      <c r="B1052">
        <v>1000</v>
      </c>
      <c r="C1052" s="1">
        <v>45961</v>
      </c>
      <c r="D1052">
        <v>93648</v>
      </c>
      <c r="E1052">
        <v>240</v>
      </c>
      <c r="F1052" s="2">
        <v>5301.05</v>
      </c>
      <c r="G1052" s="1">
        <v>45965</v>
      </c>
      <c r="I1052" t="s">
        <v>9</v>
      </c>
      <c r="J1052" s="14">
        <f>IFERROR(VLOOKUP(D1052,'INf. RRHH'!$A:$B,2,0),0)</f>
        <v>2900</v>
      </c>
      <c r="K1052" s="16">
        <f t="shared" si="48"/>
        <v>2401.0500000000002</v>
      </c>
      <c r="L1052" s="17">
        <f t="shared" si="49"/>
        <v>966.67</v>
      </c>
      <c r="M1052" s="18">
        <f t="shared" si="50"/>
        <v>3367.7200000000003</v>
      </c>
    </row>
    <row r="1053" spans="1:13" x14ac:dyDescent="0.25">
      <c r="A1053">
        <v>1000</v>
      </c>
      <c r="B1053">
        <v>1000</v>
      </c>
      <c r="C1053" s="1">
        <v>45961</v>
      </c>
      <c r="D1053">
        <v>93747</v>
      </c>
      <c r="E1053">
        <v>258</v>
      </c>
      <c r="F1053" s="2">
        <v>5494.62</v>
      </c>
      <c r="G1053" s="1">
        <v>45965</v>
      </c>
      <c r="I1053" t="s">
        <v>9</v>
      </c>
      <c r="J1053" s="14">
        <f>IFERROR(VLOOKUP(D1053,'INf. RRHH'!$A:$B,2,0),0)</f>
        <v>2900</v>
      </c>
      <c r="K1053" s="16">
        <f t="shared" si="48"/>
        <v>2594.62</v>
      </c>
      <c r="L1053" s="17">
        <f t="shared" si="49"/>
        <v>966.67</v>
      </c>
      <c r="M1053" s="18">
        <f t="shared" si="50"/>
        <v>3561.29</v>
      </c>
    </row>
    <row r="1054" spans="1:13" x14ac:dyDescent="0.25">
      <c r="A1054">
        <v>1000</v>
      </c>
      <c r="B1054">
        <v>1000</v>
      </c>
      <c r="C1054" s="1">
        <v>45961</v>
      </c>
      <c r="D1054">
        <v>93828</v>
      </c>
      <c r="E1054">
        <v>200</v>
      </c>
      <c r="F1054" s="2">
        <v>5067.96</v>
      </c>
      <c r="G1054" s="1">
        <v>45965</v>
      </c>
      <c r="I1054" t="s">
        <v>9</v>
      </c>
      <c r="J1054" s="14">
        <f>IFERROR(VLOOKUP(D1054,'INf. RRHH'!$A:$B,2,0),0)</f>
        <v>2900</v>
      </c>
      <c r="K1054" s="16">
        <f t="shared" si="48"/>
        <v>2167.96</v>
      </c>
      <c r="L1054" s="17">
        <f t="shared" si="49"/>
        <v>966.67</v>
      </c>
      <c r="M1054" s="18">
        <f t="shared" si="50"/>
        <v>3134.63</v>
      </c>
    </row>
    <row r="1055" spans="1:13" x14ac:dyDescent="0.25">
      <c r="A1055">
        <v>1000</v>
      </c>
      <c r="B1055">
        <v>1000</v>
      </c>
      <c r="C1055" s="1">
        <v>45961</v>
      </c>
      <c r="D1055">
        <v>93846</v>
      </c>
      <c r="E1055">
        <v>240</v>
      </c>
      <c r="F1055" s="2">
        <v>5376.24</v>
      </c>
      <c r="G1055" s="1">
        <v>45965</v>
      </c>
      <c r="I1055" t="s">
        <v>9</v>
      </c>
      <c r="J1055" s="14">
        <f>IFERROR(VLOOKUP(D1055,'INf. RRHH'!$A:$B,2,0),0)</f>
        <v>2900</v>
      </c>
      <c r="K1055" s="16">
        <f t="shared" si="48"/>
        <v>2476.2399999999998</v>
      </c>
      <c r="L1055" s="17">
        <f t="shared" si="49"/>
        <v>966.67</v>
      </c>
      <c r="M1055" s="18">
        <f t="shared" si="50"/>
        <v>3442.91</v>
      </c>
    </row>
    <row r="1056" spans="1:13" x14ac:dyDescent="0.25">
      <c r="A1056">
        <v>1000</v>
      </c>
      <c r="B1056">
        <v>1000</v>
      </c>
      <c r="C1056" s="1">
        <v>45961</v>
      </c>
      <c r="D1056">
        <v>93855</v>
      </c>
      <c r="E1056">
        <v>240</v>
      </c>
      <c r="F1056" s="2">
        <v>3796.49</v>
      </c>
      <c r="G1056" s="1">
        <v>45965</v>
      </c>
      <c r="I1056" t="s">
        <v>9</v>
      </c>
      <c r="J1056" s="14">
        <f>IFERROR(VLOOKUP(D1056,'INf. RRHH'!$A:$B,2,0),0)</f>
        <v>2900</v>
      </c>
      <c r="K1056" s="16">
        <f t="shared" si="48"/>
        <v>896.48999999999978</v>
      </c>
      <c r="L1056" s="17">
        <f t="shared" si="49"/>
        <v>966.67</v>
      </c>
      <c r="M1056" s="18">
        <f t="shared" si="50"/>
        <v>1863.1599999999999</v>
      </c>
    </row>
    <row r="1057" spans="1:13" x14ac:dyDescent="0.25">
      <c r="A1057">
        <v>1000</v>
      </c>
      <c r="B1057">
        <v>1000</v>
      </c>
      <c r="C1057" s="1">
        <v>45961</v>
      </c>
      <c r="D1057">
        <v>93861</v>
      </c>
      <c r="E1057">
        <v>144</v>
      </c>
      <c r="F1057" s="2">
        <v>5148.1099999999997</v>
      </c>
      <c r="G1057" s="1">
        <v>45965</v>
      </c>
      <c r="I1057" t="s">
        <v>9</v>
      </c>
      <c r="J1057" s="14">
        <f>IFERROR(VLOOKUP(D1057,'INf. RRHH'!$A:$B,2,0),0)</f>
        <v>2900</v>
      </c>
      <c r="K1057" s="16">
        <f t="shared" si="48"/>
        <v>2248.1099999999997</v>
      </c>
      <c r="L1057" s="17">
        <f t="shared" si="49"/>
        <v>966.67</v>
      </c>
      <c r="M1057" s="18">
        <f t="shared" si="50"/>
        <v>3214.7799999999997</v>
      </c>
    </row>
    <row r="1058" spans="1:13" x14ac:dyDescent="0.25">
      <c r="A1058">
        <v>1000</v>
      </c>
      <c r="B1058">
        <v>1000</v>
      </c>
      <c r="C1058" s="1">
        <v>45961</v>
      </c>
      <c r="D1058">
        <v>94048</v>
      </c>
      <c r="E1058">
        <v>169</v>
      </c>
      <c r="F1058" s="2">
        <v>5236.67</v>
      </c>
      <c r="G1058" s="1">
        <v>45965</v>
      </c>
      <c r="I1058" t="s">
        <v>9</v>
      </c>
      <c r="J1058" s="14">
        <f>IFERROR(VLOOKUP(D1058,'INf. RRHH'!$A:$B,2,0),0)</f>
        <v>2900</v>
      </c>
      <c r="K1058" s="16">
        <f t="shared" si="48"/>
        <v>2336.67</v>
      </c>
      <c r="L1058" s="17">
        <f t="shared" si="49"/>
        <v>966.67</v>
      </c>
      <c r="M1058" s="18">
        <f t="shared" si="50"/>
        <v>3303.34</v>
      </c>
    </row>
    <row r="1059" spans="1:13" x14ac:dyDescent="0.25">
      <c r="A1059">
        <v>1000</v>
      </c>
      <c r="B1059">
        <v>1000</v>
      </c>
      <c r="C1059" s="1">
        <v>45961</v>
      </c>
      <c r="D1059">
        <v>94104</v>
      </c>
      <c r="E1059">
        <v>240</v>
      </c>
      <c r="F1059" s="2">
        <v>5414.67</v>
      </c>
      <c r="G1059" s="1">
        <v>45965</v>
      </c>
      <c r="I1059" t="s">
        <v>9</v>
      </c>
      <c r="J1059" s="14">
        <f>IFERROR(VLOOKUP(D1059,'INf. RRHH'!$A:$B,2,0),0)</f>
        <v>2900</v>
      </c>
      <c r="K1059" s="16">
        <f t="shared" si="48"/>
        <v>2514.67</v>
      </c>
      <c r="L1059" s="17">
        <f t="shared" si="49"/>
        <v>966.67</v>
      </c>
      <c r="M1059" s="18">
        <f t="shared" si="50"/>
        <v>3481.34</v>
      </c>
    </row>
    <row r="1060" spans="1:13" x14ac:dyDescent="0.25">
      <c r="A1060">
        <v>1000</v>
      </c>
      <c r="B1060">
        <v>1000</v>
      </c>
      <c r="C1060" s="1">
        <v>45961</v>
      </c>
      <c r="D1060">
        <v>94375</v>
      </c>
      <c r="E1060">
        <v>365</v>
      </c>
      <c r="F1060" s="2">
        <v>6497.53</v>
      </c>
      <c r="G1060" s="1">
        <v>45965</v>
      </c>
      <c r="I1060" t="s">
        <v>9</v>
      </c>
      <c r="J1060" s="14">
        <f>IFERROR(VLOOKUP(D1060,'INf. RRHH'!$A:$B,2,0),0)</f>
        <v>2900</v>
      </c>
      <c r="K1060" s="16">
        <f t="shared" si="48"/>
        <v>3597.5299999999997</v>
      </c>
      <c r="L1060" s="17">
        <f t="shared" si="49"/>
        <v>966.67</v>
      </c>
      <c r="M1060" s="18">
        <f t="shared" si="50"/>
        <v>4564.2</v>
      </c>
    </row>
    <row r="1061" spans="1:13" x14ac:dyDescent="0.25">
      <c r="A1061">
        <v>1000</v>
      </c>
      <c r="B1061">
        <v>1000</v>
      </c>
      <c r="C1061" s="1">
        <v>45961</v>
      </c>
      <c r="D1061">
        <v>95065</v>
      </c>
      <c r="E1061">
        <v>319</v>
      </c>
      <c r="F1061" s="2">
        <v>5548.03</v>
      </c>
      <c r="G1061" s="1">
        <v>45965</v>
      </c>
      <c r="I1061" t="s">
        <v>9</v>
      </c>
      <c r="J1061" s="14">
        <f>IFERROR(VLOOKUP(D1061,'INf. RRHH'!$A:$B,2,0),0)</f>
        <v>2900</v>
      </c>
      <c r="K1061" s="16">
        <f t="shared" si="48"/>
        <v>2648.0299999999997</v>
      </c>
      <c r="L1061" s="17">
        <f t="shared" si="49"/>
        <v>966.67</v>
      </c>
      <c r="M1061" s="18">
        <f t="shared" si="50"/>
        <v>3614.7</v>
      </c>
    </row>
    <row r="1062" spans="1:13" x14ac:dyDescent="0.25">
      <c r="A1062">
        <v>1000</v>
      </c>
      <c r="B1062">
        <v>1000</v>
      </c>
      <c r="C1062" s="1">
        <v>45961</v>
      </c>
      <c r="D1062">
        <v>95164</v>
      </c>
      <c r="E1062">
        <v>261.5</v>
      </c>
      <c r="F1062" s="2">
        <v>5132.55</v>
      </c>
      <c r="G1062" s="1">
        <v>45965</v>
      </c>
      <c r="I1062" t="s">
        <v>9</v>
      </c>
      <c r="J1062" s="14">
        <f>IFERROR(VLOOKUP(D1062,'INf. RRHH'!$A:$B,2,0),0)</f>
        <v>2900</v>
      </c>
      <c r="K1062" s="16">
        <f t="shared" si="48"/>
        <v>2232.5500000000002</v>
      </c>
      <c r="L1062" s="17">
        <f t="shared" si="49"/>
        <v>966.67</v>
      </c>
      <c r="M1062" s="18">
        <f t="shared" si="50"/>
        <v>3199.2200000000003</v>
      </c>
    </row>
    <row r="1063" spans="1:13" x14ac:dyDescent="0.25">
      <c r="A1063">
        <v>1000</v>
      </c>
      <c r="B1063">
        <v>1000</v>
      </c>
      <c r="C1063" s="1">
        <v>45961</v>
      </c>
      <c r="D1063">
        <v>95190</v>
      </c>
      <c r="E1063">
        <v>296</v>
      </c>
      <c r="F1063" s="2">
        <v>5648.89</v>
      </c>
      <c r="G1063" s="1">
        <v>45965</v>
      </c>
      <c r="I1063" t="s">
        <v>9</v>
      </c>
      <c r="J1063" s="14">
        <f>IFERROR(VLOOKUP(D1063,'INf. RRHH'!$A:$B,2,0),0)</f>
        <v>2900</v>
      </c>
      <c r="K1063" s="16">
        <f t="shared" si="48"/>
        <v>2748.8900000000003</v>
      </c>
      <c r="L1063" s="17">
        <f t="shared" si="49"/>
        <v>966.67</v>
      </c>
      <c r="M1063" s="18">
        <f t="shared" si="50"/>
        <v>3715.5600000000004</v>
      </c>
    </row>
    <row r="1064" spans="1:13" x14ac:dyDescent="0.25">
      <c r="A1064">
        <v>1000</v>
      </c>
      <c r="B1064">
        <v>1000</v>
      </c>
      <c r="C1064" s="1">
        <v>45961</v>
      </c>
      <c r="D1064">
        <v>95466</v>
      </c>
      <c r="E1064">
        <v>258</v>
      </c>
      <c r="F1064" s="2">
        <v>2380.33</v>
      </c>
      <c r="G1064" s="1">
        <v>45965</v>
      </c>
      <c r="I1064" t="s">
        <v>9</v>
      </c>
      <c r="J1064" s="14">
        <f>IFERROR(VLOOKUP(D1064,'INf. RRHH'!$A:$B,2,0),0)</f>
        <v>0</v>
      </c>
      <c r="K1064" s="16">
        <f t="shared" si="48"/>
        <v>2380.33</v>
      </c>
      <c r="L1064" s="17">
        <f t="shared" si="49"/>
        <v>0</v>
      </c>
      <c r="M1064" s="18">
        <f t="shared" si="50"/>
        <v>2380.33</v>
      </c>
    </row>
    <row r="1065" spans="1:13" x14ac:dyDescent="0.25">
      <c r="A1065">
        <v>1000</v>
      </c>
      <c r="B1065">
        <v>1000</v>
      </c>
      <c r="C1065" s="1">
        <v>45961</v>
      </c>
      <c r="D1065">
        <v>7677</v>
      </c>
      <c r="E1065">
        <v>350.5</v>
      </c>
      <c r="F1065" s="2">
        <v>8374.93</v>
      </c>
      <c r="G1065" s="1">
        <v>45965</v>
      </c>
      <c r="I1065" t="s">
        <v>9</v>
      </c>
      <c r="J1065" s="14">
        <f>IFERROR(VLOOKUP(D1065,'INf. RRHH'!$A:$B,2,0),0)</f>
        <v>2900</v>
      </c>
      <c r="K1065" s="16">
        <f t="shared" si="48"/>
        <v>5474.93</v>
      </c>
      <c r="L1065" s="17">
        <f t="shared" si="49"/>
        <v>966.67</v>
      </c>
      <c r="M1065" s="18">
        <f t="shared" si="50"/>
        <v>6441.6</v>
      </c>
    </row>
    <row r="1066" spans="1:13" x14ac:dyDescent="0.25">
      <c r="A1066">
        <v>1000</v>
      </c>
      <c r="B1066">
        <v>1000</v>
      </c>
      <c r="C1066" s="1">
        <v>45961</v>
      </c>
      <c r="D1066">
        <v>7928</v>
      </c>
      <c r="E1066">
        <v>272.97000000000003</v>
      </c>
      <c r="F1066" s="2">
        <v>6525.85</v>
      </c>
      <c r="G1066" s="1">
        <v>45965</v>
      </c>
      <c r="I1066" t="s">
        <v>9</v>
      </c>
      <c r="J1066" s="14">
        <f>IFERROR(VLOOKUP(D1066,'INf. RRHH'!$A:$B,2,0),0)</f>
        <v>2900</v>
      </c>
      <c r="K1066" s="16">
        <f t="shared" si="48"/>
        <v>3625.8500000000004</v>
      </c>
      <c r="L1066" s="17">
        <f t="shared" si="49"/>
        <v>966.67</v>
      </c>
      <c r="M1066" s="18">
        <f t="shared" si="50"/>
        <v>4592.5200000000004</v>
      </c>
    </row>
    <row r="1067" spans="1:13" x14ac:dyDescent="0.25">
      <c r="A1067">
        <v>1000</v>
      </c>
      <c r="B1067">
        <v>1000</v>
      </c>
      <c r="C1067" s="1">
        <v>45961</v>
      </c>
      <c r="D1067">
        <v>7944</v>
      </c>
      <c r="E1067">
        <v>240</v>
      </c>
      <c r="F1067" s="2">
        <v>6015.46</v>
      </c>
      <c r="G1067" s="1">
        <v>45965</v>
      </c>
      <c r="I1067" t="s">
        <v>9</v>
      </c>
      <c r="J1067" s="14">
        <f>IFERROR(VLOOKUP(D1067,'INf. RRHH'!$A:$B,2,0),0)</f>
        <v>2900</v>
      </c>
      <c r="K1067" s="16">
        <f t="shared" si="48"/>
        <v>3115.46</v>
      </c>
      <c r="L1067" s="17">
        <f t="shared" si="49"/>
        <v>966.67</v>
      </c>
      <c r="M1067" s="18">
        <f t="shared" si="50"/>
        <v>4082.13</v>
      </c>
    </row>
    <row r="1068" spans="1:13" x14ac:dyDescent="0.25">
      <c r="A1068">
        <v>1000</v>
      </c>
      <c r="B1068">
        <v>1000</v>
      </c>
      <c r="C1068" s="1">
        <v>45961</v>
      </c>
      <c r="D1068">
        <v>7989</v>
      </c>
      <c r="E1068">
        <v>410</v>
      </c>
      <c r="F1068" s="2">
        <v>8322.74</v>
      </c>
      <c r="G1068" s="1">
        <v>45965</v>
      </c>
      <c r="I1068" t="s">
        <v>9</v>
      </c>
      <c r="J1068" s="14">
        <f>IFERROR(VLOOKUP(D1068,'INf. RRHH'!$A:$B,2,0),0)</f>
        <v>2900</v>
      </c>
      <c r="K1068" s="16">
        <f t="shared" si="48"/>
        <v>5422.74</v>
      </c>
      <c r="L1068" s="17">
        <f t="shared" si="49"/>
        <v>966.67</v>
      </c>
      <c r="M1068" s="18">
        <f t="shared" si="50"/>
        <v>6389.41</v>
      </c>
    </row>
    <row r="1069" spans="1:13" x14ac:dyDescent="0.25">
      <c r="A1069">
        <v>1000</v>
      </c>
      <c r="B1069">
        <v>1000</v>
      </c>
      <c r="C1069" s="1">
        <v>45961</v>
      </c>
      <c r="D1069">
        <v>9178</v>
      </c>
      <c r="E1069">
        <v>1920</v>
      </c>
      <c r="F1069" s="2">
        <v>20202.189999999999</v>
      </c>
      <c r="G1069" s="1">
        <v>45965</v>
      </c>
      <c r="I1069" t="s">
        <v>9</v>
      </c>
      <c r="J1069" s="14">
        <f>IFERROR(VLOOKUP(D1069,'INf. RRHH'!$A:$B,2,0),0)</f>
        <v>0</v>
      </c>
      <c r="K1069" s="16">
        <f t="shared" si="48"/>
        <v>20202.189999999999</v>
      </c>
      <c r="L1069" s="17">
        <f t="shared" si="49"/>
        <v>0</v>
      </c>
      <c r="M1069" s="18">
        <f t="shared" si="50"/>
        <v>20202.189999999999</v>
      </c>
    </row>
    <row r="1070" spans="1:13" x14ac:dyDescent="0.25">
      <c r="A1070">
        <v>1000</v>
      </c>
      <c r="B1070">
        <v>1000</v>
      </c>
      <c r="C1070" s="1">
        <v>45961</v>
      </c>
      <c r="D1070">
        <v>90198</v>
      </c>
      <c r="E1070">
        <v>424</v>
      </c>
      <c r="F1070" s="2">
        <v>7364.84</v>
      </c>
      <c r="G1070" s="1">
        <v>45965</v>
      </c>
      <c r="I1070" t="s">
        <v>9</v>
      </c>
      <c r="J1070" s="14">
        <f>IFERROR(VLOOKUP(D1070,'INf. RRHH'!$A:$B,2,0),0)</f>
        <v>2900</v>
      </c>
      <c r="K1070" s="16">
        <f t="shared" si="48"/>
        <v>4464.84</v>
      </c>
      <c r="L1070" s="17">
        <f t="shared" si="49"/>
        <v>966.67</v>
      </c>
      <c r="M1070" s="18">
        <f t="shared" si="50"/>
        <v>5431.51</v>
      </c>
    </row>
    <row r="1071" spans="1:13" x14ac:dyDescent="0.25">
      <c r="A1071">
        <v>1000</v>
      </c>
      <c r="B1071">
        <v>1000</v>
      </c>
      <c r="C1071" s="1">
        <v>45961</v>
      </c>
      <c r="D1071">
        <v>90296</v>
      </c>
      <c r="E1071">
        <v>287</v>
      </c>
      <c r="F1071" s="2">
        <v>5989.51</v>
      </c>
      <c r="G1071" s="1">
        <v>45965</v>
      </c>
      <c r="I1071" t="s">
        <v>9</v>
      </c>
      <c r="J1071" s="14">
        <f>IFERROR(VLOOKUP(D1071,'INf. RRHH'!$A:$B,2,0),0)</f>
        <v>2900</v>
      </c>
      <c r="K1071" s="16">
        <f t="shared" si="48"/>
        <v>3089.51</v>
      </c>
      <c r="L1071" s="17">
        <f t="shared" si="49"/>
        <v>966.67</v>
      </c>
      <c r="M1071" s="18">
        <f t="shared" si="50"/>
        <v>4056.1800000000003</v>
      </c>
    </row>
    <row r="1072" spans="1:13" x14ac:dyDescent="0.25">
      <c r="A1072">
        <v>1000</v>
      </c>
      <c r="B1072">
        <v>1000</v>
      </c>
      <c r="C1072" s="1">
        <v>45961</v>
      </c>
      <c r="D1072">
        <v>90576</v>
      </c>
      <c r="E1072">
        <v>434</v>
      </c>
      <c r="F1072" s="2">
        <v>6637.96</v>
      </c>
      <c r="G1072" s="1">
        <v>45965</v>
      </c>
      <c r="I1072" t="s">
        <v>9</v>
      </c>
      <c r="J1072" s="14">
        <f>IFERROR(VLOOKUP(D1072,'INf. RRHH'!$A:$B,2,0),0)</f>
        <v>2900</v>
      </c>
      <c r="K1072" s="16">
        <f t="shared" si="48"/>
        <v>3737.96</v>
      </c>
      <c r="L1072" s="17">
        <f t="shared" si="49"/>
        <v>966.67</v>
      </c>
      <c r="M1072" s="18">
        <f t="shared" si="50"/>
        <v>4704.63</v>
      </c>
    </row>
    <row r="1073" spans="1:13" x14ac:dyDescent="0.25">
      <c r="A1073">
        <v>1000</v>
      </c>
      <c r="B1073">
        <v>1000</v>
      </c>
      <c r="C1073" s="1">
        <v>45961</v>
      </c>
      <c r="D1073">
        <v>90639</v>
      </c>
      <c r="E1073">
        <v>337</v>
      </c>
      <c r="F1073" s="2">
        <v>7066.35</v>
      </c>
      <c r="G1073" s="1">
        <v>45965</v>
      </c>
      <c r="I1073" t="s">
        <v>9</v>
      </c>
      <c r="J1073" s="14">
        <f>IFERROR(VLOOKUP(D1073,'INf. RRHH'!$A:$B,2,0),0)</f>
        <v>2900</v>
      </c>
      <c r="K1073" s="16">
        <f t="shared" si="48"/>
        <v>4166.3500000000004</v>
      </c>
      <c r="L1073" s="17">
        <f t="shared" si="49"/>
        <v>966.67</v>
      </c>
      <c r="M1073" s="18">
        <f t="shared" si="50"/>
        <v>5133.0200000000004</v>
      </c>
    </row>
    <row r="1074" spans="1:13" x14ac:dyDescent="0.25">
      <c r="A1074">
        <v>1000</v>
      </c>
      <c r="B1074">
        <v>1000</v>
      </c>
      <c r="C1074" s="1">
        <v>45961</v>
      </c>
      <c r="D1074">
        <v>90678</v>
      </c>
      <c r="E1074">
        <v>240</v>
      </c>
      <c r="F1074" s="2">
        <v>3669.1</v>
      </c>
      <c r="G1074" s="1">
        <v>45965</v>
      </c>
      <c r="I1074" t="s">
        <v>9</v>
      </c>
      <c r="J1074" s="14">
        <f>IFERROR(VLOOKUP(D1074,'INf. RRHH'!$A:$B,2,0),0)</f>
        <v>2900</v>
      </c>
      <c r="K1074" s="16">
        <f t="shared" si="48"/>
        <v>769.09999999999991</v>
      </c>
      <c r="L1074" s="17">
        <f t="shared" si="49"/>
        <v>966.67</v>
      </c>
      <c r="M1074" s="18">
        <f t="shared" si="50"/>
        <v>1735.77</v>
      </c>
    </row>
    <row r="1075" spans="1:13" x14ac:dyDescent="0.25">
      <c r="A1075">
        <v>1000</v>
      </c>
      <c r="B1075">
        <v>1000</v>
      </c>
      <c r="C1075" s="1">
        <v>45961</v>
      </c>
      <c r="D1075">
        <v>90684</v>
      </c>
      <c r="E1075">
        <v>349.5</v>
      </c>
      <c r="F1075" s="2">
        <v>6838.85</v>
      </c>
      <c r="G1075" s="1">
        <v>45965</v>
      </c>
      <c r="I1075" t="s">
        <v>9</v>
      </c>
      <c r="J1075" s="14">
        <f>IFERROR(VLOOKUP(D1075,'INf. RRHH'!$A:$B,2,0),0)</f>
        <v>2900</v>
      </c>
      <c r="K1075" s="16">
        <f t="shared" si="48"/>
        <v>3938.8500000000004</v>
      </c>
      <c r="L1075" s="17">
        <f t="shared" si="49"/>
        <v>966.67</v>
      </c>
      <c r="M1075" s="18">
        <f t="shared" si="50"/>
        <v>4905.5200000000004</v>
      </c>
    </row>
    <row r="1076" spans="1:13" x14ac:dyDescent="0.25">
      <c r="A1076">
        <v>1000</v>
      </c>
      <c r="B1076">
        <v>1000</v>
      </c>
      <c r="C1076" s="1">
        <v>45961</v>
      </c>
      <c r="D1076">
        <v>90693</v>
      </c>
      <c r="E1076">
        <v>326.5</v>
      </c>
      <c r="F1076" s="2">
        <v>6522.33</v>
      </c>
      <c r="G1076" s="1">
        <v>45965</v>
      </c>
      <c r="I1076" t="s">
        <v>9</v>
      </c>
      <c r="J1076" s="14">
        <f>IFERROR(VLOOKUP(D1076,'INf. RRHH'!$A:$B,2,0),0)</f>
        <v>2900</v>
      </c>
      <c r="K1076" s="16">
        <f t="shared" si="48"/>
        <v>3622.33</v>
      </c>
      <c r="L1076" s="17">
        <f t="shared" si="49"/>
        <v>966.67</v>
      </c>
      <c r="M1076" s="18">
        <f t="shared" si="50"/>
        <v>4589</v>
      </c>
    </row>
    <row r="1077" spans="1:13" x14ac:dyDescent="0.25">
      <c r="A1077">
        <v>1000</v>
      </c>
      <c r="B1077">
        <v>1000</v>
      </c>
      <c r="C1077" s="1">
        <v>45961</v>
      </c>
      <c r="D1077">
        <v>90818</v>
      </c>
      <c r="E1077">
        <v>156</v>
      </c>
      <c r="F1077" s="2">
        <v>5355.72</v>
      </c>
      <c r="G1077" s="1">
        <v>45965</v>
      </c>
      <c r="I1077" t="s">
        <v>9</v>
      </c>
      <c r="J1077" s="14">
        <f>IFERROR(VLOOKUP(D1077,'INf. RRHH'!$A:$B,2,0),0)</f>
        <v>2900</v>
      </c>
      <c r="K1077" s="16">
        <f t="shared" si="48"/>
        <v>2455.7200000000003</v>
      </c>
      <c r="L1077" s="17">
        <f t="shared" si="49"/>
        <v>966.67</v>
      </c>
      <c r="M1077" s="18">
        <f t="shared" si="50"/>
        <v>3422.3900000000003</v>
      </c>
    </row>
    <row r="1078" spans="1:13" x14ac:dyDescent="0.25">
      <c r="A1078">
        <v>1000</v>
      </c>
      <c r="B1078">
        <v>1000</v>
      </c>
      <c r="C1078" s="1">
        <v>45961</v>
      </c>
      <c r="D1078">
        <v>91134</v>
      </c>
      <c r="E1078">
        <v>240</v>
      </c>
      <c r="F1078" s="2">
        <v>3904.09</v>
      </c>
      <c r="G1078" s="1">
        <v>45965</v>
      </c>
      <c r="I1078" t="s">
        <v>9</v>
      </c>
      <c r="J1078" s="14">
        <f>IFERROR(VLOOKUP(D1078,'INf. RRHH'!$A:$B,2,0),0)</f>
        <v>2900</v>
      </c>
      <c r="K1078" s="16">
        <f t="shared" si="48"/>
        <v>1004.0900000000001</v>
      </c>
      <c r="L1078" s="17">
        <f t="shared" si="49"/>
        <v>966.67</v>
      </c>
      <c r="M1078" s="18">
        <f t="shared" si="50"/>
        <v>1970.7600000000002</v>
      </c>
    </row>
    <row r="1079" spans="1:13" x14ac:dyDescent="0.25">
      <c r="A1079">
        <v>1000</v>
      </c>
      <c r="B1079">
        <v>1000</v>
      </c>
      <c r="C1079" s="1">
        <v>45961</v>
      </c>
      <c r="D1079">
        <v>91199</v>
      </c>
      <c r="E1079">
        <v>240</v>
      </c>
      <c r="F1079" s="2">
        <v>6283.58</v>
      </c>
      <c r="G1079" s="1">
        <v>45965</v>
      </c>
      <c r="I1079" t="s">
        <v>9</v>
      </c>
      <c r="J1079" s="14">
        <f>IFERROR(VLOOKUP(D1079,'INf. RRHH'!$A:$B,2,0),0)</f>
        <v>2900</v>
      </c>
      <c r="K1079" s="16">
        <f t="shared" si="48"/>
        <v>3383.58</v>
      </c>
      <c r="L1079" s="17">
        <f t="shared" si="49"/>
        <v>966.67</v>
      </c>
      <c r="M1079" s="18">
        <f t="shared" si="50"/>
        <v>4350.25</v>
      </c>
    </row>
    <row r="1080" spans="1:13" x14ac:dyDescent="0.25">
      <c r="A1080">
        <v>1000</v>
      </c>
      <c r="B1080">
        <v>1000</v>
      </c>
      <c r="C1080" s="1">
        <v>45961</v>
      </c>
      <c r="D1080">
        <v>91314</v>
      </c>
      <c r="E1080">
        <v>353</v>
      </c>
      <c r="F1080" s="2">
        <v>6624.02</v>
      </c>
      <c r="G1080" s="1">
        <v>45965</v>
      </c>
      <c r="I1080" t="s">
        <v>9</v>
      </c>
      <c r="J1080" s="14">
        <f>IFERROR(VLOOKUP(D1080,'INf. RRHH'!$A:$B,2,0),0)</f>
        <v>2900</v>
      </c>
      <c r="K1080" s="16">
        <f t="shared" si="48"/>
        <v>3724.0200000000004</v>
      </c>
      <c r="L1080" s="17">
        <f t="shared" si="49"/>
        <v>966.67</v>
      </c>
      <c r="M1080" s="18">
        <f t="shared" si="50"/>
        <v>4690.6900000000005</v>
      </c>
    </row>
    <row r="1081" spans="1:13" x14ac:dyDescent="0.25">
      <c r="A1081">
        <v>1000</v>
      </c>
      <c r="B1081">
        <v>1000</v>
      </c>
      <c r="C1081" s="1">
        <v>45961</v>
      </c>
      <c r="D1081">
        <v>91469</v>
      </c>
      <c r="E1081">
        <v>246.06</v>
      </c>
      <c r="F1081" s="2">
        <v>6084.04</v>
      </c>
      <c r="G1081" s="1">
        <v>45965</v>
      </c>
      <c r="I1081" t="s">
        <v>9</v>
      </c>
      <c r="J1081" s="14">
        <f>IFERROR(VLOOKUP(D1081,'INf. RRHH'!$A:$B,2,0),0)</f>
        <v>2900</v>
      </c>
      <c r="K1081" s="16">
        <f t="shared" si="48"/>
        <v>3184.04</v>
      </c>
      <c r="L1081" s="17">
        <f t="shared" si="49"/>
        <v>966.67</v>
      </c>
      <c r="M1081" s="18">
        <f t="shared" si="50"/>
        <v>4150.71</v>
      </c>
    </row>
    <row r="1082" spans="1:13" x14ac:dyDescent="0.25">
      <c r="A1082">
        <v>1000</v>
      </c>
      <c r="B1082">
        <v>1000</v>
      </c>
      <c r="C1082" s="1">
        <v>45961</v>
      </c>
      <c r="D1082">
        <v>91557</v>
      </c>
      <c r="E1082">
        <v>292.5</v>
      </c>
      <c r="F1082" s="2">
        <v>7103.83</v>
      </c>
      <c r="G1082" s="1">
        <v>45965</v>
      </c>
      <c r="I1082" t="s">
        <v>9</v>
      </c>
      <c r="J1082" s="14">
        <f>IFERROR(VLOOKUP(D1082,'INf. RRHH'!$A:$B,2,0),0)</f>
        <v>2900</v>
      </c>
      <c r="K1082" s="16">
        <f t="shared" si="48"/>
        <v>4203.83</v>
      </c>
      <c r="L1082" s="17">
        <f t="shared" si="49"/>
        <v>966.67</v>
      </c>
      <c r="M1082" s="18">
        <f t="shared" si="50"/>
        <v>5170.5</v>
      </c>
    </row>
    <row r="1083" spans="1:13" x14ac:dyDescent="0.25">
      <c r="A1083">
        <v>1000</v>
      </c>
      <c r="B1083">
        <v>1000</v>
      </c>
      <c r="C1083" s="1">
        <v>45961</v>
      </c>
      <c r="D1083">
        <v>91646</v>
      </c>
      <c r="E1083">
        <v>268</v>
      </c>
      <c r="F1083" s="2">
        <v>6726.23</v>
      </c>
      <c r="G1083" s="1">
        <v>45965</v>
      </c>
      <c r="I1083" t="s">
        <v>9</v>
      </c>
      <c r="J1083" s="14">
        <f>IFERROR(VLOOKUP(D1083,'INf. RRHH'!$A:$B,2,0),0)</f>
        <v>2900</v>
      </c>
      <c r="K1083" s="16">
        <f t="shared" si="48"/>
        <v>3826.2299999999996</v>
      </c>
      <c r="L1083" s="17">
        <f t="shared" si="49"/>
        <v>966.67</v>
      </c>
      <c r="M1083" s="18">
        <f t="shared" si="50"/>
        <v>4792.8999999999996</v>
      </c>
    </row>
    <row r="1084" spans="1:13" x14ac:dyDescent="0.25">
      <c r="A1084">
        <v>1000</v>
      </c>
      <c r="B1084">
        <v>1000</v>
      </c>
      <c r="C1084" s="1">
        <v>45961</v>
      </c>
      <c r="D1084">
        <v>91853</v>
      </c>
      <c r="E1084">
        <v>256.75</v>
      </c>
      <c r="F1084" s="2">
        <v>5424.66</v>
      </c>
      <c r="G1084" s="1">
        <v>45965</v>
      </c>
      <c r="I1084" t="s">
        <v>9</v>
      </c>
      <c r="J1084" s="14">
        <f>IFERROR(VLOOKUP(D1084,'INf. RRHH'!$A:$B,2,0),0)</f>
        <v>2900</v>
      </c>
      <c r="K1084" s="16">
        <f t="shared" si="48"/>
        <v>2524.66</v>
      </c>
      <c r="L1084" s="17">
        <f t="shared" si="49"/>
        <v>966.67</v>
      </c>
      <c r="M1084" s="18">
        <f t="shared" si="50"/>
        <v>3491.33</v>
      </c>
    </row>
    <row r="1085" spans="1:13" x14ac:dyDescent="0.25">
      <c r="A1085">
        <v>1000</v>
      </c>
      <c r="B1085">
        <v>1000</v>
      </c>
      <c r="C1085" s="1">
        <v>45961</v>
      </c>
      <c r="D1085">
        <v>92588</v>
      </c>
      <c r="E1085">
        <v>284.5</v>
      </c>
      <c r="F1085" s="2">
        <v>6344.76</v>
      </c>
      <c r="G1085" s="1">
        <v>45965</v>
      </c>
      <c r="I1085" t="s">
        <v>9</v>
      </c>
      <c r="J1085" s="14">
        <f>IFERROR(VLOOKUP(D1085,'INf. RRHH'!$A:$B,2,0),0)</f>
        <v>2900</v>
      </c>
      <c r="K1085" s="16">
        <f t="shared" si="48"/>
        <v>3444.76</v>
      </c>
      <c r="L1085" s="17">
        <f t="shared" si="49"/>
        <v>966.67</v>
      </c>
      <c r="M1085" s="18">
        <f t="shared" si="50"/>
        <v>4411.43</v>
      </c>
    </row>
    <row r="1086" spans="1:13" x14ac:dyDescent="0.25">
      <c r="A1086">
        <v>1000</v>
      </c>
      <c r="B1086">
        <v>1000</v>
      </c>
      <c r="C1086" s="1">
        <v>45961</v>
      </c>
      <c r="D1086">
        <v>92675</v>
      </c>
      <c r="E1086">
        <v>338</v>
      </c>
      <c r="F1086" s="2">
        <v>7140.65</v>
      </c>
      <c r="G1086" s="1">
        <v>45965</v>
      </c>
      <c r="I1086" t="s">
        <v>9</v>
      </c>
      <c r="J1086" s="14">
        <f>IFERROR(VLOOKUP(D1086,'INf. RRHH'!$A:$B,2,0),0)</f>
        <v>2900</v>
      </c>
      <c r="K1086" s="16">
        <f t="shared" si="48"/>
        <v>4240.6499999999996</v>
      </c>
      <c r="L1086" s="17">
        <f t="shared" si="49"/>
        <v>966.67</v>
      </c>
      <c r="M1086" s="18">
        <f t="shared" si="50"/>
        <v>5207.32</v>
      </c>
    </row>
    <row r="1087" spans="1:13" x14ac:dyDescent="0.25">
      <c r="A1087">
        <v>1000</v>
      </c>
      <c r="B1087">
        <v>1000</v>
      </c>
      <c r="C1087" s="1">
        <v>45961</v>
      </c>
      <c r="D1087">
        <v>92794</v>
      </c>
      <c r="E1087">
        <v>320</v>
      </c>
      <c r="F1087" s="2">
        <v>4982.24</v>
      </c>
      <c r="G1087" s="1">
        <v>45965</v>
      </c>
      <c r="I1087" t="s">
        <v>9</v>
      </c>
      <c r="J1087" s="14">
        <f>IFERROR(VLOOKUP(D1087,'INf. RRHH'!$A:$B,2,0),0)</f>
        <v>2900</v>
      </c>
      <c r="K1087" s="16">
        <f t="shared" si="48"/>
        <v>2082.2399999999998</v>
      </c>
      <c r="L1087" s="17">
        <f t="shared" si="49"/>
        <v>966.67</v>
      </c>
      <c r="M1087" s="18">
        <f t="shared" si="50"/>
        <v>3048.91</v>
      </c>
    </row>
    <row r="1088" spans="1:13" x14ac:dyDescent="0.25">
      <c r="A1088">
        <v>1000</v>
      </c>
      <c r="B1088">
        <v>1000</v>
      </c>
      <c r="C1088" s="1">
        <v>45961</v>
      </c>
      <c r="D1088">
        <v>92813</v>
      </c>
      <c r="E1088">
        <v>240</v>
      </c>
      <c r="F1088" s="2">
        <v>7102.27</v>
      </c>
      <c r="G1088" s="1">
        <v>45965</v>
      </c>
      <c r="I1088" t="s">
        <v>9</v>
      </c>
      <c r="J1088" s="14">
        <f>IFERROR(VLOOKUP(D1088,'INf. RRHH'!$A:$B,2,0),0)</f>
        <v>2900</v>
      </c>
      <c r="K1088" s="16">
        <f t="shared" si="48"/>
        <v>4202.2700000000004</v>
      </c>
      <c r="L1088" s="17">
        <f t="shared" si="49"/>
        <v>966.67</v>
      </c>
      <c r="M1088" s="18">
        <f t="shared" si="50"/>
        <v>5168.9400000000005</v>
      </c>
    </row>
    <row r="1089" spans="1:13" x14ac:dyDescent="0.25">
      <c r="A1089">
        <v>1000</v>
      </c>
      <c r="B1089">
        <v>1000</v>
      </c>
      <c r="C1089" s="1">
        <v>45961</v>
      </c>
      <c r="D1089">
        <v>92863</v>
      </c>
      <c r="E1089">
        <v>264.5</v>
      </c>
      <c r="F1089" s="2">
        <v>6208.81</v>
      </c>
      <c r="G1089" s="1">
        <v>45965</v>
      </c>
      <c r="I1089" t="s">
        <v>9</v>
      </c>
      <c r="J1089" s="14">
        <f>IFERROR(VLOOKUP(D1089,'INf. RRHH'!$A:$B,2,0),0)</f>
        <v>2900</v>
      </c>
      <c r="K1089" s="16">
        <f t="shared" si="48"/>
        <v>3308.8100000000004</v>
      </c>
      <c r="L1089" s="17">
        <f t="shared" si="49"/>
        <v>966.67</v>
      </c>
      <c r="M1089" s="18">
        <f t="shared" si="50"/>
        <v>4275.4800000000005</v>
      </c>
    </row>
    <row r="1090" spans="1:13" x14ac:dyDescent="0.25">
      <c r="A1090">
        <v>1000</v>
      </c>
      <c r="B1090">
        <v>1000</v>
      </c>
      <c r="C1090" s="1">
        <v>45961</v>
      </c>
      <c r="D1090">
        <v>92924</v>
      </c>
      <c r="E1090">
        <v>195.5</v>
      </c>
      <c r="F1090" s="2">
        <v>5561.14</v>
      </c>
      <c r="G1090" s="1">
        <v>45965</v>
      </c>
      <c r="I1090" t="s">
        <v>9</v>
      </c>
      <c r="J1090" s="14">
        <f>IFERROR(VLOOKUP(D1090,'INf. RRHH'!$A:$B,2,0),0)</f>
        <v>2900</v>
      </c>
      <c r="K1090" s="16">
        <f t="shared" si="48"/>
        <v>2661.1400000000003</v>
      </c>
      <c r="L1090" s="17">
        <f t="shared" si="49"/>
        <v>966.67</v>
      </c>
      <c r="M1090" s="18">
        <f t="shared" si="50"/>
        <v>3627.8100000000004</v>
      </c>
    </row>
    <row r="1091" spans="1:13" x14ac:dyDescent="0.25">
      <c r="A1091">
        <v>1000</v>
      </c>
      <c r="B1091">
        <v>1000</v>
      </c>
      <c r="C1091" s="1">
        <v>45961</v>
      </c>
      <c r="D1091">
        <v>93309</v>
      </c>
      <c r="E1091">
        <v>224</v>
      </c>
      <c r="F1091" s="2">
        <v>5057.1000000000004</v>
      </c>
      <c r="G1091" s="1">
        <v>45965</v>
      </c>
      <c r="I1091" t="s">
        <v>9</v>
      </c>
      <c r="J1091" s="14">
        <f>IFERROR(VLOOKUP(D1091,'INf. RRHH'!$A:$B,2,0),0)</f>
        <v>2900</v>
      </c>
      <c r="K1091" s="16">
        <f t="shared" ref="K1091:K1154" si="51">+F1091-J1091</f>
        <v>2157.1000000000004</v>
      </c>
      <c r="L1091" s="17">
        <f t="shared" ref="L1091:L1154" si="52">ROUND(J1091/3,2)</f>
        <v>966.67</v>
      </c>
      <c r="M1091" s="18">
        <f t="shared" ref="M1091:M1154" si="53">+K1091+L1091</f>
        <v>3123.7700000000004</v>
      </c>
    </row>
    <row r="1092" spans="1:13" x14ac:dyDescent="0.25">
      <c r="A1092">
        <v>1000</v>
      </c>
      <c r="B1092">
        <v>1000</v>
      </c>
      <c r="C1092" s="1">
        <v>45961</v>
      </c>
      <c r="D1092">
        <v>93336</v>
      </c>
      <c r="E1092">
        <v>386</v>
      </c>
      <c r="F1092" s="2">
        <v>7104.34</v>
      </c>
      <c r="G1092" s="1">
        <v>45965</v>
      </c>
      <c r="I1092" t="s">
        <v>9</v>
      </c>
      <c r="J1092" s="14">
        <f>IFERROR(VLOOKUP(D1092,'INf. RRHH'!$A:$B,2,0),0)</f>
        <v>2900</v>
      </c>
      <c r="K1092" s="16">
        <f t="shared" si="51"/>
        <v>4204.34</v>
      </c>
      <c r="L1092" s="17">
        <f t="shared" si="52"/>
        <v>966.67</v>
      </c>
      <c r="M1092" s="18">
        <f t="shared" si="53"/>
        <v>5171.01</v>
      </c>
    </row>
    <row r="1093" spans="1:13" x14ac:dyDescent="0.25">
      <c r="A1093">
        <v>1000</v>
      </c>
      <c r="B1093">
        <v>1000</v>
      </c>
      <c r="C1093" s="1">
        <v>45961</v>
      </c>
      <c r="D1093">
        <v>93338</v>
      </c>
      <c r="E1093">
        <v>268.25</v>
      </c>
      <c r="F1093" s="2">
        <v>5787.19</v>
      </c>
      <c r="G1093" s="1">
        <v>45965</v>
      </c>
      <c r="I1093" t="s">
        <v>9</v>
      </c>
      <c r="J1093" s="14">
        <f>IFERROR(VLOOKUP(D1093,'INf. RRHH'!$A:$B,2,0),0)</f>
        <v>2900</v>
      </c>
      <c r="K1093" s="16">
        <f t="shared" si="51"/>
        <v>2887.1899999999996</v>
      </c>
      <c r="L1093" s="17">
        <f t="shared" si="52"/>
        <v>966.67</v>
      </c>
      <c r="M1093" s="18">
        <f t="shared" si="53"/>
        <v>3853.8599999999997</v>
      </c>
    </row>
    <row r="1094" spans="1:13" x14ac:dyDescent="0.25">
      <c r="A1094">
        <v>1000</v>
      </c>
      <c r="B1094">
        <v>1000</v>
      </c>
      <c r="C1094" s="1">
        <v>45961</v>
      </c>
      <c r="D1094">
        <v>93420</v>
      </c>
      <c r="E1094">
        <v>232</v>
      </c>
      <c r="F1094" s="2">
        <v>5134.47</v>
      </c>
      <c r="G1094" s="1">
        <v>45965</v>
      </c>
      <c r="I1094" t="s">
        <v>9</v>
      </c>
      <c r="J1094" s="14">
        <f>IFERROR(VLOOKUP(D1094,'INf. RRHH'!$A:$B,2,0),0)</f>
        <v>2900</v>
      </c>
      <c r="K1094" s="16">
        <f t="shared" si="51"/>
        <v>2234.4700000000003</v>
      </c>
      <c r="L1094" s="17">
        <f t="shared" si="52"/>
        <v>966.67</v>
      </c>
      <c r="M1094" s="18">
        <f t="shared" si="53"/>
        <v>3201.1400000000003</v>
      </c>
    </row>
    <row r="1095" spans="1:13" x14ac:dyDescent="0.25">
      <c r="A1095">
        <v>1000</v>
      </c>
      <c r="B1095">
        <v>1000</v>
      </c>
      <c r="C1095" s="1">
        <v>45961</v>
      </c>
      <c r="D1095">
        <v>93496</v>
      </c>
      <c r="E1095">
        <v>328</v>
      </c>
      <c r="F1095" s="2">
        <v>4531.54</v>
      </c>
      <c r="G1095" s="1">
        <v>45965</v>
      </c>
      <c r="I1095" t="s">
        <v>9</v>
      </c>
      <c r="J1095" s="14">
        <f>IFERROR(VLOOKUP(D1095,'INf. RRHH'!$A:$B,2,0),0)</f>
        <v>2900</v>
      </c>
      <c r="K1095" s="16">
        <f t="shared" si="51"/>
        <v>1631.54</v>
      </c>
      <c r="L1095" s="17">
        <f t="shared" si="52"/>
        <v>966.67</v>
      </c>
      <c r="M1095" s="18">
        <f t="shared" si="53"/>
        <v>2598.21</v>
      </c>
    </row>
    <row r="1096" spans="1:13" x14ac:dyDescent="0.25">
      <c r="A1096">
        <v>1000</v>
      </c>
      <c r="B1096">
        <v>1000</v>
      </c>
      <c r="C1096" s="1">
        <v>45961</v>
      </c>
      <c r="D1096">
        <v>93808</v>
      </c>
      <c r="E1096">
        <v>329</v>
      </c>
      <c r="F1096" s="2">
        <v>6463.41</v>
      </c>
      <c r="G1096" s="1">
        <v>45965</v>
      </c>
      <c r="I1096" t="s">
        <v>9</v>
      </c>
      <c r="J1096" s="14">
        <f>IFERROR(VLOOKUP(D1096,'INf. RRHH'!$A:$B,2,0),0)</f>
        <v>2900</v>
      </c>
      <c r="K1096" s="16">
        <f t="shared" si="51"/>
        <v>3563.41</v>
      </c>
      <c r="L1096" s="17">
        <f t="shared" si="52"/>
        <v>966.67</v>
      </c>
      <c r="M1096" s="18">
        <f t="shared" si="53"/>
        <v>4530.08</v>
      </c>
    </row>
    <row r="1097" spans="1:13" x14ac:dyDescent="0.25">
      <c r="A1097">
        <v>1000</v>
      </c>
      <c r="B1097">
        <v>1000</v>
      </c>
      <c r="C1097" s="1">
        <v>45961</v>
      </c>
      <c r="D1097">
        <v>93847</v>
      </c>
      <c r="E1097">
        <v>240</v>
      </c>
      <c r="F1097" s="2">
        <v>5313.9</v>
      </c>
      <c r="G1097" s="1">
        <v>45965</v>
      </c>
      <c r="I1097" t="s">
        <v>9</v>
      </c>
      <c r="J1097" s="14">
        <f>IFERROR(VLOOKUP(D1097,'INf. RRHH'!$A:$B,2,0),0)</f>
        <v>2900</v>
      </c>
      <c r="K1097" s="16">
        <f t="shared" si="51"/>
        <v>2413.8999999999996</v>
      </c>
      <c r="L1097" s="17">
        <f t="shared" si="52"/>
        <v>966.67</v>
      </c>
      <c r="M1097" s="18">
        <f t="shared" si="53"/>
        <v>3380.5699999999997</v>
      </c>
    </row>
    <row r="1098" spans="1:13" x14ac:dyDescent="0.25">
      <c r="A1098">
        <v>1000</v>
      </c>
      <c r="B1098">
        <v>1000</v>
      </c>
      <c r="C1098" s="1">
        <v>45961</v>
      </c>
      <c r="D1098">
        <v>93946</v>
      </c>
      <c r="E1098">
        <v>240</v>
      </c>
      <c r="F1098" s="2">
        <v>3948</v>
      </c>
      <c r="G1098" s="1">
        <v>45965</v>
      </c>
      <c r="I1098" t="s">
        <v>9</v>
      </c>
      <c r="J1098" s="14">
        <f>IFERROR(VLOOKUP(D1098,'INf. RRHH'!$A:$B,2,0),0)</f>
        <v>2900</v>
      </c>
      <c r="K1098" s="16">
        <f t="shared" si="51"/>
        <v>1048</v>
      </c>
      <c r="L1098" s="17">
        <f t="shared" si="52"/>
        <v>966.67</v>
      </c>
      <c r="M1098" s="18">
        <f t="shared" si="53"/>
        <v>2014.67</v>
      </c>
    </row>
    <row r="1099" spans="1:13" x14ac:dyDescent="0.25">
      <c r="A1099">
        <v>1000</v>
      </c>
      <c r="B1099">
        <v>1000</v>
      </c>
      <c r="C1099" s="1">
        <v>45961</v>
      </c>
      <c r="D1099">
        <v>93978</v>
      </c>
      <c r="E1099">
        <v>282</v>
      </c>
      <c r="F1099" s="2">
        <v>6373.4</v>
      </c>
      <c r="G1099" s="1">
        <v>45965</v>
      </c>
      <c r="I1099" t="s">
        <v>9</v>
      </c>
      <c r="J1099" s="14">
        <f>IFERROR(VLOOKUP(D1099,'INf. RRHH'!$A:$B,2,0),0)</f>
        <v>2900</v>
      </c>
      <c r="K1099" s="16">
        <f t="shared" si="51"/>
        <v>3473.3999999999996</v>
      </c>
      <c r="L1099" s="17">
        <f t="shared" si="52"/>
        <v>966.67</v>
      </c>
      <c r="M1099" s="18">
        <f t="shared" si="53"/>
        <v>4440.07</v>
      </c>
    </row>
    <row r="1100" spans="1:13" x14ac:dyDescent="0.25">
      <c r="A1100">
        <v>1000</v>
      </c>
      <c r="B1100">
        <v>1000</v>
      </c>
      <c r="C1100" s="1">
        <v>45961</v>
      </c>
      <c r="D1100">
        <v>94190</v>
      </c>
      <c r="E1100">
        <v>240</v>
      </c>
      <c r="F1100" s="2">
        <v>5395.2</v>
      </c>
      <c r="G1100" s="1">
        <v>45965</v>
      </c>
      <c r="I1100" t="s">
        <v>9</v>
      </c>
      <c r="J1100" s="14">
        <f>IFERROR(VLOOKUP(D1100,'INf. RRHH'!$A:$B,2,0),0)</f>
        <v>2900</v>
      </c>
      <c r="K1100" s="16">
        <f t="shared" si="51"/>
        <v>2495.1999999999998</v>
      </c>
      <c r="L1100" s="17">
        <f t="shared" si="52"/>
        <v>966.67</v>
      </c>
      <c r="M1100" s="18">
        <f t="shared" si="53"/>
        <v>3461.87</v>
      </c>
    </row>
    <row r="1101" spans="1:13" x14ac:dyDescent="0.25">
      <c r="A1101">
        <v>1000</v>
      </c>
      <c r="B1101">
        <v>1000</v>
      </c>
      <c r="C1101" s="1">
        <v>45961</v>
      </c>
      <c r="D1101">
        <v>94376</v>
      </c>
      <c r="E1101">
        <v>240</v>
      </c>
      <c r="F1101" s="2">
        <v>5325.81</v>
      </c>
      <c r="G1101" s="1">
        <v>45965</v>
      </c>
      <c r="I1101" t="s">
        <v>9</v>
      </c>
      <c r="J1101" s="14">
        <f>IFERROR(VLOOKUP(D1101,'INf. RRHH'!$A:$B,2,0),0)</f>
        <v>2900</v>
      </c>
      <c r="K1101" s="16">
        <f t="shared" si="51"/>
        <v>2425.8100000000004</v>
      </c>
      <c r="L1101" s="17">
        <f t="shared" si="52"/>
        <v>966.67</v>
      </c>
      <c r="M1101" s="18">
        <f t="shared" si="53"/>
        <v>3392.4800000000005</v>
      </c>
    </row>
    <row r="1102" spans="1:13" x14ac:dyDescent="0.25">
      <c r="A1102">
        <v>1000</v>
      </c>
      <c r="B1102">
        <v>1000</v>
      </c>
      <c r="C1102" s="1">
        <v>45961</v>
      </c>
      <c r="D1102">
        <v>94493</v>
      </c>
      <c r="E1102">
        <v>240</v>
      </c>
      <c r="F1102" s="2">
        <v>4390.91</v>
      </c>
      <c r="G1102" s="1">
        <v>45965</v>
      </c>
      <c r="I1102" t="s">
        <v>9</v>
      </c>
      <c r="J1102" s="14">
        <f>IFERROR(VLOOKUP(D1102,'INf. RRHH'!$A:$B,2,0),0)</f>
        <v>2900</v>
      </c>
      <c r="K1102" s="16">
        <f t="shared" si="51"/>
        <v>1490.9099999999999</v>
      </c>
      <c r="L1102" s="17">
        <f t="shared" si="52"/>
        <v>966.67</v>
      </c>
      <c r="M1102" s="18">
        <f t="shared" si="53"/>
        <v>2457.58</v>
      </c>
    </row>
    <row r="1103" spans="1:13" x14ac:dyDescent="0.25">
      <c r="A1103">
        <v>1000</v>
      </c>
      <c r="B1103">
        <v>1000</v>
      </c>
      <c r="C1103" s="1">
        <v>45961</v>
      </c>
      <c r="D1103">
        <v>94585</v>
      </c>
      <c r="E1103">
        <v>224</v>
      </c>
      <c r="F1103" s="2">
        <v>5058.6099999999997</v>
      </c>
      <c r="G1103" s="1">
        <v>45965</v>
      </c>
      <c r="I1103" t="s">
        <v>9</v>
      </c>
      <c r="J1103" s="14">
        <f>IFERROR(VLOOKUP(D1103,'INf. RRHH'!$A:$B,2,0),0)</f>
        <v>2900</v>
      </c>
      <c r="K1103" s="16">
        <f t="shared" si="51"/>
        <v>2158.6099999999997</v>
      </c>
      <c r="L1103" s="17">
        <f t="shared" si="52"/>
        <v>966.67</v>
      </c>
      <c r="M1103" s="18">
        <f t="shared" si="53"/>
        <v>3125.2799999999997</v>
      </c>
    </row>
    <row r="1104" spans="1:13" x14ac:dyDescent="0.25">
      <c r="A1104">
        <v>1000</v>
      </c>
      <c r="B1104">
        <v>1000</v>
      </c>
      <c r="C1104" s="1">
        <v>45961</v>
      </c>
      <c r="D1104">
        <v>94765</v>
      </c>
      <c r="E1104">
        <v>240</v>
      </c>
      <c r="F1104" s="2">
        <v>5210.96</v>
      </c>
      <c r="G1104" s="1">
        <v>45965</v>
      </c>
      <c r="I1104" t="s">
        <v>9</v>
      </c>
      <c r="J1104" s="14">
        <f>IFERROR(VLOOKUP(D1104,'INf. RRHH'!$A:$B,2,0),0)</f>
        <v>2900</v>
      </c>
      <c r="K1104" s="16">
        <f t="shared" si="51"/>
        <v>2310.96</v>
      </c>
      <c r="L1104" s="17">
        <f t="shared" si="52"/>
        <v>966.67</v>
      </c>
      <c r="M1104" s="18">
        <f t="shared" si="53"/>
        <v>3277.63</v>
      </c>
    </row>
    <row r="1105" spans="1:13" x14ac:dyDescent="0.25">
      <c r="A1105">
        <v>1000</v>
      </c>
      <c r="B1105">
        <v>1000</v>
      </c>
      <c r="C1105" s="1">
        <v>45961</v>
      </c>
      <c r="D1105">
        <v>94774</v>
      </c>
      <c r="E1105">
        <v>252</v>
      </c>
      <c r="F1105" s="2">
        <v>5681.54</v>
      </c>
      <c r="G1105" s="1">
        <v>45965</v>
      </c>
      <c r="I1105" t="s">
        <v>9</v>
      </c>
      <c r="J1105" s="14">
        <f>IFERROR(VLOOKUP(D1105,'INf. RRHH'!$A:$B,2,0),0)</f>
        <v>2900</v>
      </c>
      <c r="K1105" s="16">
        <f t="shared" si="51"/>
        <v>2781.54</v>
      </c>
      <c r="L1105" s="17">
        <f t="shared" si="52"/>
        <v>966.67</v>
      </c>
      <c r="M1105" s="18">
        <f t="shared" si="53"/>
        <v>3748.21</v>
      </c>
    </row>
    <row r="1106" spans="1:13" x14ac:dyDescent="0.25">
      <c r="A1106">
        <v>1000</v>
      </c>
      <c r="B1106">
        <v>1000</v>
      </c>
      <c r="C1106" s="1">
        <v>45961</v>
      </c>
      <c r="D1106">
        <v>94777</v>
      </c>
      <c r="E1106">
        <v>296</v>
      </c>
      <c r="F1106" s="2">
        <v>5869.66</v>
      </c>
      <c r="G1106" s="1">
        <v>45965</v>
      </c>
      <c r="I1106" t="s">
        <v>9</v>
      </c>
      <c r="J1106" s="14">
        <f>IFERROR(VLOOKUP(D1106,'INf. RRHH'!$A:$B,2,0),0)</f>
        <v>2900</v>
      </c>
      <c r="K1106" s="16">
        <f t="shared" si="51"/>
        <v>2969.66</v>
      </c>
      <c r="L1106" s="17">
        <f t="shared" si="52"/>
        <v>966.67</v>
      </c>
      <c r="M1106" s="18">
        <f t="shared" si="53"/>
        <v>3936.33</v>
      </c>
    </row>
    <row r="1107" spans="1:13" x14ac:dyDescent="0.25">
      <c r="A1107">
        <v>1000</v>
      </c>
      <c r="B1107">
        <v>1000</v>
      </c>
      <c r="C1107" s="1">
        <v>45961</v>
      </c>
      <c r="D1107">
        <v>94864</v>
      </c>
      <c r="E1107">
        <v>214</v>
      </c>
      <c r="F1107" s="2">
        <v>4786.6899999999996</v>
      </c>
      <c r="G1107" s="1">
        <v>45965</v>
      </c>
      <c r="I1107" t="s">
        <v>9</v>
      </c>
      <c r="J1107" s="14">
        <f>IFERROR(VLOOKUP(D1107,'INf. RRHH'!$A:$B,2,0),0)</f>
        <v>2900</v>
      </c>
      <c r="K1107" s="16">
        <f t="shared" si="51"/>
        <v>1886.6899999999996</v>
      </c>
      <c r="L1107" s="17">
        <f t="shared" si="52"/>
        <v>966.67</v>
      </c>
      <c r="M1107" s="18">
        <f t="shared" si="53"/>
        <v>2853.3599999999997</v>
      </c>
    </row>
    <row r="1108" spans="1:13" x14ac:dyDescent="0.25">
      <c r="A1108">
        <v>1000</v>
      </c>
      <c r="B1108">
        <v>1000</v>
      </c>
      <c r="C1108" s="1">
        <v>45961</v>
      </c>
      <c r="D1108">
        <v>94954</v>
      </c>
      <c r="E1108">
        <v>268</v>
      </c>
      <c r="F1108" s="2">
        <v>5841.21</v>
      </c>
      <c r="G1108" s="1">
        <v>45965</v>
      </c>
      <c r="I1108" t="s">
        <v>9</v>
      </c>
      <c r="J1108" s="14">
        <f>IFERROR(VLOOKUP(D1108,'INf. RRHH'!$A:$B,2,0),0)</f>
        <v>2900</v>
      </c>
      <c r="K1108" s="16">
        <f t="shared" si="51"/>
        <v>2941.21</v>
      </c>
      <c r="L1108" s="17">
        <f t="shared" si="52"/>
        <v>966.67</v>
      </c>
      <c r="M1108" s="18">
        <f t="shared" si="53"/>
        <v>3907.88</v>
      </c>
    </row>
    <row r="1109" spans="1:13" x14ac:dyDescent="0.25">
      <c r="A1109">
        <v>1000</v>
      </c>
      <c r="B1109">
        <v>1000</v>
      </c>
      <c r="C1109" s="1">
        <v>45961</v>
      </c>
      <c r="D1109">
        <v>94981</v>
      </c>
      <c r="E1109">
        <v>340.33</v>
      </c>
      <c r="F1109" s="2">
        <v>7311.48</v>
      </c>
      <c r="G1109" s="1">
        <v>45965</v>
      </c>
      <c r="I1109" t="s">
        <v>9</v>
      </c>
      <c r="J1109" s="14">
        <f>IFERROR(VLOOKUP(D1109,'INf. RRHH'!$A:$B,2,0),0)</f>
        <v>2900</v>
      </c>
      <c r="K1109" s="16">
        <f t="shared" si="51"/>
        <v>4411.4799999999996</v>
      </c>
      <c r="L1109" s="17">
        <f t="shared" si="52"/>
        <v>966.67</v>
      </c>
      <c r="M1109" s="18">
        <f t="shared" si="53"/>
        <v>5378.15</v>
      </c>
    </row>
    <row r="1110" spans="1:13" x14ac:dyDescent="0.25">
      <c r="A1110">
        <v>1000</v>
      </c>
      <c r="B1110">
        <v>1000</v>
      </c>
      <c r="C1110" s="1">
        <v>45961</v>
      </c>
      <c r="D1110">
        <v>95132</v>
      </c>
      <c r="E1110">
        <v>258.5</v>
      </c>
      <c r="F1110" s="2">
        <v>6232.64</v>
      </c>
      <c r="G1110" s="1">
        <v>45965</v>
      </c>
      <c r="I1110" t="s">
        <v>9</v>
      </c>
      <c r="J1110" s="14">
        <f>IFERROR(VLOOKUP(D1110,'INf. RRHH'!$A:$B,2,0),0)</f>
        <v>2900</v>
      </c>
      <c r="K1110" s="16">
        <f t="shared" si="51"/>
        <v>3332.6400000000003</v>
      </c>
      <c r="L1110" s="17">
        <f t="shared" si="52"/>
        <v>966.67</v>
      </c>
      <c r="M1110" s="18">
        <f t="shared" si="53"/>
        <v>4299.3100000000004</v>
      </c>
    </row>
    <row r="1111" spans="1:13" x14ac:dyDescent="0.25">
      <c r="A1111">
        <v>1000</v>
      </c>
      <c r="B1111">
        <v>1000</v>
      </c>
      <c r="C1111" s="1">
        <v>45961</v>
      </c>
      <c r="D1111">
        <v>95227</v>
      </c>
      <c r="E1111">
        <v>224</v>
      </c>
      <c r="F1111" s="2">
        <v>4992.2700000000004</v>
      </c>
      <c r="G1111" s="1">
        <v>45965</v>
      </c>
      <c r="I1111" t="s">
        <v>9</v>
      </c>
      <c r="J1111" s="14">
        <f>IFERROR(VLOOKUP(D1111,'INf. RRHH'!$A:$B,2,0),0)</f>
        <v>2900</v>
      </c>
      <c r="K1111" s="16">
        <f t="shared" si="51"/>
        <v>2092.2700000000004</v>
      </c>
      <c r="L1111" s="17">
        <f t="shared" si="52"/>
        <v>966.67</v>
      </c>
      <c r="M1111" s="18">
        <f t="shared" si="53"/>
        <v>3058.9400000000005</v>
      </c>
    </row>
    <row r="1112" spans="1:13" x14ac:dyDescent="0.25">
      <c r="A1112">
        <v>1000</v>
      </c>
      <c r="B1112">
        <v>1000</v>
      </c>
      <c r="C1112" s="1">
        <v>45961</v>
      </c>
      <c r="D1112">
        <v>95344</v>
      </c>
      <c r="E1112">
        <v>331</v>
      </c>
      <c r="F1112" s="2">
        <v>5553.9</v>
      </c>
      <c r="G1112" s="1">
        <v>45965</v>
      </c>
      <c r="I1112" t="s">
        <v>9</v>
      </c>
      <c r="J1112" s="14">
        <f>IFERROR(VLOOKUP(D1112,'INf. RRHH'!$A:$B,2,0),0)</f>
        <v>2900</v>
      </c>
      <c r="K1112" s="16">
        <f t="shared" si="51"/>
        <v>2653.8999999999996</v>
      </c>
      <c r="L1112" s="17">
        <f t="shared" si="52"/>
        <v>966.67</v>
      </c>
      <c r="M1112" s="18">
        <f t="shared" si="53"/>
        <v>3620.5699999999997</v>
      </c>
    </row>
    <row r="1113" spans="1:13" x14ac:dyDescent="0.25">
      <c r="A1113">
        <v>1000</v>
      </c>
      <c r="B1113">
        <v>1000</v>
      </c>
      <c r="C1113" s="1">
        <v>45961</v>
      </c>
      <c r="D1113">
        <v>95354</v>
      </c>
      <c r="E1113">
        <v>240</v>
      </c>
      <c r="F1113" s="2">
        <v>5220.34</v>
      </c>
      <c r="G1113" s="1">
        <v>45965</v>
      </c>
      <c r="I1113" t="s">
        <v>9</v>
      </c>
      <c r="J1113" s="14">
        <f>IFERROR(VLOOKUP(D1113,'INf. RRHH'!$A:$B,2,0),0)</f>
        <v>2900</v>
      </c>
      <c r="K1113" s="16">
        <f t="shared" si="51"/>
        <v>2320.34</v>
      </c>
      <c r="L1113" s="17">
        <f t="shared" si="52"/>
        <v>966.67</v>
      </c>
      <c r="M1113" s="18">
        <f t="shared" si="53"/>
        <v>3287.01</v>
      </c>
    </row>
    <row r="1114" spans="1:13" x14ac:dyDescent="0.25">
      <c r="A1114">
        <v>1000</v>
      </c>
      <c r="B1114">
        <v>1000</v>
      </c>
      <c r="C1114" s="1">
        <v>45961</v>
      </c>
      <c r="D1114">
        <v>95371</v>
      </c>
      <c r="E1114">
        <v>240</v>
      </c>
      <c r="F1114" s="2">
        <v>2052.81</v>
      </c>
      <c r="G1114" s="1">
        <v>45965</v>
      </c>
      <c r="I1114" t="s">
        <v>9</v>
      </c>
      <c r="J1114" s="14">
        <f>IFERROR(VLOOKUP(D1114,'INf. RRHH'!$A:$B,2,0),0)</f>
        <v>0</v>
      </c>
      <c r="K1114" s="16">
        <f t="shared" si="51"/>
        <v>2052.81</v>
      </c>
      <c r="L1114" s="17">
        <f t="shared" si="52"/>
        <v>0</v>
      </c>
      <c r="M1114" s="18">
        <f t="shared" si="53"/>
        <v>2052.81</v>
      </c>
    </row>
    <row r="1115" spans="1:13" x14ac:dyDescent="0.25">
      <c r="A1115">
        <v>1000</v>
      </c>
      <c r="B1115">
        <v>1000</v>
      </c>
      <c r="C1115" s="1">
        <v>45961</v>
      </c>
      <c r="D1115">
        <v>4796</v>
      </c>
      <c r="E1115">
        <v>267.5</v>
      </c>
      <c r="F1115" s="2">
        <v>6682.14</v>
      </c>
      <c r="G1115" s="1">
        <v>45965</v>
      </c>
      <c r="I1115" t="s">
        <v>9</v>
      </c>
      <c r="J1115" s="14">
        <f>IFERROR(VLOOKUP(D1115,'INf. RRHH'!$A:$B,2,0),0)</f>
        <v>2900</v>
      </c>
      <c r="K1115" s="16">
        <f t="shared" si="51"/>
        <v>3782.1400000000003</v>
      </c>
      <c r="L1115" s="17">
        <f t="shared" si="52"/>
        <v>966.67</v>
      </c>
      <c r="M1115" s="18">
        <f t="shared" si="53"/>
        <v>4748.8100000000004</v>
      </c>
    </row>
    <row r="1116" spans="1:13" x14ac:dyDescent="0.25">
      <c r="A1116">
        <v>1000</v>
      </c>
      <c r="B1116">
        <v>1000</v>
      </c>
      <c r="C1116" s="1">
        <v>45961</v>
      </c>
      <c r="D1116">
        <v>7648</v>
      </c>
      <c r="E1116">
        <v>240</v>
      </c>
      <c r="F1116" s="2">
        <v>6089.3</v>
      </c>
      <c r="G1116" s="1">
        <v>45965</v>
      </c>
      <c r="I1116" t="s">
        <v>9</v>
      </c>
      <c r="J1116" s="14">
        <f>IFERROR(VLOOKUP(D1116,'INf. RRHH'!$A:$B,2,0),0)</f>
        <v>2900</v>
      </c>
      <c r="K1116" s="16">
        <f t="shared" si="51"/>
        <v>3189.3</v>
      </c>
      <c r="L1116" s="17">
        <f t="shared" si="52"/>
        <v>966.67</v>
      </c>
      <c r="M1116" s="18">
        <f t="shared" si="53"/>
        <v>4155.97</v>
      </c>
    </row>
    <row r="1117" spans="1:13" x14ac:dyDescent="0.25">
      <c r="A1117">
        <v>1000</v>
      </c>
      <c r="B1117">
        <v>1000</v>
      </c>
      <c r="C1117" s="1">
        <v>45961</v>
      </c>
      <c r="D1117">
        <v>90263</v>
      </c>
      <c r="E1117">
        <v>243</v>
      </c>
      <c r="F1117" s="2">
        <v>6498.9</v>
      </c>
      <c r="G1117" s="1">
        <v>45965</v>
      </c>
      <c r="I1117" t="s">
        <v>9</v>
      </c>
      <c r="J1117" s="14">
        <f>IFERROR(VLOOKUP(D1117,'INf. RRHH'!$A:$B,2,0),0)</f>
        <v>2900</v>
      </c>
      <c r="K1117" s="16">
        <f t="shared" si="51"/>
        <v>3598.8999999999996</v>
      </c>
      <c r="L1117" s="17">
        <f t="shared" si="52"/>
        <v>966.67</v>
      </c>
      <c r="M1117" s="18">
        <f t="shared" si="53"/>
        <v>4565.57</v>
      </c>
    </row>
    <row r="1118" spans="1:13" x14ac:dyDescent="0.25">
      <c r="A1118">
        <v>1000</v>
      </c>
      <c r="B1118">
        <v>1000</v>
      </c>
      <c r="C1118" s="1">
        <v>45961</v>
      </c>
      <c r="D1118">
        <v>90379</v>
      </c>
      <c r="E1118">
        <v>351.5</v>
      </c>
      <c r="F1118" s="2">
        <v>6735.34</v>
      </c>
      <c r="G1118" s="1">
        <v>45965</v>
      </c>
      <c r="I1118" t="s">
        <v>9</v>
      </c>
      <c r="J1118" s="14">
        <f>IFERROR(VLOOKUP(D1118,'INf. RRHH'!$A:$B,2,0),0)</f>
        <v>2900</v>
      </c>
      <c r="K1118" s="16">
        <f t="shared" si="51"/>
        <v>3835.34</v>
      </c>
      <c r="L1118" s="17">
        <f t="shared" si="52"/>
        <v>966.67</v>
      </c>
      <c r="M1118" s="18">
        <f t="shared" si="53"/>
        <v>4802.01</v>
      </c>
    </row>
    <row r="1119" spans="1:13" x14ac:dyDescent="0.25">
      <c r="A1119">
        <v>1000</v>
      </c>
      <c r="B1119">
        <v>1000</v>
      </c>
      <c r="C1119" s="1">
        <v>45961</v>
      </c>
      <c r="D1119">
        <v>90694</v>
      </c>
      <c r="E1119">
        <v>327</v>
      </c>
      <c r="F1119" s="2">
        <v>7749.77</v>
      </c>
      <c r="G1119" s="1">
        <v>45965</v>
      </c>
      <c r="I1119" t="s">
        <v>9</v>
      </c>
      <c r="J1119" s="14">
        <f>IFERROR(VLOOKUP(D1119,'INf. RRHH'!$A:$B,2,0),0)</f>
        <v>2900</v>
      </c>
      <c r="K1119" s="16">
        <f t="shared" si="51"/>
        <v>4849.7700000000004</v>
      </c>
      <c r="L1119" s="17">
        <f t="shared" si="52"/>
        <v>966.67</v>
      </c>
      <c r="M1119" s="18">
        <f t="shared" si="53"/>
        <v>5816.4400000000005</v>
      </c>
    </row>
    <row r="1120" spans="1:13" x14ac:dyDescent="0.25">
      <c r="A1120">
        <v>1000</v>
      </c>
      <c r="B1120">
        <v>1000</v>
      </c>
      <c r="C1120" s="1">
        <v>45961</v>
      </c>
      <c r="D1120">
        <v>90781</v>
      </c>
      <c r="E1120">
        <v>410</v>
      </c>
      <c r="F1120" s="2">
        <v>7096.73</v>
      </c>
      <c r="G1120" s="1">
        <v>45965</v>
      </c>
      <c r="I1120" t="s">
        <v>9</v>
      </c>
      <c r="J1120" s="14">
        <f>IFERROR(VLOOKUP(D1120,'INf. RRHH'!$A:$B,2,0),0)</f>
        <v>2900</v>
      </c>
      <c r="K1120" s="16">
        <f t="shared" si="51"/>
        <v>4196.7299999999996</v>
      </c>
      <c r="L1120" s="17">
        <f t="shared" si="52"/>
        <v>966.67</v>
      </c>
      <c r="M1120" s="18">
        <f t="shared" si="53"/>
        <v>5163.3999999999996</v>
      </c>
    </row>
    <row r="1121" spans="1:13" x14ac:dyDescent="0.25">
      <c r="A1121">
        <v>1000</v>
      </c>
      <c r="B1121">
        <v>1000</v>
      </c>
      <c r="C1121" s="1">
        <v>45961</v>
      </c>
      <c r="D1121">
        <v>90795</v>
      </c>
      <c r="E1121">
        <v>368</v>
      </c>
      <c r="F1121" s="2">
        <v>6915.76</v>
      </c>
      <c r="G1121" s="1">
        <v>45965</v>
      </c>
      <c r="I1121" t="s">
        <v>9</v>
      </c>
      <c r="J1121" s="14">
        <f>IFERROR(VLOOKUP(D1121,'INf. RRHH'!$A:$B,2,0),0)</f>
        <v>2900</v>
      </c>
      <c r="K1121" s="16">
        <f t="shared" si="51"/>
        <v>4015.76</v>
      </c>
      <c r="L1121" s="17">
        <f t="shared" si="52"/>
        <v>966.67</v>
      </c>
      <c r="M1121" s="18">
        <f t="shared" si="53"/>
        <v>4982.43</v>
      </c>
    </row>
    <row r="1122" spans="1:13" x14ac:dyDescent="0.25">
      <c r="A1122">
        <v>1000</v>
      </c>
      <c r="B1122">
        <v>1000</v>
      </c>
      <c r="C1122" s="1">
        <v>45961</v>
      </c>
      <c r="D1122">
        <v>90844</v>
      </c>
      <c r="E1122">
        <v>253</v>
      </c>
      <c r="F1122" s="2">
        <v>6552.22</v>
      </c>
      <c r="G1122" s="1">
        <v>45965</v>
      </c>
      <c r="I1122" t="s">
        <v>9</v>
      </c>
      <c r="J1122" s="14">
        <f>IFERROR(VLOOKUP(D1122,'INf. RRHH'!$A:$B,2,0),0)</f>
        <v>2900</v>
      </c>
      <c r="K1122" s="16">
        <f t="shared" si="51"/>
        <v>3652.2200000000003</v>
      </c>
      <c r="L1122" s="17">
        <f t="shared" si="52"/>
        <v>966.67</v>
      </c>
      <c r="M1122" s="18">
        <f t="shared" si="53"/>
        <v>4618.8900000000003</v>
      </c>
    </row>
    <row r="1123" spans="1:13" x14ac:dyDescent="0.25">
      <c r="A1123">
        <v>1000</v>
      </c>
      <c r="B1123">
        <v>1000</v>
      </c>
      <c r="C1123" s="1">
        <v>45961</v>
      </c>
      <c r="D1123">
        <v>90991</v>
      </c>
      <c r="E1123">
        <v>330</v>
      </c>
      <c r="F1123" s="2">
        <v>6044.92</v>
      </c>
      <c r="G1123" s="1">
        <v>45965</v>
      </c>
      <c r="I1123" t="s">
        <v>9</v>
      </c>
      <c r="J1123" s="14">
        <f>IFERROR(VLOOKUP(D1123,'INf. RRHH'!$A:$B,2,0),0)</f>
        <v>2900</v>
      </c>
      <c r="K1123" s="16">
        <f t="shared" si="51"/>
        <v>3144.92</v>
      </c>
      <c r="L1123" s="17">
        <f t="shared" si="52"/>
        <v>966.67</v>
      </c>
      <c r="M1123" s="18">
        <f t="shared" si="53"/>
        <v>4111.59</v>
      </c>
    </row>
    <row r="1124" spans="1:13" x14ac:dyDescent="0.25">
      <c r="A1124">
        <v>1000</v>
      </c>
      <c r="B1124">
        <v>1000</v>
      </c>
      <c r="C1124" s="1">
        <v>45961</v>
      </c>
      <c r="D1124">
        <v>91001</v>
      </c>
      <c r="E1124">
        <v>185</v>
      </c>
      <c r="F1124" s="2">
        <v>4674.54</v>
      </c>
      <c r="G1124" s="1">
        <v>45965</v>
      </c>
      <c r="I1124" t="s">
        <v>9</v>
      </c>
      <c r="J1124" s="14">
        <f>IFERROR(VLOOKUP(D1124,'INf. RRHH'!$A:$B,2,0),0)</f>
        <v>2900</v>
      </c>
      <c r="K1124" s="16">
        <f t="shared" si="51"/>
        <v>1774.54</v>
      </c>
      <c r="L1124" s="17">
        <f t="shared" si="52"/>
        <v>966.67</v>
      </c>
      <c r="M1124" s="18">
        <f t="shared" si="53"/>
        <v>2741.21</v>
      </c>
    </row>
    <row r="1125" spans="1:13" x14ac:dyDescent="0.25">
      <c r="A1125">
        <v>1000</v>
      </c>
      <c r="B1125">
        <v>1000</v>
      </c>
      <c r="C1125" s="1">
        <v>45961</v>
      </c>
      <c r="D1125">
        <v>91135</v>
      </c>
      <c r="E1125">
        <v>342</v>
      </c>
      <c r="F1125" s="2">
        <v>6244.51</v>
      </c>
      <c r="G1125" s="1">
        <v>45965</v>
      </c>
      <c r="I1125" t="s">
        <v>9</v>
      </c>
      <c r="J1125" s="14">
        <f>IFERROR(VLOOKUP(D1125,'INf. RRHH'!$A:$B,2,0),0)</f>
        <v>2900</v>
      </c>
      <c r="K1125" s="16">
        <f t="shared" si="51"/>
        <v>3344.51</v>
      </c>
      <c r="L1125" s="17">
        <f t="shared" si="52"/>
        <v>966.67</v>
      </c>
      <c r="M1125" s="18">
        <f t="shared" si="53"/>
        <v>4311.18</v>
      </c>
    </row>
    <row r="1126" spans="1:13" x14ac:dyDescent="0.25">
      <c r="A1126">
        <v>1000</v>
      </c>
      <c r="B1126">
        <v>1000</v>
      </c>
      <c r="C1126" s="1">
        <v>45961</v>
      </c>
      <c r="D1126">
        <v>91180</v>
      </c>
      <c r="E1126">
        <v>290</v>
      </c>
      <c r="F1126" s="2">
        <v>7666.62</v>
      </c>
      <c r="G1126" s="1">
        <v>45965</v>
      </c>
      <c r="I1126" t="s">
        <v>9</v>
      </c>
      <c r="J1126" s="14">
        <f>IFERROR(VLOOKUP(D1126,'INf. RRHH'!$A:$B,2,0),0)</f>
        <v>2900</v>
      </c>
      <c r="K1126" s="16">
        <f t="shared" si="51"/>
        <v>4766.62</v>
      </c>
      <c r="L1126" s="17">
        <f t="shared" si="52"/>
        <v>966.67</v>
      </c>
      <c r="M1126" s="18">
        <f t="shared" si="53"/>
        <v>5733.29</v>
      </c>
    </row>
    <row r="1127" spans="1:13" x14ac:dyDescent="0.25">
      <c r="A1127">
        <v>1000</v>
      </c>
      <c r="B1127">
        <v>1000</v>
      </c>
      <c r="C1127" s="1">
        <v>45961</v>
      </c>
      <c r="D1127">
        <v>91225</v>
      </c>
      <c r="E1127">
        <v>327</v>
      </c>
      <c r="F1127" s="2">
        <v>6340.84</v>
      </c>
      <c r="G1127" s="1">
        <v>45965</v>
      </c>
      <c r="I1127" t="s">
        <v>9</v>
      </c>
      <c r="J1127" s="14">
        <f>IFERROR(VLOOKUP(D1127,'INf. RRHH'!$A:$B,2,0),0)</f>
        <v>2900</v>
      </c>
      <c r="K1127" s="16">
        <f t="shared" si="51"/>
        <v>3440.84</v>
      </c>
      <c r="L1127" s="17">
        <f t="shared" si="52"/>
        <v>966.67</v>
      </c>
      <c r="M1127" s="18">
        <f t="shared" si="53"/>
        <v>4407.51</v>
      </c>
    </row>
    <row r="1128" spans="1:13" x14ac:dyDescent="0.25">
      <c r="A1128">
        <v>1000</v>
      </c>
      <c r="B1128">
        <v>1000</v>
      </c>
      <c r="C1128" s="1">
        <v>45961</v>
      </c>
      <c r="D1128">
        <v>91243</v>
      </c>
      <c r="E1128">
        <v>237.5</v>
      </c>
      <c r="F1128" s="2">
        <v>5527.22</v>
      </c>
      <c r="G1128" s="1">
        <v>45965</v>
      </c>
      <c r="I1128" t="s">
        <v>9</v>
      </c>
      <c r="J1128" s="14">
        <f>IFERROR(VLOOKUP(D1128,'INf. RRHH'!$A:$B,2,0),0)</f>
        <v>2900</v>
      </c>
      <c r="K1128" s="16">
        <f t="shared" si="51"/>
        <v>2627.2200000000003</v>
      </c>
      <c r="L1128" s="17">
        <f t="shared" si="52"/>
        <v>966.67</v>
      </c>
      <c r="M1128" s="18">
        <f t="shared" si="53"/>
        <v>3593.8900000000003</v>
      </c>
    </row>
    <row r="1129" spans="1:13" x14ac:dyDescent="0.25">
      <c r="A1129">
        <v>1000</v>
      </c>
      <c r="B1129">
        <v>1000</v>
      </c>
      <c r="C1129" s="1">
        <v>45961</v>
      </c>
      <c r="D1129">
        <v>91360</v>
      </c>
      <c r="E1129">
        <v>240</v>
      </c>
      <c r="F1129" s="2">
        <v>5211.7299999999996</v>
      </c>
      <c r="G1129" s="1">
        <v>45965</v>
      </c>
      <c r="I1129" t="s">
        <v>9</v>
      </c>
      <c r="J1129" s="14">
        <f>IFERROR(VLOOKUP(D1129,'INf. RRHH'!$A:$B,2,0),0)</f>
        <v>2900</v>
      </c>
      <c r="K1129" s="16">
        <f t="shared" si="51"/>
        <v>2311.7299999999996</v>
      </c>
      <c r="L1129" s="17">
        <f t="shared" si="52"/>
        <v>966.67</v>
      </c>
      <c r="M1129" s="18">
        <f t="shared" si="53"/>
        <v>3278.3999999999996</v>
      </c>
    </row>
    <row r="1130" spans="1:13" x14ac:dyDescent="0.25">
      <c r="A1130">
        <v>1000</v>
      </c>
      <c r="B1130">
        <v>1000</v>
      </c>
      <c r="C1130" s="1">
        <v>45961</v>
      </c>
      <c r="D1130">
        <v>91396</v>
      </c>
      <c r="E1130">
        <v>331</v>
      </c>
      <c r="F1130" s="2">
        <v>6822.62</v>
      </c>
      <c r="G1130" s="1">
        <v>45965</v>
      </c>
      <c r="I1130" t="s">
        <v>9</v>
      </c>
      <c r="J1130" s="14">
        <f>IFERROR(VLOOKUP(D1130,'INf. RRHH'!$A:$B,2,0),0)</f>
        <v>2900</v>
      </c>
      <c r="K1130" s="16">
        <f t="shared" si="51"/>
        <v>3922.62</v>
      </c>
      <c r="L1130" s="17">
        <f t="shared" si="52"/>
        <v>966.67</v>
      </c>
      <c r="M1130" s="18">
        <f t="shared" si="53"/>
        <v>4889.29</v>
      </c>
    </row>
    <row r="1131" spans="1:13" x14ac:dyDescent="0.25">
      <c r="A1131">
        <v>1000</v>
      </c>
      <c r="B1131">
        <v>1000</v>
      </c>
      <c r="C1131" s="1">
        <v>45961</v>
      </c>
      <c r="D1131">
        <v>91458</v>
      </c>
      <c r="E1131">
        <v>269.92</v>
      </c>
      <c r="F1131" s="2">
        <v>6001.41</v>
      </c>
      <c r="G1131" s="1">
        <v>45965</v>
      </c>
      <c r="I1131" t="s">
        <v>9</v>
      </c>
      <c r="J1131" s="14">
        <f>IFERROR(VLOOKUP(D1131,'INf. RRHH'!$A:$B,2,0),0)</f>
        <v>2900</v>
      </c>
      <c r="K1131" s="16">
        <f t="shared" si="51"/>
        <v>3101.41</v>
      </c>
      <c r="L1131" s="17">
        <f t="shared" si="52"/>
        <v>966.67</v>
      </c>
      <c r="M1131" s="18">
        <f t="shared" si="53"/>
        <v>4068.08</v>
      </c>
    </row>
    <row r="1132" spans="1:13" x14ac:dyDescent="0.25">
      <c r="A1132">
        <v>1000</v>
      </c>
      <c r="B1132">
        <v>1000</v>
      </c>
      <c r="C1132" s="1">
        <v>45961</v>
      </c>
      <c r="D1132">
        <v>91772</v>
      </c>
      <c r="E1132">
        <v>258</v>
      </c>
      <c r="F1132" s="2">
        <v>5296.86</v>
      </c>
      <c r="G1132" s="1">
        <v>45965</v>
      </c>
      <c r="I1132" t="s">
        <v>9</v>
      </c>
      <c r="J1132" s="14">
        <f>IFERROR(VLOOKUP(D1132,'INf. RRHH'!$A:$B,2,0),0)</f>
        <v>2900</v>
      </c>
      <c r="K1132" s="16">
        <f t="shared" si="51"/>
        <v>2396.8599999999997</v>
      </c>
      <c r="L1132" s="17">
        <f t="shared" si="52"/>
        <v>966.67</v>
      </c>
      <c r="M1132" s="18">
        <f t="shared" si="53"/>
        <v>3363.5299999999997</v>
      </c>
    </row>
    <row r="1133" spans="1:13" x14ac:dyDescent="0.25">
      <c r="A1133">
        <v>1000</v>
      </c>
      <c r="B1133">
        <v>1000</v>
      </c>
      <c r="C1133" s="1">
        <v>45961</v>
      </c>
      <c r="D1133">
        <v>91883</v>
      </c>
      <c r="E1133">
        <v>335.5</v>
      </c>
      <c r="F1133" s="2">
        <v>7370.59</v>
      </c>
      <c r="G1133" s="1">
        <v>45965</v>
      </c>
      <c r="I1133" t="s">
        <v>9</v>
      </c>
      <c r="J1133" s="14">
        <f>IFERROR(VLOOKUP(D1133,'INf. RRHH'!$A:$B,2,0),0)</f>
        <v>2900</v>
      </c>
      <c r="K1133" s="16">
        <f t="shared" si="51"/>
        <v>4470.59</v>
      </c>
      <c r="L1133" s="17">
        <f t="shared" si="52"/>
        <v>966.67</v>
      </c>
      <c r="M1133" s="18">
        <f t="shared" si="53"/>
        <v>5437.26</v>
      </c>
    </row>
    <row r="1134" spans="1:13" x14ac:dyDescent="0.25">
      <c r="A1134">
        <v>1000</v>
      </c>
      <c r="B1134">
        <v>1000</v>
      </c>
      <c r="C1134" s="1">
        <v>45961</v>
      </c>
      <c r="D1134">
        <v>92584</v>
      </c>
      <c r="E1134">
        <v>120</v>
      </c>
      <c r="F1134" s="2">
        <v>5186.68</v>
      </c>
      <c r="G1134" s="1">
        <v>45965</v>
      </c>
      <c r="I1134" t="s">
        <v>9</v>
      </c>
      <c r="J1134" s="14">
        <f>IFERROR(VLOOKUP(D1134,'INf. RRHH'!$A:$B,2,0),0)</f>
        <v>2900</v>
      </c>
      <c r="K1134" s="16">
        <f t="shared" si="51"/>
        <v>2286.6800000000003</v>
      </c>
      <c r="L1134" s="17">
        <f t="shared" si="52"/>
        <v>966.67</v>
      </c>
      <c r="M1134" s="18">
        <f t="shared" si="53"/>
        <v>3253.3500000000004</v>
      </c>
    </row>
    <row r="1135" spans="1:13" x14ac:dyDescent="0.25">
      <c r="A1135">
        <v>1000</v>
      </c>
      <c r="B1135">
        <v>1000</v>
      </c>
      <c r="C1135" s="1">
        <v>45961</v>
      </c>
      <c r="D1135">
        <v>92738</v>
      </c>
      <c r="E1135">
        <v>375.5</v>
      </c>
      <c r="F1135" s="2">
        <v>7221.69</v>
      </c>
      <c r="G1135" s="1">
        <v>45965</v>
      </c>
      <c r="I1135" t="s">
        <v>9</v>
      </c>
      <c r="J1135" s="14">
        <f>IFERROR(VLOOKUP(D1135,'INf. RRHH'!$A:$B,2,0),0)</f>
        <v>2900</v>
      </c>
      <c r="K1135" s="16">
        <f t="shared" si="51"/>
        <v>4321.6899999999996</v>
      </c>
      <c r="L1135" s="17">
        <f t="shared" si="52"/>
        <v>966.67</v>
      </c>
      <c r="M1135" s="18">
        <f t="shared" si="53"/>
        <v>5288.36</v>
      </c>
    </row>
    <row r="1136" spans="1:13" x14ac:dyDescent="0.25">
      <c r="A1136">
        <v>1000</v>
      </c>
      <c r="B1136">
        <v>1000</v>
      </c>
      <c r="C1136" s="1">
        <v>45961</v>
      </c>
      <c r="D1136">
        <v>92744</v>
      </c>
      <c r="E1136">
        <v>367</v>
      </c>
      <c r="F1136" s="2">
        <v>6915.42</v>
      </c>
      <c r="G1136" s="1">
        <v>45965</v>
      </c>
      <c r="I1136" t="s">
        <v>9</v>
      </c>
      <c r="J1136" s="14">
        <f>IFERROR(VLOOKUP(D1136,'INf. RRHH'!$A:$B,2,0),0)</f>
        <v>2900</v>
      </c>
      <c r="K1136" s="16">
        <f t="shared" si="51"/>
        <v>4015.42</v>
      </c>
      <c r="L1136" s="17">
        <f t="shared" si="52"/>
        <v>966.67</v>
      </c>
      <c r="M1136" s="18">
        <f t="shared" si="53"/>
        <v>4982.09</v>
      </c>
    </row>
    <row r="1137" spans="1:13" x14ac:dyDescent="0.25">
      <c r="A1137">
        <v>1000</v>
      </c>
      <c r="B1137">
        <v>1000</v>
      </c>
      <c r="C1137" s="1">
        <v>45961</v>
      </c>
      <c r="D1137">
        <v>92756</v>
      </c>
      <c r="E1137">
        <v>305</v>
      </c>
      <c r="F1137" s="2">
        <v>5390.59</v>
      </c>
      <c r="G1137" s="1">
        <v>45965</v>
      </c>
      <c r="I1137" t="s">
        <v>9</v>
      </c>
      <c r="J1137" s="14">
        <f>IFERROR(VLOOKUP(D1137,'INf. RRHH'!$A:$B,2,0),0)</f>
        <v>2900</v>
      </c>
      <c r="K1137" s="16">
        <f t="shared" si="51"/>
        <v>2490.59</v>
      </c>
      <c r="L1137" s="17">
        <f t="shared" si="52"/>
        <v>966.67</v>
      </c>
      <c r="M1137" s="18">
        <f t="shared" si="53"/>
        <v>3457.26</v>
      </c>
    </row>
    <row r="1138" spans="1:13" x14ac:dyDescent="0.25">
      <c r="A1138">
        <v>1000</v>
      </c>
      <c r="B1138">
        <v>1000</v>
      </c>
      <c r="C1138" s="1">
        <v>45961</v>
      </c>
      <c r="D1138">
        <v>92858</v>
      </c>
      <c r="E1138">
        <v>304</v>
      </c>
      <c r="F1138" s="2">
        <v>4660.92</v>
      </c>
      <c r="G1138" s="1">
        <v>45965</v>
      </c>
      <c r="I1138" t="s">
        <v>9</v>
      </c>
      <c r="J1138" s="14">
        <f>IFERROR(VLOOKUP(D1138,'INf. RRHH'!$A:$B,2,0),0)</f>
        <v>2900</v>
      </c>
      <c r="K1138" s="16">
        <f t="shared" si="51"/>
        <v>1760.92</v>
      </c>
      <c r="L1138" s="17">
        <f t="shared" si="52"/>
        <v>966.67</v>
      </c>
      <c r="M1138" s="18">
        <f t="shared" si="53"/>
        <v>2727.59</v>
      </c>
    </row>
    <row r="1139" spans="1:13" x14ac:dyDescent="0.25">
      <c r="A1139">
        <v>1000</v>
      </c>
      <c r="B1139">
        <v>1000</v>
      </c>
      <c r="C1139" s="1">
        <v>45961</v>
      </c>
      <c r="D1139">
        <v>92939</v>
      </c>
      <c r="E1139">
        <v>240</v>
      </c>
      <c r="F1139" s="2">
        <v>5210.96</v>
      </c>
      <c r="G1139" s="1">
        <v>45965</v>
      </c>
      <c r="I1139" t="s">
        <v>9</v>
      </c>
      <c r="J1139" s="14">
        <f>IFERROR(VLOOKUP(D1139,'INf. RRHH'!$A:$B,2,0),0)</f>
        <v>2900</v>
      </c>
      <c r="K1139" s="16">
        <f t="shared" si="51"/>
        <v>2310.96</v>
      </c>
      <c r="L1139" s="17">
        <f t="shared" si="52"/>
        <v>966.67</v>
      </c>
      <c r="M1139" s="18">
        <f t="shared" si="53"/>
        <v>3277.63</v>
      </c>
    </row>
    <row r="1140" spans="1:13" x14ac:dyDescent="0.25">
      <c r="A1140">
        <v>1000</v>
      </c>
      <c r="B1140">
        <v>1000</v>
      </c>
      <c r="C1140" s="1">
        <v>45961</v>
      </c>
      <c r="D1140">
        <v>92972</v>
      </c>
      <c r="E1140">
        <v>240</v>
      </c>
      <c r="F1140" s="2">
        <v>4139.51</v>
      </c>
      <c r="G1140" s="1">
        <v>45965</v>
      </c>
      <c r="I1140" t="s">
        <v>9</v>
      </c>
      <c r="J1140" s="14">
        <f>IFERROR(VLOOKUP(D1140,'INf. RRHH'!$A:$B,2,0),0)</f>
        <v>2900</v>
      </c>
      <c r="K1140" s="16">
        <f t="shared" si="51"/>
        <v>1239.5100000000002</v>
      </c>
      <c r="L1140" s="17">
        <f t="shared" si="52"/>
        <v>966.67</v>
      </c>
      <c r="M1140" s="18">
        <f t="shared" si="53"/>
        <v>2206.1800000000003</v>
      </c>
    </row>
    <row r="1141" spans="1:13" x14ac:dyDescent="0.25">
      <c r="A1141">
        <v>1000</v>
      </c>
      <c r="B1141">
        <v>1000</v>
      </c>
      <c r="C1141" s="1">
        <v>45961</v>
      </c>
      <c r="D1141">
        <v>93025</v>
      </c>
      <c r="E1141">
        <v>244</v>
      </c>
      <c r="F1141" s="2">
        <v>5535.33</v>
      </c>
      <c r="G1141" s="1">
        <v>45965</v>
      </c>
      <c r="I1141" t="s">
        <v>9</v>
      </c>
      <c r="J1141" s="14">
        <f>IFERROR(VLOOKUP(D1141,'INf. RRHH'!$A:$B,2,0),0)</f>
        <v>2900</v>
      </c>
      <c r="K1141" s="16">
        <f t="shared" si="51"/>
        <v>2635.33</v>
      </c>
      <c r="L1141" s="17">
        <f t="shared" si="52"/>
        <v>966.67</v>
      </c>
      <c r="M1141" s="18">
        <f t="shared" si="53"/>
        <v>3602</v>
      </c>
    </row>
    <row r="1142" spans="1:13" x14ac:dyDescent="0.25">
      <c r="A1142">
        <v>1000</v>
      </c>
      <c r="B1142">
        <v>1000</v>
      </c>
      <c r="C1142" s="1">
        <v>45961</v>
      </c>
      <c r="D1142">
        <v>93040</v>
      </c>
      <c r="E1142">
        <v>248</v>
      </c>
      <c r="F1142" s="2">
        <v>4924.66</v>
      </c>
      <c r="G1142" s="1">
        <v>45965</v>
      </c>
      <c r="I1142" t="s">
        <v>9</v>
      </c>
      <c r="J1142" s="14">
        <f>IFERROR(VLOOKUP(D1142,'INf. RRHH'!$A:$B,2,0),0)</f>
        <v>2900</v>
      </c>
      <c r="K1142" s="16">
        <f t="shared" si="51"/>
        <v>2024.6599999999999</v>
      </c>
      <c r="L1142" s="17">
        <f t="shared" si="52"/>
        <v>966.67</v>
      </c>
      <c r="M1142" s="18">
        <f t="shared" si="53"/>
        <v>2991.33</v>
      </c>
    </row>
    <row r="1143" spans="1:13" x14ac:dyDescent="0.25">
      <c r="A1143">
        <v>1000</v>
      </c>
      <c r="B1143">
        <v>1000</v>
      </c>
      <c r="C1143" s="1">
        <v>45961</v>
      </c>
      <c r="D1143">
        <v>93251</v>
      </c>
      <c r="E1143">
        <v>399</v>
      </c>
      <c r="F1143" s="2">
        <v>6796.07</v>
      </c>
      <c r="G1143" s="1">
        <v>45965</v>
      </c>
      <c r="I1143" t="s">
        <v>9</v>
      </c>
      <c r="J1143" s="14">
        <f>IFERROR(VLOOKUP(D1143,'INf. RRHH'!$A:$B,2,0),0)</f>
        <v>2900</v>
      </c>
      <c r="K1143" s="16">
        <f t="shared" si="51"/>
        <v>3896.0699999999997</v>
      </c>
      <c r="L1143" s="17">
        <f t="shared" si="52"/>
        <v>966.67</v>
      </c>
      <c r="M1143" s="18">
        <f t="shared" si="53"/>
        <v>4862.74</v>
      </c>
    </row>
    <row r="1144" spans="1:13" x14ac:dyDescent="0.25">
      <c r="A1144">
        <v>1000</v>
      </c>
      <c r="B1144">
        <v>1000</v>
      </c>
      <c r="C1144" s="1">
        <v>45961</v>
      </c>
      <c r="D1144">
        <v>93569</v>
      </c>
      <c r="E1144">
        <v>267</v>
      </c>
      <c r="F1144" s="2">
        <v>5761.65</v>
      </c>
      <c r="G1144" s="1">
        <v>45965</v>
      </c>
      <c r="I1144" t="s">
        <v>9</v>
      </c>
      <c r="J1144" s="14">
        <f>IFERROR(VLOOKUP(D1144,'INf. RRHH'!$A:$B,2,0),0)</f>
        <v>2900</v>
      </c>
      <c r="K1144" s="16">
        <f t="shared" si="51"/>
        <v>2861.6499999999996</v>
      </c>
      <c r="L1144" s="17">
        <f t="shared" si="52"/>
        <v>966.67</v>
      </c>
      <c r="M1144" s="18">
        <f t="shared" si="53"/>
        <v>3828.3199999999997</v>
      </c>
    </row>
    <row r="1145" spans="1:13" x14ac:dyDescent="0.25">
      <c r="A1145">
        <v>1000</v>
      </c>
      <c r="B1145">
        <v>1000</v>
      </c>
      <c r="C1145" s="1">
        <v>45961</v>
      </c>
      <c r="D1145">
        <v>93585</v>
      </c>
      <c r="E1145">
        <v>327</v>
      </c>
      <c r="F1145" s="2">
        <v>6571.18</v>
      </c>
      <c r="G1145" s="1">
        <v>45965</v>
      </c>
      <c r="I1145" t="s">
        <v>9</v>
      </c>
      <c r="J1145" s="14">
        <f>IFERROR(VLOOKUP(D1145,'INf. RRHH'!$A:$B,2,0),0)</f>
        <v>2900</v>
      </c>
      <c r="K1145" s="16">
        <f t="shared" si="51"/>
        <v>3671.1800000000003</v>
      </c>
      <c r="L1145" s="17">
        <f t="shared" si="52"/>
        <v>966.67</v>
      </c>
      <c r="M1145" s="18">
        <f t="shared" si="53"/>
        <v>4637.8500000000004</v>
      </c>
    </row>
    <row r="1146" spans="1:13" x14ac:dyDescent="0.25">
      <c r="A1146">
        <v>1000</v>
      </c>
      <c r="B1146">
        <v>1000</v>
      </c>
      <c r="C1146" s="1">
        <v>45961</v>
      </c>
      <c r="D1146">
        <v>93619</v>
      </c>
      <c r="E1146">
        <v>388</v>
      </c>
      <c r="F1146" s="2">
        <v>6803.02</v>
      </c>
      <c r="G1146" s="1">
        <v>45965</v>
      </c>
      <c r="I1146" t="s">
        <v>9</v>
      </c>
      <c r="J1146" s="14">
        <f>IFERROR(VLOOKUP(D1146,'INf. RRHH'!$A:$B,2,0),0)</f>
        <v>2900</v>
      </c>
      <c r="K1146" s="16">
        <f t="shared" si="51"/>
        <v>3903.0200000000004</v>
      </c>
      <c r="L1146" s="17">
        <f t="shared" si="52"/>
        <v>966.67</v>
      </c>
      <c r="M1146" s="18">
        <f t="shared" si="53"/>
        <v>4869.6900000000005</v>
      </c>
    </row>
    <row r="1147" spans="1:13" x14ac:dyDescent="0.25">
      <c r="A1147">
        <v>1000</v>
      </c>
      <c r="B1147">
        <v>1000</v>
      </c>
      <c r="C1147" s="1">
        <v>45961</v>
      </c>
      <c r="D1147">
        <v>93663</v>
      </c>
      <c r="E1147">
        <v>185</v>
      </c>
      <c r="F1147" s="2">
        <v>5456.23</v>
      </c>
      <c r="G1147" s="1">
        <v>45965</v>
      </c>
      <c r="I1147" t="s">
        <v>9</v>
      </c>
      <c r="J1147" s="14">
        <f>IFERROR(VLOOKUP(D1147,'INf. RRHH'!$A:$B,2,0),0)</f>
        <v>2900</v>
      </c>
      <c r="K1147" s="16">
        <f t="shared" si="51"/>
        <v>2556.2299999999996</v>
      </c>
      <c r="L1147" s="17">
        <f t="shared" si="52"/>
        <v>966.67</v>
      </c>
      <c r="M1147" s="18">
        <f t="shared" si="53"/>
        <v>3522.8999999999996</v>
      </c>
    </row>
    <row r="1148" spans="1:13" x14ac:dyDescent="0.25">
      <c r="A1148">
        <v>1000</v>
      </c>
      <c r="B1148">
        <v>1000</v>
      </c>
      <c r="C1148" s="1">
        <v>45961</v>
      </c>
      <c r="D1148">
        <v>93953</v>
      </c>
      <c r="E1148">
        <v>326.5</v>
      </c>
      <c r="F1148" s="2">
        <v>6561.68</v>
      </c>
      <c r="G1148" s="1">
        <v>45965</v>
      </c>
      <c r="I1148" t="s">
        <v>9</v>
      </c>
      <c r="J1148" s="14">
        <f>IFERROR(VLOOKUP(D1148,'INf. RRHH'!$A:$B,2,0),0)</f>
        <v>2900</v>
      </c>
      <c r="K1148" s="16">
        <f t="shared" si="51"/>
        <v>3661.6800000000003</v>
      </c>
      <c r="L1148" s="17">
        <f t="shared" si="52"/>
        <v>966.67</v>
      </c>
      <c r="M1148" s="18">
        <f t="shared" si="53"/>
        <v>4628.3500000000004</v>
      </c>
    </row>
    <row r="1149" spans="1:13" x14ac:dyDescent="0.25">
      <c r="A1149">
        <v>1000</v>
      </c>
      <c r="B1149">
        <v>1000</v>
      </c>
      <c r="C1149" s="1">
        <v>45961</v>
      </c>
      <c r="D1149">
        <v>94063</v>
      </c>
      <c r="E1149">
        <v>248</v>
      </c>
      <c r="F1149" s="2">
        <v>5813.31</v>
      </c>
      <c r="G1149" s="1">
        <v>45965</v>
      </c>
      <c r="I1149" t="s">
        <v>9</v>
      </c>
      <c r="J1149" s="14">
        <f>IFERROR(VLOOKUP(D1149,'INf. RRHH'!$A:$B,2,0),0)</f>
        <v>2900</v>
      </c>
      <c r="K1149" s="16">
        <f t="shared" si="51"/>
        <v>2913.3100000000004</v>
      </c>
      <c r="L1149" s="17">
        <f t="shared" si="52"/>
        <v>966.67</v>
      </c>
      <c r="M1149" s="18">
        <f t="shared" si="53"/>
        <v>3879.9800000000005</v>
      </c>
    </row>
    <row r="1150" spans="1:13" x14ac:dyDescent="0.25">
      <c r="A1150">
        <v>1000</v>
      </c>
      <c r="B1150">
        <v>1000</v>
      </c>
      <c r="C1150" s="1">
        <v>45961</v>
      </c>
      <c r="D1150">
        <v>94085</v>
      </c>
      <c r="E1150">
        <v>315</v>
      </c>
      <c r="F1150" s="2">
        <v>6854.62</v>
      </c>
      <c r="G1150" s="1">
        <v>45965</v>
      </c>
      <c r="I1150" t="s">
        <v>9</v>
      </c>
      <c r="J1150" s="14">
        <f>IFERROR(VLOOKUP(D1150,'INf. RRHH'!$A:$B,2,0),0)</f>
        <v>2900</v>
      </c>
      <c r="K1150" s="16">
        <f t="shared" si="51"/>
        <v>3954.62</v>
      </c>
      <c r="L1150" s="17">
        <f t="shared" si="52"/>
        <v>966.67</v>
      </c>
      <c r="M1150" s="18">
        <f t="shared" si="53"/>
        <v>4921.29</v>
      </c>
    </row>
    <row r="1151" spans="1:13" x14ac:dyDescent="0.25">
      <c r="A1151">
        <v>1000</v>
      </c>
      <c r="B1151">
        <v>1000</v>
      </c>
      <c r="C1151" s="1">
        <v>45961</v>
      </c>
      <c r="D1151">
        <v>94105</v>
      </c>
      <c r="E1151">
        <v>279</v>
      </c>
      <c r="F1151" s="2">
        <v>5839.83</v>
      </c>
      <c r="G1151" s="1">
        <v>45965</v>
      </c>
      <c r="I1151" t="s">
        <v>9</v>
      </c>
      <c r="J1151" s="14">
        <f>IFERROR(VLOOKUP(D1151,'INf. RRHH'!$A:$B,2,0),0)</f>
        <v>2900</v>
      </c>
      <c r="K1151" s="16">
        <f t="shared" si="51"/>
        <v>2939.83</v>
      </c>
      <c r="L1151" s="17">
        <f t="shared" si="52"/>
        <v>966.67</v>
      </c>
      <c r="M1151" s="18">
        <f t="shared" si="53"/>
        <v>3906.5</v>
      </c>
    </row>
    <row r="1152" spans="1:13" x14ac:dyDescent="0.25">
      <c r="A1152">
        <v>1000</v>
      </c>
      <c r="B1152">
        <v>1000</v>
      </c>
      <c r="C1152" s="1">
        <v>45961</v>
      </c>
      <c r="D1152">
        <v>94123</v>
      </c>
      <c r="E1152">
        <v>388</v>
      </c>
      <c r="F1152" s="2">
        <v>7121.98</v>
      </c>
      <c r="G1152" s="1">
        <v>45965</v>
      </c>
      <c r="I1152" t="s">
        <v>9</v>
      </c>
      <c r="J1152" s="14">
        <f>IFERROR(VLOOKUP(D1152,'INf. RRHH'!$A:$B,2,0),0)</f>
        <v>2900</v>
      </c>
      <c r="K1152" s="16">
        <f t="shared" si="51"/>
        <v>4221.9799999999996</v>
      </c>
      <c r="L1152" s="17">
        <f t="shared" si="52"/>
        <v>966.67</v>
      </c>
      <c r="M1152" s="18">
        <f t="shared" si="53"/>
        <v>5188.6499999999996</v>
      </c>
    </row>
    <row r="1153" spans="1:13" x14ac:dyDescent="0.25">
      <c r="A1153">
        <v>1000</v>
      </c>
      <c r="B1153">
        <v>1000</v>
      </c>
      <c r="C1153" s="1">
        <v>45961</v>
      </c>
      <c r="D1153">
        <v>94124</v>
      </c>
      <c r="E1153">
        <v>246</v>
      </c>
      <c r="F1153" s="2">
        <v>5377.62</v>
      </c>
      <c r="G1153" s="1">
        <v>45965</v>
      </c>
      <c r="I1153" t="s">
        <v>9</v>
      </c>
      <c r="J1153" s="14">
        <f>IFERROR(VLOOKUP(D1153,'INf. RRHH'!$A:$B,2,0),0)</f>
        <v>2900</v>
      </c>
      <c r="K1153" s="16">
        <f t="shared" si="51"/>
        <v>2477.62</v>
      </c>
      <c r="L1153" s="17">
        <f t="shared" si="52"/>
        <v>966.67</v>
      </c>
      <c r="M1153" s="18">
        <f t="shared" si="53"/>
        <v>3444.29</v>
      </c>
    </row>
    <row r="1154" spans="1:13" x14ac:dyDescent="0.25">
      <c r="A1154">
        <v>1000</v>
      </c>
      <c r="B1154">
        <v>1000</v>
      </c>
      <c r="C1154" s="1">
        <v>45961</v>
      </c>
      <c r="D1154">
        <v>94195</v>
      </c>
      <c r="E1154">
        <v>240</v>
      </c>
      <c r="F1154" s="2">
        <v>4476.2</v>
      </c>
      <c r="G1154" s="1">
        <v>45965</v>
      </c>
      <c r="I1154" t="s">
        <v>9</v>
      </c>
      <c r="J1154" s="14">
        <f>IFERROR(VLOOKUP(D1154,'INf. RRHH'!$A:$B,2,0),0)</f>
        <v>2900</v>
      </c>
      <c r="K1154" s="16">
        <f t="shared" si="51"/>
        <v>1576.1999999999998</v>
      </c>
      <c r="L1154" s="17">
        <f t="shared" si="52"/>
        <v>966.67</v>
      </c>
      <c r="M1154" s="18">
        <f t="shared" si="53"/>
        <v>2542.87</v>
      </c>
    </row>
    <row r="1155" spans="1:13" x14ac:dyDescent="0.25">
      <c r="A1155">
        <v>1000</v>
      </c>
      <c r="B1155">
        <v>1000</v>
      </c>
      <c r="C1155" s="1">
        <v>45961</v>
      </c>
      <c r="D1155">
        <v>94340</v>
      </c>
      <c r="E1155">
        <v>224</v>
      </c>
      <c r="F1155" s="2">
        <v>5219.79</v>
      </c>
      <c r="G1155" s="1">
        <v>45965</v>
      </c>
      <c r="I1155" t="s">
        <v>9</v>
      </c>
      <c r="J1155" s="14">
        <f>IFERROR(VLOOKUP(D1155,'INf. RRHH'!$A:$B,2,0),0)</f>
        <v>2900</v>
      </c>
      <c r="K1155" s="16">
        <f t="shared" ref="K1155:K1218" si="54">+F1155-J1155</f>
        <v>2319.79</v>
      </c>
      <c r="L1155" s="17">
        <f t="shared" ref="L1155:L1218" si="55">ROUND(J1155/3,2)</f>
        <v>966.67</v>
      </c>
      <c r="M1155" s="18">
        <f t="shared" ref="M1155:M1218" si="56">+K1155+L1155</f>
        <v>3286.46</v>
      </c>
    </row>
    <row r="1156" spans="1:13" x14ac:dyDescent="0.25">
      <c r="A1156">
        <v>1000</v>
      </c>
      <c r="B1156">
        <v>1000</v>
      </c>
      <c r="C1156" s="1">
        <v>45961</v>
      </c>
      <c r="D1156">
        <v>94377</v>
      </c>
      <c r="E1156">
        <v>389</v>
      </c>
      <c r="F1156" s="2">
        <v>6579.93</v>
      </c>
      <c r="G1156" s="1">
        <v>45965</v>
      </c>
      <c r="I1156" t="s">
        <v>9</v>
      </c>
      <c r="J1156" s="14">
        <f>IFERROR(VLOOKUP(D1156,'INf. RRHH'!$A:$B,2,0),0)</f>
        <v>2900</v>
      </c>
      <c r="K1156" s="16">
        <f t="shared" si="54"/>
        <v>3679.9300000000003</v>
      </c>
      <c r="L1156" s="17">
        <f t="shared" si="55"/>
        <v>966.67</v>
      </c>
      <c r="M1156" s="18">
        <f t="shared" si="56"/>
        <v>4646.6000000000004</v>
      </c>
    </row>
    <row r="1157" spans="1:13" x14ac:dyDescent="0.25">
      <c r="A1157">
        <v>1000</v>
      </c>
      <c r="B1157">
        <v>1000</v>
      </c>
      <c r="C1157" s="1">
        <v>45961</v>
      </c>
      <c r="D1157">
        <v>94731</v>
      </c>
      <c r="E1157">
        <v>297</v>
      </c>
      <c r="F1157" s="2">
        <v>5693.46</v>
      </c>
      <c r="G1157" s="1">
        <v>45965</v>
      </c>
      <c r="I1157" t="s">
        <v>9</v>
      </c>
      <c r="J1157" s="14">
        <f>IFERROR(VLOOKUP(D1157,'INf. RRHH'!$A:$B,2,0),0)</f>
        <v>2900</v>
      </c>
      <c r="K1157" s="16">
        <f t="shared" si="54"/>
        <v>2793.46</v>
      </c>
      <c r="L1157" s="17">
        <f t="shared" si="55"/>
        <v>966.67</v>
      </c>
      <c r="M1157" s="18">
        <f t="shared" si="56"/>
        <v>3760.13</v>
      </c>
    </row>
    <row r="1158" spans="1:13" x14ac:dyDescent="0.25">
      <c r="A1158">
        <v>1000</v>
      </c>
      <c r="B1158">
        <v>1000</v>
      </c>
      <c r="C1158" s="1">
        <v>45961</v>
      </c>
      <c r="D1158">
        <v>94856</v>
      </c>
      <c r="E1158">
        <v>240</v>
      </c>
      <c r="F1158" s="2">
        <v>4968.18</v>
      </c>
      <c r="G1158" s="1">
        <v>45965</v>
      </c>
      <c r="I1158" t="s">
        <v>9</v>
      </c>
      <c r="J1158" s="14">
        <f>IFERROR(VLOOKUP(D1158,'INf. RRHH'!$A:$B,2,0),0)</f>
        <v>2900</v>
      </c>
      <c r="K1158" s="16">
        <f t="shared" si="54"/>
        <v>2068.1800000000003</v>
      </c>
      <c r="L1158" s="17">
        <f t="shared" si="55"/>
        <v>966.67</v>
      </c>
      <c r="M1158" s="18">
        <f t="shared" si="56"/>
        <v>3034.8500000000004</v>
      </c>
    </row>
    <row r="1159" spans="1:13" x14ac:dyDescent="0.25">
      <c r="A1159">
        <v>1000</v>
      </c>
      <c r="B1159">
        <v>1000</v>
      </c>
      <c r="C1159" s="1">
        <v>45961</v>
      </c>
      <c r="D1159">
        <v>94892</v>
      </c>
      <c r="E1159">
        <v>307</v>
      </c>
      <c r="F1159" s="2">
        <v>5204.04</v>
      </c>
      <c r="G1159" s="1">
        <v>45965</v>
      </c>
      <c r="I1159" t="s">
        <v>9</v>
      </c>
      <c r="J1159" s="14">
        <f>IFERROR(VLOOKUP(D1159,'INf. RRHH'!$A:$B,2,0),0)</f>
        <v>2900</v>
      </c>
      <c r="K1159" s="16">
        <f t="shared" si="54"/>
        <v>2304.04</v>
      </c>
      <c r="L1159" s="17">
        <f t="shared" si="55"/>
        <v>966.67</v>
      </c>
      <c r="M1159" s="18">
        <f t="shared" si="56"/>
        <v>3270.71</v>
      </c>
    </row>
    <row r="1160" spans="1:13" x14ac:dyDescent="0.25">
      <c r="A1160">
        <v>1000</v>
      </c>
      <c r="B1160">
        <v>1000</v>
      </c>
      <c r="C1160" s="1">
        <v>45961</v>
      </c>
      <c r="D1160">
        <v>94930</v>
      </c>
      <c r="E1160">
        <v>299.25</v>
      </c>
      <c r="F1160" s="2">
        <v>6540.98</v>
      </c>
      <c r="G1160" s="1">
        <v>45965</v>
      </c>
      <c r="I1160" t="s">
        <v>9</v>
      </c>
      <c r="J1160" s="14">
        <f>IFERROR(VLOOKUP(D1160,'INf. RRHH'!$A:$B,2,0),0)</f>
        <v>2900</v>
      </c>
      <c r="K1160" s="16">
        <f t="shared" si="54"/>
        <v>3640.9799999999996</v>
      </c>
      <c r="L1160" s="17">
        <f t="shared" si="55"/>
        <v>966.67</v>
      </c>
      <c r="M1160" s="18">
        <f t="shared" si="56"/>
        <v>4607.6499999999996</v>
      </c>
    </row>
    <row r="1161" spans="1:13" x14ac:dyDescent="0.25">
      <c r="A1161">
        <v>1000</v>
      </c>
      <c r="B1161">
        <v>1000</v>
      </c>
      <c r="C1161" s="1">
        <v>45961</v>
      </c>
      <c r="D1161">
        <v>94951</v>
      </c>
      <c r="E1161">
        <v>168.5</v>
      </c>
      <c r="F1161" s="2">
        <v>5426.25</v>
      </c>
      <c r="G1161" s="1">
        <v>45965</v>
      </c>
      <c r="I1161" t="s">
        <v>9</v>
      </c>
      <c r="J1161" s="14">
        <f>IFERROR(VLOOKUP(D1161,'INf. RRHH'!$A:$B,2,0),0)</f>
        <v>2900</v>
      </c>
      <c r="K1161" s="16">
        <f t="shared" si="54"/>
        <v>2526.25</v>
      </c>
      <c r="L1161" s="17">
        <f t="shared" si="55"/>
        <v>966.67</v>
      </c>
      <c r="M1161" s="18">
        <f t="shared" si="56"/>
        <v>3492.92</v>
      </c>
    </row>
    <row r="1162" spans="1:13" x14ac:dyDescent="0.25">
      <c r="A1162">
        <v>1000</v>
      </c>
      <c r="B1162">
        <v>1000</v>
      </c>
      <c r="C1162" s="1">
        <v>45961</v>
      </c>
      <c r="D1162">
        <v>95085</v>
      </c>
      <c r="E1162">
        <v>315.5</v>
      </c>
      <c r="F1162" s="2">
        <v>7360.12</v>
      </c>
      <c r="G1162" s="1">
        <v>45965</v>
      </c>
      <c r="I1162" t="s">
        <v>9</v>
      </c>
      <c r="J1162" s="14">
        <f>IFERROR(VLOOKUP(D1162,'INf. RRHH'!$A:$B,2,0),0)</f>
        <v>2900</v>
      </c>
      <c r="K1162" s="16">
        <f t="shared" si="54"/>
        <v>4460.12</v>
      </c>
      <c r="L1162" s="17">
        <f t="shared" si="55"/>
        <v>966.67</v>
      </c>
      <c r="M1162" s="18">
        <f t="shared" si="56"/>
        <v>5426.79</v>
      </c>
    </row>
    <row r="1163" spans="1:13" x14ac:dyDescent="0.25">
      <c r="A1163">
        <v>1000</v>
      </c>
      <c r="B1163">
        <v>1000</v>
      </c>
      <c r="C1163" s="1">
        <v>45961</v>
      </c>
      <c r="D1163">
        <v>95103</v>
      </c>
      <c r="E1163">
        <v>130</v>
      </c>
      <c r="F1163" s="2">
        <v>5476.54</v>
      </c>
      <c r="G1163" s="1">
        <v>45965</v>
      </c>
      <c r="I1163" t="s">
        <v>9</v>
      </c>
      <c r="J1163" s="14">
        <f>IFERROR(VLOOKUP(D1163,'INf. RRHH'!$A:$B,2,0),0)</f>
        <v>2900</v>
      </c>
      <c r="K1163" s="16">
        <f t="shared" si="54"/>
        <v>2576.54</v>
      </c>
      <c r="L1163" s="17">
        <f t="shared" si="55"/>
        <v>966.67</v>
      </c>
      <c r="M1163" s="18">
        <f t="shared" si="56"/>
        <v>3543.21</v>
      </c>
    </row>
    <row r="1164" spans="1:13" x14ac:dyDescent="0.25">
      <c r="A1164">
        <v>1000</v>
      </c>
      <c r="B1164">
        <v>1000</v>
      </c>
      <c r="C1164" s="1">
        <v>45961</v>
      </c>
      <c r="D1164">
        <v>95416</v>
      </c>
      <c r="E1164">
        <v>240</v>
      </c>
      <c r="F1164" s="2">
        <v>3511.98</v>
      </c>
      <c r="G1164" s="1">
        <v>45965</v>
      </c>
      <c r="I1164" t="s">
        <v>9</v>
      </c>
      <c r="J1164" s="14">
        <f>IFERROR(VLOOKUP(D1164,'INf. RRHH'!$A:$B,2,0),0)</f>
        <v>1450</v>
      </c>
      <c r="K1164" s="16">
        <f t="shared" si="54"/>
        <v>2061.98</v>
      </c>
      <c r="L1164" s="17">
        <f t="shared" si="55"/>
        <v>483.33</v>
      </c>
      <c r="M1164" s="18">
        <f t="shared" si="56"/>
        <v>2545.31</v>
      </c>
    </row>
    <row r="1165" spans="1:13" x14ac:dyDescent="0.25">
      <c r="A1165">
        <v>1000</v>
      </c>
      <c r="B1165">
        <v>1000</v>
      </c>
      <c r="C1165" s="1">
        <v>45961</v>
      </c>
      <c r="D1165">
        <v>90044</v>
      </c>
      <c r="E1165">
        <v>266</v>
      </c>
      <c r="F1165" s="2">
        <v>5613.34</v>
      </c>
      <c r="G1165" s="1">
        <v>45965</v>
      </c>
      <c r="I1165" t="s">
        <v>9</v>
      </c>
      <c r="J1165" s="14">
        <f>IFERROR(VLOOKUP(D1165,'INf. RRHH'!$A:$B,2,0),0)</f>
        <v>2900</v>
      </c>
      <c r="K1165" s="16">
        <f t="shared" si="54"/>
        <v>2713.34</v>
      </c>
      <c r="L1165" s="17">
        <f t="shared" si="55"/>
        <v>966.67</v>
      </c>
      <c r="M1165" s="18">
        <f t="shared" si="56"/>
        <v>3680.01</v>
      </c>
    </row>
    <row r="1166" spans="1:13" x14ac:dyDescent="0.25">
      <c r="A1166">
        <v>1000</v>
      </c>
      <c r="B1166">
        <v>1000</v>
      </c>
      <c r="C1166" s="1">
        <v>45961</v>
      </c>
      <c r="D1166">
        <v>90143</v>
      </c>
      <c r="E1166">
        <v>248</v>
      </c>
      <c r="F1166" s="2">
        <v>5669.47</v>
      </c>
      <c r="G1166" s="1">
        <v>45965</v>
      </c>
      <c r="I1166" t="s">
        <v>9</v>
      </c>
      <c r="J1166" s="14">
        <f>IFERROR(VLOOKUP(D1166,'INf. RRHH'!$A:$B,2,0),0)</f>
        <v>2900</v>
      </c>
      <c r="K1166" s="16">
        <f t="shared" si="54"/>
        <v>2769.4700000000003</v>
      </c>
      <c r="L1166" s="17">
        <f t="shared" si="55"/>
        <v>966.67</v>
      </c>
      <c r="M1166" s="18">
        <f t="shared" si="56"/>
        <v>3736.1400000000003</v>
      </c>
    </row>
    <row r="1167" spans="1:13" x14ac:dyDescent="0.25">
      <c r="A1167">
        <v>1000</v>
      </c>
      <c r="B1167">
        <v>1000</v>
      </c>
      <c r="C1167" s="1">
        <v>45961</v>
      </c>
      <c r="D1167">
        <v>90289</v>
      </c>
      <c r="E1167">
        <v>224</v>
      </c>
      <c r="F1167" s="2">
        <v>5496.88</v>
      </c>
      <c r="G1167" s="1">
        <v>45965</v>
      </c>
      <c r="I1167" t="s">
        <v>9</v>
      </c>
      <c r="J1167" s="14">
        <f>IFERROR(VLOOKUP(D1167,'INf. RRHH'!$A:$B,2,0),0)</f>
        <v>2900</v>
      </c>
      <c r="K1167" s="16">
        <f t="shared" si="54"/>
        <v>2596.88</v>
      </c>
      <c r="L1167" s="17">
        <f t="shared" si="55"/>
        <v>966.67</v>
      </c>
      <c r="M1167" s="18">
        <f t="shared" si="56"/>
        <v>3563.55</v>
      </c>
    </row>
    <row r="1168" spans="1:13" x14ac:dyDescent="0.25">
      <c r="A1168">
        <v>1000</v>
      </c>
      <c r="B1168">
        <v>1000</v>
      </c>
      <c r="C1168" s="1">
        <v>45961</v>
      </c>
      <c r="D1168">
        <v>90683</v>
      </c>
      <c r="E1168">
        <v>224</v>
      </c>
      <c r="F1168" s="2">
        <v>5081.49</v>
      </c>
      <c r="G1168" s="1">
        <v>45965</v>
      </c>
      <c r="I1168" t="s">
        <v>9</v>
      </c>
      <c r="J1168" s="14">
        <f>IFERROR(VLOOKUP(D1168,'INf. RRHH'!$A:$B,2,0),0)</f>
        <v>2900</v>
      </c>
      <c r="K1168" s="16">
        <f t="shared" si="54"/>
        <v>2181.4899999999998</v>
      </c>
      <c r="L1168" s="17">
        <f t="shared" si="55"/>
        <v>966.67</v>
      </c>
      <c r="M1168" s="18">
        <f t="shared" si="56"/>
        <v>3148.16</v>
      </c>
    </row>
    <row r="1169" spans="1:13" x14ac:dyDescent="0.25">
      <c r="A1169">
        <v>1000</v>
      </c>
      <c r="B1169">
        <v>1000</v>
      </c>
      <c r="C1169" s="1">
        <v>45961</v>
      </c>
      <c r="D1169">
        <v>90782</v>
      </c>
      <c r="E1169">
        <v>240</v>
      </c>
      <c r="F1169" s="2">
        <v>4593.53</v>
      </c>
      <c r="G1169" s="1">
        <v>45965</v>
      </c>
      <c r="I1169" t="s">
        <v>9</v>
      </c>
      <c r="J1169" s="14">
        <f>IFERROR(VLOOKUP(D1169,'INf. RRHH'!$A:$B,2,0),0)</f>
        <v>2900</v>
      </c>
      <c r="K1169" s="16">
        <f t="shared" si="54"/>
        <v>1693.5299999999997</v>
      </c>
      <c r="L1169" s="17">
        <f t="shared" si="55"/>
        <v>966.67</v>
      </c>
      <c r="M1169" s="18">
        <f t="shared" si="56"/>
        <v>2660.2</v>
      </c>
    </row>
    <row r="1170" spans="1:13" x14ac:dyDescent="0.25">
      <c r="A1170">
        <v>1000</v>
      </c>
      <c r="B1170">
        <v>1000</v>
      </c>
      <c r="C1170" s="1">
        <v>45961</v>
      </c>
      <c r="D1170">
        <v>90839</v>
      </c>
      <c r="E1170">
        <v>388</v>
      </c>
      <c r="F1170" s="2">
        <v>6415.44</v>
      </c>
      <c r="G1170" s="1">
        <v>45965</v>
      </c>
      <c r="I1170" t="s">
        <v>9</v>
      </c>
      <c r="J1170" s="14">
        <f>IFERROR(VLOOKUP(D1170,'INf. RRHH'!$A:$B,2,0),0)</f>
        <v>2900</v>
      </c>
      <c r="K1170" s="16">
        <f t="shared" si="54"/>
        <v>3515.4399999999996</v>
      </c>
      <c r="L1170" s="17">
        <f t="shared" si="55"/>
        <v>966.67</v>
      </c>
      <c r="M1170" s="18">
        <f t="shared" si="56"/>
        <v>4482.1099999999997</v>
      </c>
    </row>
    <row r="1171" spans="1:13" x14ac:dyDescent="0.25">
      <c r="A1171">
        <v>1000</v>
      </c>
      <c r="B1171">
        <v>1000</v>
      </c>
      <c r="C1171" s="1">
        <v>45961</v>
      </c>
      <c r="D1171">
        <v>90845</v>
      </c>
      <c r="E1171">
        <v>240</v>
      </c>
      <c r="F1171" s="2">
        <v>6344.93</v>
      </c>
      <c r="G1171" s="1">
        <v>45965</v>
      </c>
      <c r="I1171" t="s">
        <v>9</v>
      </c>
      <c r="J1171" s="14">
        <f>IFERROR(VLOOKUP(D1171,'INf. RRHH'!$A:$B,2,0),0)</f>
        <v>2900</v>
      </c>
      <c r="K1171" s="16">
        <f t="shared" si="54"/>
        <v>3444.9300000000003</v>
      </c>
      <c r="L1171" s="17">
        <f t="shared" si="55"/>
        <v>966.67</v>
      </c>
      <c r="M1171" s="18">
        <f t="shared" si="56"/>
        <v>4411.6000000000004</v>
      </c>
    </row>
    <row r="1172" spans="1:13" x14ac:dyDescent="0.25">
      <c r="A1172">
        <v>1000</v>
      </c>
      <c r="B1172">
        <v>1000</v>
      </c>
      <c r="C1172" s="1">
        <v>45961</v>
      </c>
      <c r="D1172">
        <v>90866</v>
      </c>
      <c r="E1172">
        <v>200</v>
      </c>
      <c r="F1172" s="2">
        <v>4804.68</v>
      </c>
      <c r="G1172" s="1">
        <v>45965</v>
      </c>
      <c r="I1172" t="s">
        <v>9</v>
      </c>
      <c r="J1172" s="14">
        <f>IFERROR(VLOOKUP(D1172,'INf. RRHH'!$A:$B,2,0),0)</f>
        <v>2900</v>
      </c>
      <c r="K1172" s="16">
        <f t="shared" si="54"/>
        <v>1904.6800000000003</v>
      </c>
      <c r="L1172" s="17">
        <f t="shared" si="55"/>
        <v>966.67</v>
      </c>
      <c r="M1172" s="18">
        <f t="shared" si="56"/>
        <v>2871.3500000000004</v>
      </c>
    </row>
    <row r="1173" spans="1:13" x14ac:dyDescent="0.25">
      <c r="A1173">
        <v>1000</v>
      </c>
      <c r="B1173">
        <v>1000</v>
      </c>
      <c r="C1173" s="1">
        <v>45961</v>
      </c>
      <c r="D1173">
        <v>90920</v>
      </c>
      <c r="E1173">
        <v>240</v>
      </c>
      <c r="F1173" s="2">
        <v>5211.7299999999996</v>
      </c>
      <c r="G1173" s="1">
        <v>45965</v>
      </c>
      <c r="I1173" t="s">
        <v>9</v>
      </c>
      <c r="J1173" s="14">
        <f>IFERROR(VLOOKUP(D1173,'INf. RRHH'!$A:$B,2,0),0)</f>
        <v>2900</v>
      </c>
      <c r="K1173" s="16">
        <f t="shared" si="54"/>
        <v>2311.7299999999996</v>
      </c>
      <c r="L1173" s="17">
        <f t="shared" si="55"/>
        <v>966.67</v>
      </c>
      <c r="M1173" s="18">
        <f t="shared" si="56"/>
        <v>3278.3999999999996</v>
      </c>
    </row>
    <row r="1174" spans="1:13" x14ac:dyDescent="0.25">
      <c r="A1174">
        <v>1000</v>
      </c>
      <c r="B1174">
        <v>1000</v>
      </c>
      <c r="C1174" s="1">
        <v>45961</v>
      </c>
      <c r="D1174">
        <v>90978</v>
      </c>
      <c r="E1174">
        <v>240</v>
      </c>
      <c r="F1174" s="2">
        <v>5380.88</v>
      </c>
      <c r="G1174" s="1">
        <v>45965</v>
      </c>
      <c r="I1174" t="s">
        <v>9</v>
      </c>
      <c r="J1174" s="14">
        <f>IFERROR(VLOOKUP(D1174,'INf. RRHH'!$A:$B,2,0),0)</f>
        <v>2900</v>
      </c>
      <c r="K1174" s="16">
        <f t="shared" si="54"/>
        <v>2480.88</v>
      </c>
      <c r="L1174" s="17">
        <f t="shared" si="55"/>
        <v>966.67</v>
      </c>
      <c r="M1174" s="18">
        <f t="shared" si="56"/>
        <v>3447.55</v>
      </c>
    </row>
    <row r="1175" spans="1:13" x14ac:dyDescent="0.25">
      <c r="A1175">
        <v>1000</v>
      </c>
      <c r="B1175">
        <v>1000</v>
      </c>
      <c r="C1175" s="1">
        <v>45961</v>
      </c>
      <c r="D1175">
        <v>90999</v>
      </c>
      <c r="E1175">
        <v>399</v>
      </c>
      <c r="F1175" s="2">
        <v>3931.71</v>
      </c>
      <c r="G1175" s="1">
        <v>45965</v>
      </c>
      <c r="I1175" t="s">
        <v>9</v>
      </c>
      <c r="J1175" s="14">
        <f>IFERROR(VLOOKUP(D1175,'INf. RRHH'!$A:$B,2,0),0)</f>
        <v>2900</v>
      </c>
      <c r="K1175" s="16">
        <f t="shared" si="54"/>
        <v>1031.71</v>
      </c>
      <c r="L1175" s="17">
        <f t="shared" si="55"/>
        <v>966.67</v>
      </c>
      <c r="M1175" s="18">
        <f t="shared" si="56"/>
        <v>1998.38</v>
      </c>
    </row>
    <row r="1176" spans="1:13" x14ac:dyDescent="0.25">
      <c r="A1176">
        <v>1000</v>
      </c>
      <c r="B1176">
        <v>1000</v>
      </c>
      <c r="C1176" s="1">
        <v>45961</v>
      </c>
      <c r="D1176">
        <v>91136</v>
      </c>
      <c r="E1176">
        <v>402</v>
      </c>
      <c r="F1176" s="2">
        <v>6827.84</v>
      </c>
      <c r="G1176" s="1">
        <v>45965</v>
      </c>
      <c r="I1176" t="s">
        <v>9</v>
      </c>
      <c r="J1176" s="14">
        <f>IFERROR(VLOOKUP(D1176,'INf. RRHH'!$A:$B,2,0),0)</f>
        <v>2900</v>
      </c>
      <c r="K1176" s="16">
        <f t="shared" si="54"/>
        <v>3927.84</v>
      </c>
      <c r="L1176" s="17">
        <f t="shared" si="55"/>
        <v>966.67</v>
      </c>
      <c r="M1176" s="18">
        <f t="shared" si="56"/>
        <v>4894.51</v>
      </c>
    </row>
    <row r="1177" spans="1:13" x14ac:dyDescent="0.25">
      <c r="A1177">
        <v>1000</v>
      </c>
      <c r="B1177">
        <v>1000</v>
      </c>
      <c r="C1177" s="1">
        <v>45961</v>
      </c>
      <c r="D1177">
        <v>91154</v>
      </c>
      <c r="E1177">
        <v>331.5</v>
      </c>
      <c r="F1177" s="2">
        <v>5701.73</v>
      </c>
      <c r="G1177" s="1">
        <v>45965</v>
      </c>
      <c r="I1177" t="s">
        <v>9</v>
      </c>
      <c r="J1177" s="14">
        <f>IFERROR(VLOOKUP(D1177,'INf. RRHH'!$A:$B,2,0),0)</f>
        <v>2900</v>
      </c>
      <c r="K1177" s="16">
        <f t="shared" si="54"/>
        <v>2801.7299999999996</v>
      </c>
      <c r="L1177" s="17">
        <f t="shared" si="55"/>
        <v>966.67</v>
      </c>
      <c r="M1177" s="18">
        <f t="shared" si="56"/>
        <v>3768.3999999999996</v>
      </c>
    </row>
    <row r="1178" spans="1:13" x14ac:dyDescent="0.25">
      <c r="A1178">
        <v>1000</v>
      </c>
      <c r="B1178">
        <v>1000</v>
      </c>
      <c r="C1178" s="1">
        <v>45961</v>
      </c>
      <c r="D1178">
        <v>91370</v>
      </c>
      <c r="E1178">
        <v>391</v>
      </c>
      <c r="F1178" s="2">
        <v>6700.36</v>
      </c>
      <c r="G1178" s="1">
        <v>45965</v>
      </c>
      <c r="I1178" t="s">
        <v>9</v>
      </c>
      <c r="J1178" s="14">
        <f>IFERROR(VLOOKUP(D1178,'INf. RRHH'!$A:$B,2,0),0)</f>
        <v>2900</v>
      </c>
      <c r="K1178" s="16">
        <f t="shared" si="54"/>
        <v>3800.3599999999997</v>
      </c>
      <c r="L1178" s="17">
        <f t="shared" si="55"/>
        <v>966.67</v>
      </c>
      <c r="M1178" s="18">
        <f t="shared" si="56"/>
        <v>4767.03</v>
      </c>
    </row>
    <row r="1179" spans="1:13" x14ac:dyDescent="0.25">
      <c r="A1179">
        <v>1000</v>
      </c>
      <c r="B1179">
        <v>1000</v>
      </c>
      <c r="C1179" s="1">
        <v>45961</v>
      </c>
      <c r="D1179">
        <v>91397</v>
      </c>
      <c r="E1179">
        <v>351</v>
      </c>
      <c r="F1179" s="2">
        <v>6898.72</v>
      </c>
      <c r="G1179" s="1">
        <v>45965</v>
      </c>
      <c r="I1179" t="s">
        <v>9</v>
      </c>
      <c r="J1179" s="14">
        <f>IFERROR(VLOOKUP(D1179,'INf. RRHH'!$A:$B,2,0),0)</f>
        <v>2900</v>
      </c>
      <c r="K1179" s="16">
        <f t="shared" si="54"/>
        <v>3998.7200000000003</v>
      </c>
      <c r="L1179" s="17">
        <f t="shared" si="55"/>
        <v>966.67</v>
      </c>
      <c r="M1179" s="18">
        <f t="shared" si="56"/>
        <v>4965.3900000000003</v>
      </c>
    </row>
    <row r="1180" spans="1:13" x14ac:dyDescent="0.25">
      <c r="A1180">
        <v>1000</v>
      </c>
      <c r="B1180">
        <v>1000</v>
      </c>
      <c r="C1180" s="1">
        <v>45961</v>
      </c>
      <c r="D1180">
        <v>91677</v>
      </c>
      <c r="E1180">
        <v>320</v>
      </c>
      <c r="F1180" s="2">
        <v>6275.08</v>
      </c>
      <c r="G1180" s="1">
        <v>45965</v>
      </c>
      <c r="I1180" t="s">
        <v>9</v>
      </c>
      <c r="J1180" s="14">
        <f>IFERROR(VLOOKUP(D1180,'INf. RRHH'!$A:$B,2,0),0)</f>
        <v>2900</v>
      </c>
      <c r="K1180" s="16">
        <f t="shared" si="54"/>
        <v>3375.08</v>
      </c>
      <c r="L1180" s="17">
        <f t="shared" si="55"/>
        <v>966.67</v>
      </c>
      <c r="M1180" s="18">
        <f t="shared" si="56"/>
        <v>4341.75</v>
      </c>
    </row>
    <row r="1181" spans="1:13" x14ac:dyDescent="0.25">
      <c r="A1181">
        <v>1000</v>
      </c>
      <c r="B1181">
        <v>1000</v>
      </c>
      <c r="C1181" s="1">
        <v>45961</v>
      </c>
      <c r="D1181">
        <v>91689</v>
      </c>
      <c r="E1181">
        <v>272</v>
      </c>
      <c r="F1181" s="2">
        <v>5570.35</v>
      </c>
      <c r="G1181" s="1">
        <v>45965</v>
      </c>
      <c r="I1181" t="s">
        <v>9</v>
      </c>
      <c r="J1181" s="14">
        <f>IFERROR(VLOOKUP(D1181,'INf. RRHH'!$A:$B,2,0),0)</f>
        <v>2900</v>
      </c>
      <c r="K1181" s="16">
        <f t="shared" si="54"/>
        <v>2670.3500000000004</v>
      </c>
      <c r="L1181" s="17">
        <f t="shared" si="55"/>
        <v>966.67</v>
      </c>
      <c r="M1181" s="18">
        <f t="shared" si="56"/>
        <v>3637.0200000000004</v>
      </c>
    </row>
    <row r="1182" spans="1:13" x14ac:dyDescent="0.25">
      <c r="A1182">
        <v>1000</v>
      </c>
      <c r="B1182">
        <v>1000</v>
      </c>
      <c r="C1182" s="1">
        <v>45961</v>
      </c>
      <c r="D1182">
        <v>91749</v>
      </c>
      <c r="E1182">
        <v>80</v>
      </c>
      <c r="F1182" s="2">
        <v>6299.68</v>
      </c>
      <c r="G1182" s="1">
        <v>45965</v>
      </c>
      <c r="I1182" t="s">
        <v>9</v>
      </c>
      <c r="J1182" s="14">
        <f>IFERROR(VLOOKUP(D1182,'INf. RRHH'!$A:$B,2,0),0)</f>
        <v>2900</v>
      </c>
      <c r="K1182" s="16">
        <f t="shared" si="54"/>
        <v>3399.6800000000003</v>
      </c>
      <c r="L1182" s="17">
        <f t="shared" si="55"/>
        <v>966.67</v>
      </c>
      <c r="M1182" s="18">
        <f t="shared" si="56"/>
        <v>4366.3500000000004</v>
      </c>
    </row>
    <row r="1183" spans="1:13" x14ac:dyDescent="0.25">
      <c r="A1183">
        <v>1000</v>
      </c>
      <c r="B1183">
        <v>1000</v>
      </c>
      <c r="C1183" s="1">
        <v>45961</v>
      </c>
      <c r="D1183">
        <v>91965</v>
      </c>
      <c r="E1183">
        <v>331</v>
      </c>
      <c r="F1183" s="2">
        <v>7591.25</v>
      </c>
      <c r="G1183" s="1">
        <v>45965</v>
      </c>
      <c r="I1183" t="s">
        <v>9</v>
      </c>
      <c r="J1183" s="14">
        <f>IFERROR(VLOOKUP(D1183,'INf. RRHH'!$A:$B,2,0),0)</f>
        <v>2900</v>
      </c>
      <c r="K1183" s="16">
        <f t="shared" si="54"/>
        <v>4691.25</v>
      </c>
      <c r="L1183" s="17">
        <f t="shared" si="55"/>
        <v>966.67</v>
      </c>
      <c r="M1183" s="18">
        <f t="shared" si="56"/>
        <v>5657.92</v>
      </c>
    </row>
    <row r="1184" spans="1:13" x14ac:dyDescent="0.25">
      <c r="A1184">
        <v>1000</v>
      </c>
      <c r="B1184">
        <v>1000</v>
      </c>
      <c r="C1184" s="1">
        <v>45961</v>
      </c>
      <c r="D1184">
        <v>91977</v>
      </c>
      <c r="E1184">
        <v>328</v>
      </c>
      <c r="F1184" s="2">
        <v>5310.35</v>
      </c>
      <c r="G1184" s="1">
        <v>45965</v>
      </c>
      <c r="I1184" t="s">
        <v>9</v>
      </c>
      <c r="J1184" s="14">
        <f>IFERROR(VLOOKUP(D1184,'INf. RRHH'!$A:$B,2,0),0)</f>
        <v>2900</v>
      </c>
      <c r="K1184" s="16">
        <f t="shared" si="54"/>
        <v>2410.3500000000004</v>
      </c>
      <c r="L1184" s="17">
        <f t="shared" si="55"/>
        <v>966.67</v>
      </c>
      <c r="M1184" s="18">
        <f t="shared" si="56"/>
        <v>3377.0200000000004</v>
      </c>
    </row>
    <row r="1185" spans="1:13" x14ac:dyDescent="0.25">
      <c r="A1185">
        <v>1000</v>
      </c>
      <c r="B1185">
        <v>1000</v>
      </c>
      <c r="C1185" s="1">
        <v>45961</v>
      </c>
      <c r="D1185">
        <v>92378</v>
      </c>
      <c r="E1185">
        <v>208</v>
      </c>
      <c r="F1185" s="2">
        <v>4789.67</v>
      </c>
      <c r="G1185" s="1">
        <v>45965</v>
      </c>
      <c r="I1185" t="s">
        <v>9</v>
      </c>
      <c r="J1185" s="14">
        <f>IFERROR(VLOOKUP(D1185,'INf. RRHH'!$A:$B,2,0),0)</f>
        <v>2900</v>
      </c>
      <c r="K1185" s="16">
        <f t="shared" si="54"/>
        <v>1889.67</v>
      </c>
      <c r="L1185" s="17">
        <f t="shared" si="55"/>
        <v>966.67</v>
      </c>
      <c r="M1185" s="18">
        <f t="shared" si="56"/>
        <v>2856.34</v>
      </c>
    </row>
    <row r="1186" spans="1:13" x14ac:dyDescent="0.25">
      <c r="A1186">
        <v>1000</v>
      </c>
      <c r="B1186">
        <v>1000</v>
      </c>
      <c r="C1186" s="1">
        <v>45961</v>
      </c>
      <c r="D1186">
        <v>92568</v>
      </c>
      <c r="E1186">
        <v>319.5</v>
      </c>
      <c r="F1186" s="2">
        <v>6820.93</v>
      </c>
      <c r="G1186" s="1">
        <v>45965</v>
      </c>
      <c r="I1186" t="s">
        <v>9</v>
      </c>
      <c r="J1186" s="14">
        <f>IFERROR(VLOOKUP(D1186,'INf. RRHH'!$A:$B,2,0),0)</f>
        <v>2900</v>
      </c>
      <c r="K1186" s="16">
        <f t="shared" si="54"/>
        <v>3920.9300000000003</v>
      </c>
      <c r="L1186" s="17">
        <f t="shared" si="55"/>
        <v>966.67</v>
      </c>
      <c r="M1186" s="18">
        <f t="shared" si="56"/>
        <v>4887.6000000000004</v>
      </c>
    </row>
    <row r="1187" spans="1:13" x14ac:dyDescent="0.25">
      <c r="A1187">
        <v>1000</v>
      </c>
      <c r="B1187">
        <v>1000</v>
      </c>
      <c r="C1187" s="1">
        <v>45961</v>
      </c>
      <c r="D1187">
        <v>92586</v>
      </c>
      <c r="E1187">
        <v>328</v>
      </c>
      <c r="F1187" s="2">
        <v>6651.46</v>
      </c>
      <c r="G1187" s="1">
        <v>45965</v>
      </c>
      <c r="I1187" t="s">
        <v>9</v>
      </c>
      <c r="J1187" s="14">
        <f>IFERROR(VLOOKUP(D1187,'INf. RRHH'!$A:$B,2,0),0)</f>
        <v>2900</v>
      </c>
      <c r="K1187" s="16">
        <f t="shared" si="54"/>
        <v>3751.46</v>
      </c>
      <c r="L1187" s="17">
        <f t="shared" si="55"/>
        <v>966.67</v>
      </c>
      <c r="M1187" s="18">
        <f t="shared" si="56"/>
        <v>4718.13</v>
      </c>
    </row>
    <row r="1188" spans="1:13" x14ac:dyDescent="0.25">
      <c r="A1188">
        <v>1000</v>
      </c>
      <c r="B1188">
        <v>1000</v>
      </c>
      <c r="C1188" s="1">
        <v>45961</v>
      </c>
      <c r="D1188">
        <v>92622</v>
      </c>
      <c r="E1188">
        <v>336</v>
      </c>
      <c r="F1188" s="2">
        <v>6439.09</v>
      </c>
      <c r="G1188" s="1">
        <v>45965</v>
      </c>
      <c r="I1188" t="s">
        <v>9</v>
      </c>
      <c r="J1188" s="14">
        <f>IFERROR(VLOOKUP(D1188,'INf. RRHH'!$A:$B,2,0),0)</f>
        <v>2900</v>
      </c>
      <c r="K1188" s="16">
        <f t="shared" si="54"/>
        <v>3539.09</v>
      </c>
      <c r="L1188" s="17">
        <f t="shared" si="55"/>
        <v>966.67</v>
      </c>
      <c r="M1188" s="18">
        <f t="shared" si="56"/>
        <v>4505.76</v>
      </c>
    </row>
    <row r="1189" spans="1:13" x14ac:dyDescent="0.25">
      <c r="A1189">
        <v>1000</v>
      </c>
      <c r="B1189">
        <v>1000</v>
      </c>
      <c r="C1189" s="1">
        <v>45961</v>
      </c>
      <c r="D1189">
        <v>92787</v>
      </c>
      <c r="E1189">
        <v>296</v>
      </c>
      <c r="F1189" s="2">
        <v>5737.05</v>
      </c>
      <c r="G1189" s="1">
        <v>45965</v>
      </c>
      <c r="I1189" t="s">
        <v>9</v>
      </c>
      <c r="J1189" s="14">
        <f>IFERROR(VLOOKUP(D1189,'INf. RRHH'!$A:$B,2,0),0)</f>
        <v>2900</v>
      </c>
      <c r="K1189" s="16">
        <f t="shared" si="54"/>
        <v>2837.05</v>
      </c>
      <c r="L1189" s="17">
        <f t="shared" si="55"/>
        <v>966.67</v>
      </c>
      <c r="M1189" s="18">
        <f t="shared" si="56"/>
        <v>3803.7200000000003</v>
      </c>
    </row>
    <row r="1190" spans="1:13" x14ac:dyDescent="0.25">
      <c r="A1190">
        <v>1000</v>
      </c>
      <c r="B1190">
        <v>1000</v>
      </c>
      <c r="C1190" s="1">
        <v>45961</v>
      </c>
      <c r="D1190">
        <v>92859</v>
      </c>
      <c r="E1190">
        <v>240</v>
      </c>
      <c r="F1190" s="2">
        <v>5214.13</v>
      </c>
      <c r="G1190" s="1">
        <v>45965</v>
      </c>
      <c r="I1190" t="s">
        <v>9</v>
      </c>
      <c r="J1190" s="14">
        <f>IFERROR(VLOOKUP(D1190,'INf. RRHH'!$A:$B,2,0),0)</f>
        <v>2900</v>
      </c>
      <c r="K1190" s="16">
        <f t="shared" si="54"/>
        <v>2314.13</v>
      </c>
      <c r="L1190" s="17">
        <f t="shared" si="55"/>
        <v>966.67</v>
      </c>
      <c r="M1190" s="18">
        <f t="shared" si="56"/>
        <v>3280.8</v>
      </c>
    </row>
    <row r="1191" spans="1:13" x14ac:dyDescent="0.25">
      <c r="A1191">
        <v>1000</v>
      </c>
      <c r="B1191">
        <v>1000</v>
      </c>
      <c r="C1191" s="1">
        <v>45961</v>
      </c>
      <c r="D1191">
        <v>92895</v>
      </c>
      <c r="E1191">
        <v>240</v>
      </c>
      <c r="F1191" s="2">
        <v>3796.22</v>
      </c>
      <c r="G1191" s="1">
        <v>45965</v>
      </c>
      <c r="I1191" t="s">
        <v>9</v>
      </c>
      <c r="J1191" s="14">
        <f>IFERROR(VLOOKUP(D1191,'INf. RRHH'!$A:$B,2,0),0)</f>
        <v>2900</v>
      </c>
      <c r="K1191" s="16">
        <f t="shared" si="54"/>
        <v>896.2199999999998</v>
      </c>
      <c r="L1191" s="17">
        <f t="shared" si="55"/>
        <v>966.67</v>
      </c>
      <c r="M1191" s="18">
        <f t="shared" si="56"/>
        <v>1862.8899999999999</v>
      </c>
    </row>
    <row r="1192" spans="1:13" x14ac:dyDescent="0.25">
      <c r="A1192">
        <v>1000</v>
      </c>
      <c r="B1192">
        <v>1000</v>
      </c>
      <c r="C1192" s="1">
        <v>45961</v>
      </c>
      <c r="D1192">
        <v>92934</v>
      </c>
      <c r="E1192">
        <v>231</v>
      </c>
      <c r="F1192" s="2">
        <v>5265.54</v>
      </c>
      <c r="G1192" s="1">
        <v>45965</v>
      </c>
      <c r="I1192" t="s">
        <v>9</v>
      </c>
      <c r="J1192" s="14">
        <f>IFERROR(VLOOKUP(D1192,'INf. RRHH'!$A:$B,2,0),0)</f>
        <v>2900</v>
      </c>
      <c r="K1192" s="16">
        <f t="shared" si="54"/>
        <v>2365.54</v>
      </c>
      <c r="L1192" s="17">
        <f t="shared" si="55"/>
        <v>966.67</v>
      </c>
      <c r="M1192" s="18">
        <f t="shared" si="56"/>
        <v>3332.21</v>
      </c>
    </row>
    <row r="1193" spans="1:13" x14ac:dyDescent="0.25">
      <c r="A1193">
        <v>1000</v>
      </c>
      <c r="B1193">
        <v>1000</v>
      </c>
      <c r="C1193" s="1">
        <v>45961</v>
      </c>
      <c r="D1193">
        <v>92964</v>
      </c>
      <c r="E1193">
        <v>280.5</v>
      </c>
      <c r="F1193" s="2">
        <v>6888.97</v>
      </c>
      <c r="G1193" s="1">
        <v>45965</v>
      </c>
      <c r="I1193" t="s">
        <v>9</v>
      </c>
      <c r="J1193" s="14">
        <f>IFERROR(VLOOKUP(D1193,'INf. RRHH'!$A:$B,2,0),0)</f>
        <v>2900</v>
      </c>
      <c r="K1193" s="16">
        <f t="shared" si="54"/>
        <v>3988.9700000000003</v>
      </c>
      <c r="L1193" s="17">
        <f t="shared" si="55"/>
        <v>966.67</v>
      </c>
      <c r="M1193" s="18">
        <f t="shared" si="56"/>
        <v>4955.6400000000003</v>
      </c>
    </row>
    <row r="1194" spans="1:13" x14ac:dyDescent="0.25">
      <c r="A1194">
        <v>1000</v>
      </c>
      <c r="B1194">
        <v>1000</v>
      </c>
      <c r="C1194" s="1">
        <v>45961</v>
      </c>
      <c r="D1194">
        <v>93284</v>
      </c>
      <c r="E1194">
        <v>251.5</v>
      </c>
      <c r="F1194" s="2">
        <v>5620.49</v>
      </c>
      <c r="G1194" s="1">
        <v>45965</v>
      </c>
      <c r="I1194" t="s">
        <v>9</v>
      </c>
      <c r="J1194" s="14">
        <f>IFERROR(VLOOKUP(D1194,'INf. RRHH'!$A:$B,2,0),0)</f>
        <v>2900</v>
      </c>
      <c r="K1194" s="16">
        <f t="shared" si="54"/>
        <v>2720.49</v>
      </c>
      <c r="L1194" s="17">
        <f t="shared" si="55"/>
        <v>966.67</v>
      </c>
      <c r="M1194" s="18">
        <f t="shared" si="56"/>
        <v>3687.16</v>
      </c>
    </row>
    <row r="1195" spans="1:13" x14ac:dyDescent="0.25">
      <c r="A1195">
        <v>1000</v>
      </c>
      <c r="B1195">
        <v>1000</v>
      </c>
      <c r="C1195" s="1">
        <v>45961</v>
      </c>
      <c r="D1195">
        <v>93418</v>
      </c>
      <c r="E1195">
        <v>239.5</v>
      </c>
      <c r="F1195" s="2">
        <v>5367.21</v>
      </c>
      <c r="G1195" s="1">
        <v>45965</v>
      </c>
      <c r="I1195" t="s">
        <v>9</v>
      </c>
      <c r="J1195" s="14">
        <f>IFERROR(VLOOKUP(D1195,'INf. RRHH'!$A:$B,2,0),0)</f>
        <v>2900</v>
      </c>
      <c r="K1195" s="16">
        <f t="shared" si="54"/>
        <v>2467.21</v>
      </c>
      <c r="L1195" s="17">
        <f t="shared" si="55"/>
        <v>966.67</v>
      </c>
      <c r="M1195" s="18">
        <f t="shared" si="56"/>
        <v>3433.88</v>
      </c>
    </row>
    <row r="1196" spans="1:13" x14ac:dyDescent="0.25">
      <c r="A1196">
        <v>1000</v>
      </c>
      <c r="B1196">
        <v>1000</v>
      </c>
      <c r="C1196" s="1">
        <v>45961</v>
      </c>
      <c r="D1196">
        <v>93498</v>
      </c>
      <c r="E1196">
        <v>240</v>
      </c>
      <c r="F1196" s="2">
        <v>3720.18</v>
      </c>
      <c r="G1196" s="1">
        <v>45965</v>
      </c>
      <c r="I1196" t="s">
        <v>9</v>
      </c>
      <c r="J1196" s="14">
        <f>IFERROR(VLOOKUP(D1196,'INf. RRHH'!$A:$B,2,0),0)</f>
        <v>2900</v>
      </c>
      <c r="K1196" s="16">
        <f t="shared" si="54"/>
        <v>820.17999999999984</v>
      </c>
      <c r="L1196" s="17">
        <f t="shared" si="55"/>
        <v>966.67</v>
      </c>
      <c r="M1196" s="18">
        <f t="shared" si="56"/>
        <v>1786.85</v>
      </c>
    </row>
    <row r="1197" spans="1:13" x14ac:dyDescent="0.25">
      <c r="A1197">
        <v>1000</v>
      </c>
      <c r="B1197">
        <v>1000</v>
      </c>
      <c r="C1197" s="1">
        <v>45961</v>
      </c>
      <c r="D1197">
        <v>93567</v>
      </c>
      <c r="E1197">
        <v>332.5</v>
      </c>
      <c r="F1197" s="2">
        <v>5904.36</v>
      </c>
      <c r="G1197" s="1">
        <v>45965</v>
      </c>
      <c r="I1197" t="s">
        <v>9</v>
      </c>
      <c r="J1197" s="14">
        <f>IFERROR(VLOOKUP(D1197,'INf. RRHH'!$A:$B,2,0),0)</f>
        <v>2900</v>
      </c>
      <c r="K1197" s="16">
        <f t="shared" si="54"/>
        <v>3004.3599999999997</v>
      </c>
      <c r="L1197" s="17">
        <f t="shared" si="55"/>
        <v>966.67</v>
      </c>
      <c r="M1197" s="18">
        <f t="shared" si="56"/>
        <v>3971.0299999999997</v>
      </c>
    </row>
    <row r="1198" spans="1:13" x14ac:dyDescent="0.25">
      <c r="A1198">
        <v>1000</v>
      </c>
      <c r="B1198">
        <v>1000</v>
      </c>
      <c r="C1198" s="1">
        <v>45961</v>
      </c>
      <c r="D1198">
        <v>93684</v>
      </c>
      <c r="E1198">
        <v>330</v>
      </c>
      <c r="F1198" s="2">
        <v>6768.12</v>
      </c>
      <c r="G1198" s="1">
        <v>45965</v>
      </c>
      <c r="I1198" t="s">
        <v>9</v>
      </c>
      <c r="J1198" s="14">
        <f>IFERROR(VLOOKUP(D1198,'INf. RRHH'!$A:$B,2,0),0)</f>
        <v>2900</v>
      </c>
      <c r="K1198" s="16">
        <f t="shared" si="54"/>
        <v>3868.12</v>
      </c>
      <c r="L1198" s="17">
        <f t="shared" si="55"/>
        <v>966.67</v>
      </c>
      <c r="M1198" s="18">
        <f t="shared" si="56"/>
        <v>4834.79</v>
      </c>
    </row>
    <row r="1199" spans="1:13" x14ac:dyDescent="0.25">
      <c r="A1199">
        <v>1000</v>
      </c>
      <c r="B1199">
        <v>1000</v>
      </c>
      <c r="C1199" s="1">
        <v>45961</v>
      </c>
      <c r="D1199">
        <v>93711</v>
      </c>
      <c r="E1199">
        <v>391</v>
      </c>
      <c r="F1199" s="2">
        <v>5975.93</v>
      </c>
      <c r="G1199" s="1">
        <v>45965</v>
      </c>
      <c r="I1199" t="s">
        <v>9</v>
      </c>
      <c r="J1199" s="14">
        <f>IFERROR(VLOOKUP(D1199,'INf. RRHH'!$A:$B,2,0),0)</f>
        <v>2900</v>
      </c>
      <c r="K1199" s="16">
        <f t="shared" si="54"/>
        <v>3075.9300000000003</v>
      </c>
      <c r="L1199" s="17">
        <f t="shared" si="55"/>
        <v>966.67</v>
      </c>
      <c r="M1199" s="18">
        <f t="shared" si="56"/>
        <v>4042.6000000000004</v>
      </c>
    </row>
    <row r="1200" spans="1:13" x14ac:dyDescent="0.25">
      <c r="A1200">
        <v>1000</v>
      </c>
      <c r="B1200">
        <v>1000</v>
      </c>
      <c r="C1200" s="1">
        <v>45961</v>
      </c>
      <c r="D1200">
        <v>93765</v>
      </c>
      <c r="E1200">
        <v>353</v>
      </c>
      <c r="F1200" s="2">
        <v>7023.9</v>
      </c>
      <c r="G1200" s="1">
        <v>45965</v>
      </c>
      <c r="I1200" t="s">
        <v>9</v>
      </c>
      <c r="J1200" s="14">
        <f>IFERROR(VLOOKUP(D1200,'INf. RRHH'!$A:$B,2,0),0)</f>
        <v>2900</v>
      </c>
      <c r="K1200" s="16">
        <f t="shared" si="54"/>
        <v>4123.8999999999996</v>
      </c>
      <c r="L1200" s="17">
        <f t="shared" si="55"/>
        <v>966.67</v>
      </c>
      <c r="M1200" s="18">
        <f t="shared" si="56"/>
        <v>5090.57</v>
      </c>
    </row>
    <row r="1201" spans="1:13" x14ac:dyDescent="0.25">
      <c r="A1201">
        <v>1000</v>
      </c>
      <c r="B1201">
        <v>1000</v>
      </c>
      <c r="C1201" s="1">
        <v>45961</v>
      </c>
      <c r="D1201">
        <v>93858</v>
      </c>
      <c r="E1201">
        <v>200</v>
      </c>
      <c r="F1201" s="2">
        <v>4826.53</v>
      </c>
      <c r="G1201" s="1">
        <v>45965</v>
      </c>
      <c r="I1201" t="s">
        <v>9</v>
      </c>
      <c r="J1201" s="14">
        <f>IFERROR(VLOOKUP(D1201,'INf. RRHH'!$A:$B,2,0),0)</f>
        <v>2900</v>
      </c>
      <c r="K1201" s="16">
        <f t="shared" si="54"/>
        <v>1926.5299999999997</v>
      </c>
      <c r="L1201" s="17">
        <f t="shared" si="55"/>
        <v>966.67</v>
      </c>
      <c r="M1201" s="18">
        <f t="shared" si="56"/>
        <v>2893.2</v>
      </c>
    </row>
    <row r="1202" spans="1:13" x14ac:dyDescent="0.25">
      <c r="A1202">
        <v>1000</v>
      </c>
      <c r="B1202">
        <v>1000</v>
      </c>
      <c r="C1202" s="1">
        <v>45961</v>
      </c>
      <c r="D1202">
        <v>93891</v>
      </c>
      <c r="E1202">
        <v>322</v>
      </c>
      <c r="F1202" s="2">
        <v>6424.74</v>
      </c>
      <c r="G1202" s="1">
        <v>45965</v>
      </c>
      <c r="I1202" t="s">
        <v>9</v>
      </c>
      <c r="J1202" s="14">
        <f>IFERROR(VLOOKUP(D1202,'INf. RRHH'!$A:$B,2,0),0)</f>
        <v>2900</v>
      </c>
      <c r="K1202" s="16">
        <f t="shared" si="54"/>
        <v>3524.74</v>
      </c>
      <c r="L1202" s="17">
        <f t="shared" si="55"/>
        <v>966.67</v>
      </c>
      <c r="M1202" s="18">
        <f t="shared" si="56"/>
        <v>4491.41</v>
      </c>
    </row>
    <row r="1203" spans="1:13" x14ac:dyDescent="0.25">
      <c r="A1203">
        <v>1000</v>
      </c>
      <c r="B1203">
        <v>1000</v>
      </c>
      <c r="C1203" s="1">
        <v>45961</v>
      </c>
      <c r="D1203">
        <v>93939</v>
      </c>
      <c r="E1203">
        <v>240</v>
      </c>
      <c r="F1203" s="2">
        <v>5215.41</v>
      </c>
      <c r="G1203" s="1">
        <v>45965</v>
      </c>
      <c r="I1203" t="s">
        <v>9</v>
      </c>
      <c r="J1203" s="14">
        <f>IFERROR(VLOOKUP(D1203,'INf. RRHH'!$A:$B,2,0),0)</f>
        <v>2900</v>
      </c>
      <c r="K1203" s="16">
        <f t="shared" si="54"/>
        <v>2315.41</v>
      </c>
      <c r="L1203" s="17">
        <f t="shared" si="55"/>
        <v>966.67</v>
      </c>
      <c r="M1203" s="18">
        <f t="shared" si="56"/>
        <v>3282.08</v>
      </c>
    </row>
    <row r="1204" spans="1:13" x14ac:dyDescent="0.25">
      <c r="A1204">
        <v>1000</v>
      </c>
      <c r="B1204">
        <v>1000</v>
      </c>
      <c r="C1204" s="1">
        <v>45961</v>
      </c>
      <c r="D1204">
        <v>94007</v>
      </c>
      <c r="E1204">
        <v>399</v>
      </c>
      <c r="F1204" s="2">
        <v>6713.54</v>
      </c>
      <c r="G1204" s="1">
        <v>45965</v>
      </c>
      <c r="I1204" t="s">
        <v>9</v>
      </c>
      <c r="J1204" s="14">
        <f>IFERROR(VLOOKUP(D1204,'INf. RRHH'!$A:$B,2,0),0)</f>
        <v>2900</v>
      </c>
      <c r="K1204" s="16">
        <f t="shared" si="54"/>
        <v>3813.54</v>
      </c>
      <c r="L1204" s="17">
        <f t="shared" si="55"/>
        <v>966.67</v>
      </c>
      <c r="M1204" s="18">
        <f t="shared" si="56"/>
        <v>4780.21</v>
      </c>
    </row>
    <row r="1205" spans="1:13" x14ac:dyDescent="0.25">
      <c r="A1205">
        <v>1000</v>
      </c>
      <c r="B1205">
        <v>1000</v>
      </c>
      <c r="C1205" s="1">
        <v>45961</v>
      </c>
      <c r="D1205">
        <v>94008</v>
      </c>
      <c r="E1205">
        <v>387</v>
      </c>
      <c r="F1205" s="2">
        <v>6437.35</v>
      </c>
      <c r="G1205" s="1">
        <v>45965</v>
      </c>
      <c r="I1205" t="s">
        <v>9</v>
      </c>
      <c r="J1205" s="14">
        <f>IFERROR(VLOOKUP(D1205,'INf. RRHH'!$A:$B,2,0),0)</f>
        <v>2900</v>
      </c>
      <c r="K1205" s="16">
        <f t="shared" si="54"/>
        <v>3537.3500000000004</v>
      </c>
      <c r="L1205" s="17">
        <f t="shared" si="55"/>
        <v>966.67</v>
      </c>
      <c r="M1205" s="18">
        <f t="shared" si="56"/>
        <v>4504.0200000000004</v>
      </c>
    </row>
    <row r="1206" spans="1:13" x14ac:dyDescent="0.25">
      <c r="A1206">
        <v>1000</v>
      </c>
      <c r="B1206">
        <v>1000</v>
      </c>
      <c r="C1206" s="1">
        <v>45961</v>
      </c>
      <c r="D1206">
        <v>94269</v>
      </c>
      <c r="E1206">
        <v>402</v>
      </c>
      <c r="F1206" s="2">
        <v>6811.93</v>
      </c>
      <c r="G1206" s="1">
        <v>45965</v>
      </c>
      <c r="I1206" t="s">
        <v>9</v>
      </c>
      <c r="J1206" s="14">
        <f>IFERROR(VLOOKUP(D1206,'INf. RRHH'!$A:$B,2,0),0)</f>
        <v>2900</v>
      </c>
      <c r="K1206" s="16">
        <f t="shared" si="54"/>
        <v>3911.9300000000003</v>
      </c>
      <c r="L1206" s="17">
        <f t="shared" si="55"/>
        <v>966.67</v>
      </c>
      <c r="M1206" s="18">
        <f t="shared" si="56"/>
        <v>4878.6000000000004</v>
      </c>
    </row>
    <row r="1207" spans="1:13" x14ac:dyDescent="0.25">
      <c r="A1207">
        <v>1000</v>
      </c>
      <c r="B1207">
        <v>1000</v>
      </c>
      <c r="C1207" s="1">
        <v>45961</v>
      </c>
      <c r="D1207">
        <v>94296</v>
      </c>
      <c r="E1207">
        <v>375</v>
      </c>
      <c r="F1207" s="2">
        <v>6666.29</v>
      </c>
      <c r="G1207" s="1">
        <v>45965</v>
      </c>
      <c r="I1207" t="s">
        <v>9</v>
      </c>
      <c r="J1207" s="14">
        <f>IFERROR(VLOOKUP(D1207,'INf. RRHH'!$A:$B,2,0),0)</f>
        <v>2900</v>
      </c>
      <c r="K1207" s="16">
        <f t="shared" si="54"/>
        <v>3766.29</v>
      </c>
      <c r="L1207" s="17">
        <f t="shared" si="55"/>
        <v>966.67</v>
      </c>
      <c r="M1207" s="18">
        <f t="shared" si="56"/>
        <v>4732.96</v>
      </c>
    </row>
    <row r="1208" spans="1:13" x14ac:dyDescent="0.25">
      <c r="A1208">
        <v>1000</v>
      </c>
      <c r="B1208">
        <v>1000</v>
      </c>
      <c r="C1208" s="1">
        <v>45961</v>
      </c>
      <c r="D1208">
        <v>94495</v>
      </c>
      <c r="E1208">
        <v>387</v>
      </c>
      <c r="F1208" s="2">
        <v>6878.46</v>
      </c>
      <c r="G1208" s="1">
        <v>45965</v>
      </c>
      <c r="I1208" t="s">
        <v>9</v>
      </c>
      <c r="J1208" s="14">
        <f>IFERROR(VLOOKUP(D1208,'INf. RRHH'!$A:$B,2,0),0)</f>
        <v>2900</v>
      </c>
      <c r="K1208" s="16">
        <f t="shared" si="54"/>
        <v>3978.46</v>
      </c>
      <c r="L1208" s="17">
        <f t="shared" si="55"/>
        <v>966.67</v>
      </c>
      <c r="M1208" s="18">
        <f t="shared" si="56"/>
        <v>4945.13</v>
      </c>
    </row>
    <row r="1209" spans="1:13" x14ac:dyDescent="0.25">
      <c r="A1209">
        <v>1000</v>
      </c>
      <c r="B1209">
        <v>1000</v>
      </c>
      <c r="C1209" s="1">
        <v>45961</v>
      </c>
      <c r="D1209">
        <v>94952</v>
      </c>
      <c r="E1209">
        <v>162</v>
      </c>
      <c r="F1209" s="2">
        <v>5726.77</v>
      </c>
      <c r="G1209" s="1">
        <v>45965</v>
      </c>
      <c r="I1209" t="s">
        <v>9</v>
      </c>
      <c r="J1209" s="14">
        <f>IFERROR(VLOOKUP(D1209,'INf. RRHH'!$A:$B,2,0),0)</f>
        <v>2900</v>
      </c>
      <c r="K1209" s="16">
        <f t="shared" si="54"/>
        <v>2826.7700000000004</v>
      </c>
      <c r="L1209" s="17">
        <f t="shared" si="55"/>
        <v>966.67</v>
      </c>
      <c r="M1209" s="18">
        <f t="shared" si="56"/>
        <v>3793.4400000000005</v>
      </c>
    </row>
    <row r="1210" spans="1:13" x14ac:dyDescent="0.25">
      <c r="A1210">
        <v>1000</v>
      </c>
      <c r="B1210">
        <v>1000</v>
      </c>
      <c r="C1210" s="1">
        <v>45961</v>
      </c>
      <c r="D1210">
        <v>95104</v>
      </c>
      <c r="E1210">
        <v>114</v>
      </c>
      <c r="F1210" s="2">
        <v>4906.1400000000003</v>
      </c>
      <c r="G1210" s="1">
        <v>45965</v>
      </c>
      <c r="I1210" t="s">
        <v>9</v>
      </c>
      <c r="J1210" s="14">
        <f>IFERROR(VLOOKUP(D1210,'INf. RRHH'!$A:$B,2,0),0)</f>
        <v>2900</v>
      </c>
      <c r="K1210" s="16">
        <f t="shared" si="54"/>
        <v>2006.1400000000003</v>
      </c>
      <c r="L1210" s="17">
        <f t="shared" si="55"/>
        <v>966.67</v>
      </c>
      <c r="M1210" s="18">
        <f t="shared" si="56"/>
        <v>2972.8100000000004</v>
      </c>
    </row>
    <row r="1211" spans="1:13" x14ac:dyDescent="0.25">
      <c r="A1211">
        <v>1000</v>
      </c>
      <c r="B1211">
        <v>1000</v>
      </c>
      <c r="C1211" s="1">
        <v>45961</v>
      </c>
      <c r="D1211">
        <v>95437</v>
      </c>
      <c r="E1211">
        <v>240</v>
      </c>
      <c r="F1211" s="2">
        <v>3779.08</v>
      </c>
      <c r="G1211" s="1">
        <v>45965</v>
      </c>
      <c r="I1211" t="s">
        <v>9</v>
      </c>
      <c r="J1211" s="14">
        <f>IFERROR(VLOOKUP(D1211,'INf. RRHH'!$A:$B,2,0),0)</f>
        <v>1450</v>
      </c>
      <c r="K1211" s="16">
        <f t="shared" si="54"/>
        <v>2329.08</v>
      </c>
      <c r="L1211" s="17">
        <f t="shared" si="55"/>
        <v>483.33</v>
      </c>
      <c r="M1211" s="18">
        <f t="shared" si="56"/>
        <v>2812.41</v>
      </c>
    </row>
    <row r="1212" spans="1:13" x14ac:dyDescent="0.25">
      <c r="A1212">
        <v>1000</v>
      </c>
      <c r="B1212">
        <v>1000</v>
      </c>
      <c r="C1212" s="1">
        <v>45961</v>
      </c>
      <c r="D1212">
        <v>95446</v>
      </c>
      <c r="E1212">
        <v>257</v>
      </c>
      <c r="F1212" s="2">
        <v>3897.59</v>
      </c>
      <c r="G1212" s="1">
        <v>45965</v>
      </c>
      <c r="I1212" t="s">
        <v>9</v>
      </c>
      <c r="J1212" s="14">
        <f>IFERROR(VLOOKUP(D1212,'INf. RRHH'!$A:$B,2,0),0)</f>
        <v>1450</v>
      </c>
      <c r="K1212" s="16">
        <f t="shared" si="54"/>
        <v>2447.59</v>
      </c>
      <c r="L1212" s="17">
        <f t="shared" si="55"/>
        <v>483.33</v>
      </c>
      <c r="M1212" s="18">
        <f t="shared" si="56"/>
        <v>2930.92</v>
      </c>
    </row>
    <row r="1213" spans="1:13" x14ac:dyDescent="0.25">
      <c r="A1213">
        <v>1000</v>
      </c>
      <c r="B1213">
        <v>1000</v>
      </c>
      <c r="C1213" s="1">
        <v>45961</v>
      </c>
      <c r="D1213">
        <v>95472</v>
      </c>
      <c r="E1213">
        <v>232</v>
      </c>
      <c r="F1213" s="2">
        <v>1985.07</v>
      </c>
      <c r="G1213" s="1">
        <v>45965</v>
      </c>
      <c r="I1213" t="s">
        <v>9</v>
      </c>
      <c r="J1213" s="14">
        <f>IFERROR(VLOOKUP(D1213,'INf. RRHH'!$A:$B,2,0),0)</f>
        <v>0</v>
      </c>
      <c r="K1213" s="16">
        <f t="shared" si="54"/>
        <v>1985.07</v>
      </c>
      <c r="L1213" s="17">
        <f t="shared" si="55"/>
        <v>0</v>
      </c>
      <c r="M1213" s="18">
        <f t="shared" si="56"/>
        <v>1985.07</v>
      </c>
    </row>
    <row r="1214" spans="1:13" x14ac:dyDescent="0.25">
      <c r="A1214">
        <v>1000</v>
      </c>
      <c r="B1214">
        <v>1000</v>
      </c>
      <c r="C1214" s="1">
        <v>45961</v>
      </c>
      <c r="D1214">
        <v>95490</v>
      </c>
      <c r="E1214">
        <v>328</v>
      </c>
      <c r="F1214" s="2">
        <v>2678.1</v>
      </c>
      <c r="G1214" s="1">
        <v>45965</v>
      </c>
      <c r="I1214" t="s">
        <v>9</v>
      </c>
      <c r="J1214" s="14">
        <f>IFERROR(VLOOKUP(D1214,'INf. RRHH'!$A:$B,2,0),0)</f>
        <v>0</v>
      </c>
      <c r="K1214" s="16">
        <f t="shared" si="54"/>
        <v>2678.1</v>
      </c>
      <c r="L1214" s="17">
        <f t="shared" si="55"/>
        <v>0</v>
      </c>
      <c r="M1214" s="18">
        <f t="shared" si="56"/>
        <v>2678.1</v>
      </c>
    </row>
    <row r="1215" spans="1:13" x14ac:dyDescent="0.25">
      <c r="A1215">
        <v>1000</v>
      </c>
      <c r="B1215">
        <v>1000</v>
      </c>
      <c r="C1215" s="1">
        <v>45961</v>
      </c>
      <c r="D1215">
        <v>7244</v>
      </c>
      <c r="E1215">
        <v>244</v>
      </c>
      <c r="F1215" s="2">
        <v>6198.7</v>
      </c>
      <c r="G1215" s="1">
        <v>45965</v>
      </c>
      <c r="I1215" t="s">
        <v>9</v>
      </c>
      <c r="J1215" s="14">
        <f>IFERROR(VLOOKUP(D1215,'INf. RRHH'!$A:$B,2,0),0)</f>
        <v>2900</v>
      </c>
      <c r="K1215" s="16">
        <f t="shared" si="54"/>
        <v>3298.7</v>
      </c>
      <c r="L1215" s="17">
        <f t="shared" si="55"/>
        <v>966.67</v>
      </c>
      <c r="M1215" s="18">
        <f t="shared" si="56"/>
        <v>4265.37</v>
      </c>
    </row>
    <row r="1216" spans="1:13" x14ac:dyDescent="0.25">
      <c r="A1216">
        <v>1000</v>
      </c>
      <c r="B1216">
        <v>1000</v>
      </c>
      <c r="C1216" s="1">
        <v>45961</v>
      </c>
      <c r="D1216">
        <v>7533</v>
      </c>
      <c r="E1216">
        <v>244</v>
      </c>
      <c r="F1216" s="2">
        <v>6067.42</v>
      </c>
      <c r="G1216" s="1">
        <v>45965</v>
      </c>
      <c r="I1216" t="s">
        <v>9</v>
      </c>
      <c r="J1216" s="14">
        <f>IFERROR(VLOOKUP(D1216,'INf. RRHH'!$A:$B,2,0),0)</f>
        <v>2900</v>
      </c>
      <c r="K1216" s="16">
        <f t="shared" si="54"/>
        <v>3167.42</v>
      </c>
      <c r="L1216" s="17">
        <f t="shared" si="55"/>
        <v>966.67</v>
      </c>
      <c r="M1216" s="18">
        <f t="shared" si="56"/>
        <v>4134.09</v>
      </c>
    </row>
    <row r="1217" spans="1:13" x14ac:dyDescent="0.25">
      <c r="A1217">
        <v>1000</v>
      </c>
      <c r="B1217">
        <v>1000</v>
      </c>
      <c r="C1217" s="1">
        <v>45961</v>
      </c>
      <c r="D1217">
        <v>7986</v>
      </c>
      <c r="E1217">
        <v>330</v>
      </c>
      <c r="F1217" s="2">
        <v>7920.71</v>
      </c>
      <c r="G1217" s="1">
        <v>45965</v>
      </c>
      <c r="I1217" t="s">
        <v>9</v>
      </c>
      <c r="J1217" s="14">
        <f>IFERROR(VLOOKUP(D1217,'INf. RRHH'!$A:$B,2,0),0)</f>
        <v>2900</v>
      </c>
      <c r="K1217" s="16">
        <f t="shared" si="54"/>
        <v>5020.71</v>
      </c>
      <c r="L1217" s="17">
        <f t="shared" si="55"/>
        <v>966.67</v>
      </c>
      <c r="M1217" s="18">
        <f t="shared" si="56"/>
        <v>5987.38</v>
      </c>
    </row>
    <row r="1218" spans="1:13" x14ac:dyDescent="0.25">
      <c r="A1218">
        <v>1000</v>
      </c>
      <c r="B1218">
        <v>1000</v>
      </c>
      <c r="C1218" s="1">
        <v>45961</v>
      </c>
      <c r="D1218">
        <v>90697</v>
      </c>
      <c r="E1218">
        <v>323.5</v>
      </c>
      <c r="F1218" s="2">
        <v>6349.48</v>
      </c>
      <c r="G1218" s="1">
        <v>45965</v>
      </c>
      <c r="I1218" t="s">
        <v>9</v>
      </c>
      <c r="J1218" s="14">
        <f>IFERROR(VLOOKUP(D1218,'INf. RRHH'!$A:$B,2,0),0)</f>
        <v>2900</v>
      </c>
      <c r="K1218" s="16">
        <f t="shared" si="54"/>
        <v>3449.4799999999996</v>
      </c>
      <c r="L1218" s="17">
        <f t="shared" si="55"/>
        <v>966.67</v>
      </c>
      <c r="M1218" s="18">
        <f t="shared" si="56"/>
        <v>4416.1499999999996</v>
      </c>
    </row>
    <row r="1219" spans="1:13" x14ac:dyDescent="0.25">
      <c r="A1219">
        <v>1000</v>
      </c>
      <c r="B1219">
        <v>1000</v>
      </c>
      <c r="C1219" s="1">
        <v>45961</v>
      </c>
      <c r="D1219">
        <v>90749</v>
      </c>
      <c r="E1219">
        <v>40</v>
      </c>
      <c r="F1219" s="2">
        <v>5800.35</v>
      </c>
      <c r="G1219" s="1">
        <v>45965</v>
      </c>
      <c r="I1219" t="s">
        <v>9</v>
      </c>
      <c r="J1219" s="14">
        <f>IFERROR(VLOOKUP(D1219,'INf. RRHH'!$A:$B,2,0),0)</f>
        <v>2900</v>
      </c>
      <c r="K1219" s="16">
        <f t="shared" ref="K1219:K1273" si="57">+F1219-J1219</f>
        <v>2900.3500000000004</v>
      </c>
      <c r="L1219" s="17">
        <f t="shared" ref="L1219:L1273" si="58">ROUND(J1219/3,2)</f>
        <v>966.67</v>
      </c>
      <c r="M1219" s="18">
        <f t="shared" ref="M1219:M1273" si="59">+K1219+L1219</f>
        <v>3867.0200000000004</v>
      </c>
    </row>
    <row r="1220" spans="1:13" x14ac:dyDescent="0.25">
      <c r="A1220">
        <v>1000</v>
      </c>
      <c r="B1220">
        <v>1000</v>
      </c>
      <c r="C1220" s="1">
        <v>45961</v>
      </c>
      <c r="D1220">
        <v>91074</v>
      </c>
      <c r="E1220">
        <v>291.5</v>
      </c>
      <c r="F1220" s="2">
        <v>7782.59</v>
      </c>
      <c r="G1220" s="1">
        <v>45965</v>
      </c>
      <c r="I1220" t="s">
        <v>9</v>
      </c>
      <c r="J1220" s="14">
        <f>IFERROR(VLOOKUP(D1220,'INf. RRHH'!$A:$B,2,0),0)</f>
        <v>2900</v>
      </c>
      <c r="K1220" s="16">
        <f t="shared" si="57"/>
        <v>4882.59</v>
      </c>
      <c r="L1220" s="17">
        <f t="shared" si="58"/>
        <v>966.67</v>
      </c>
      <c r="M1220" s="18">
        <f t="shared" si="59"/>
        <v>5849.26</v>
      </c>
    </row>
    <row r="1221" spans="1:13" x14ac:dyDescent="0.25">
      <c r="A1221">
        <v>1000</v>
      </c>
      <c r="B1221">
        <v>1000</v>
      </c>
      <c r="C1221" s="1">
        <v>45961</v>
      </c>
      <c r="D1221">
        <v>91192</v>
      </c>
      <c r="E1221">
        <v>240</v>
      </c>
      <c r="F1221" s="2">
        <v>5211.2</v>
      </c>
      <c r="G1221" s="1">
        <v>45965</v>
      </c>
      <c r="I1221" t="s">
        <v>9</v>
      </c>
      <c r="J1221" s="14">
        <f>IFERROR(VLOOKUP(D1221,'INf. RRHH'!$A:$B,2,0),0)</f>
        <v>2900</v>
      </c>
      <c r="K1221" s="16">
        <f t="shared" si="57"/>
        <v>2311.1999999999998</v>
      </c>
      <c r="L1221" s="17">
        <f t="shared" si="58"/>
        <v>966.67</v>
      </c>
      <c r="M1221" s="18">
        <f t="shared" si="59"/>
        <v>3277.87</v>
      </c>
    </row>
    <row r="1222" spans="1:13" x14ac:dyDescent="0.25">
      <c r="A1222">
        <v>1000</v>
      </c>
      <c r="B1222">
        <v>1000</v>
      </c>
      <c r="C1222" s="1">
        <v>45961</v>
      </c>
      <c r="D1222">
        <v>91308</v>
      </c>
      <c r="E1222">
        <v>391</v>
      </c>
      <c r="F1222" s="2">
        <v>7175.55</v>
      </c>
      <c r="G1222" s="1">
        <v>45965</v>
      </c>
      <c r="I1222" t="s">
        <v>9</v>
      </c>
      <c r="J1222" s="14">
        <f>IFERROR(VLOOKUP(D1222,'INf. RRHH'!$A:$B,2,0),0)</f>
        <v>2900</v>
      </c>
      <c r="K1222" s="16">
        <f t="shared" si="57"/>
        <v>4275.55</v>
      </c>
      <c r="L1222" s="17">
        <f t="shared" si="58"/>
        <v>966.67</v>
      </c>
      <c r="M1222" s="18">
        <f t="shared" si="59"/>
        <v>5242.22</v>
      </c>
    </row>
    <row r="1223" spans="1:13" x14ac:dyDescent="0.25">
      <c r="A1223">
        <v>1000</v>
      </c>
      <c r="B1223">
        <v>1000</v>
      </c>
      <c r="C1223" s="1">
        <v>45961</v>
      </c>
      <c r="D1223">
        <v>91390</v>
      </c>
      <c r="E1223">
        <v>363</v>
      </c>
      <c r="F1223" s="2">
        <v>5877.51</v>
      </c>
      <c r="G1223" s="1">
        <v>45965</v>
      </c>
      <c r="I1223" t="s">
        <v>9</v>
      </c>
      <c r="J1223" s="14">
        <f>IFERROR(VLOOKUP(D1223,'INf. RRHH'!$A:$B,2,0),0)</f>
        <v>2900</v>
      </c>
      <c r="K1223" s="16">
        <f t="shared" si="57"/>
        <v>2977.51</v>
      </c>
      <c r="L1223" s="17">
        <f t="shared" si="58"/>
        <v>966.67</v>
      </c>
      <c r="M1223" s="18">
        <f t="shared" si="59"/>
        <v>3944.1800000000003</v>
      </c>
    </row>
    <row r="1224" spans="1:13" x14ac:dyDescent="0.25">
      <c r="A1224">
        <v>1000</v>
      </c>
      <c r="B1224">
        <v>1000</v>
      </c>
      <c r="C1224" s="1">
        <v>45961</v>
      </c>
      <c r="D1224">
        <v>91399</v>
      </c>
      <c r="E1224">
        <v>0</v>
      </c>
      <c r="F1224" s="2">
        <v>3537.72</v>
      </c>
      <c r="G1224" s="1">
        <v>45965</v>
      </c>
      <c r="I1224" t="s">
        <v>9</v>
      </c>
      <c r="J1224" s="14">
        <f>IFERROR(VLOOKUP(D1224,'INf. RRHH'!$A:$B,2,0),0)</f>
        <v>2900</v>
      </c>
      <c r="K1224" s="16">
        <f t="shared" si="57"/>
        <v>637.7199999999998</v>
      </c>
      <c r="L1224" s="17">
        <f t="shared" si="58"/>
        <v>966.67</v>
      </c>
      <c r="M1224" s="18">
        <f t="shared" si="59"/>
        <v>1604.3899999999999</v>
      </c>
    </row>
    <row r="1225" spans="1:13" x14ac:dyDescent="0.25">
      <c r="A1225">
        <v>1000</v>
      </c>
      <c r="B1225">
        <v>1000</v>
      </c>
      <c r="C1225" s="1">
        <v>45961</v>
      </c>
      <c r="D1225">
        <v>91659</v>
      </c>
      <c r="E1225">
        <v>353</v>
      </c>
      <c r="F1225" s="2">
        <v>6655.26</v>
      </c>
      <c r="G1225" s="1">
        <v>45965</v>
      </c>
      <c r="I1225" t="s">
        <v>9</v>
      </c>
      <c r="J1225" s="14">
        <f>IFERROR(VLOOKUP(D1225,'INf. RRHH'!$A:$B,2,0),0)</f>
        <v>2900</v>
      </c>
      <c r="K1225" s="16">
        <f t="shared" si="57"/>
        <v>3755.26</v>
      </c>
      <c r="L1225" s="17">
        <f t="shared" si="58"/>
        <v>966.67</v>
      </c>
      <c r="M1225" s="18">
        <f t="shared" si="59"/>
        <v>4721.93</v>
      </c>
    </row>
    <row r="1226" spans="1:13" x14ac:dyDescent="0.25">
      <c r="A1226">
        <v>1000</v>
      </c>
      <c r="B1226">
        <v>1000</v>
      </c>
      <c r="C1226" s="1">
        <v>45961</v>
      </c>
      <c r="D1226">
        <v>91798</v>
      </c>
      <c r="E1226">
        <v>339</v>
      </c>
      <c r="F1226" s="2">
        <v>5820.6</v>
      </c>
      <c r="G1226" s="1">
        <v>45965</v>
      </c>
      <c r="I1226" t="s">
        <v>9</v>
      </c>
      <c r="J1226" s="14">
        <f>IFERROR(VLOOKUP(D1226,'INf. RRHH'!$A:$B,2,0),0)</f>
        <v>2900</v>
      </c>
      <c r="K1226" s="16">
        <f t="shared" si="57"/>
        <v>2920.6000000000004</v>
      </c>
      <c r="L1226" s="17">
        <f t="shared" si="58"/>
        <v>966.67</v>
      </c>
      <c r="M1226" s="18">
        <f t="shared" si="59"/>
        <v>3887.2700000000004</v>
      </c>
    </row>
    <row r="1227" spans="1:13" x14ac:dyDescent="0.25">
      <c r="A1227">
        <v>1000</v>
      </c>
      <c r="B1227">
        <v>1000</v>
      </c>
      <c r="C1227" s="1">
        <v>45961</v>
      </c>
      <c r="D1227">
        <v>91837</v>
      </c>
      <c r="E1227">
        <v>332</v>
      </c>
      <c r="F1227" s="2">
        <v>7174.64</v>
      </c>
      <c r="G1227" s="1">
        <v>45965</v>
      </c>
      <c r="I1227" t="s">
        <v>9</v>
      </c>
      <c r="J1227" s="14">
        <f>IFERROR(VLOOKUP(D1227,'INf. RRHH'!$A:$B,2,0),0)</f>
        <v>2900</v>
      </c>
      <c r="K1227" s="16">
        <f t="shared" si="57"/>
        <v>4274.6400000000003</v>
      </c>
      <c r="L1227" s="17">
        <f t="shared" si="58"/>
        <v>966.67</v>
      </c>
      <c r="M1227" s="18">
        <f t="shared" si="59"/>
        <v>5241.3100000000004</v>
      </c>
    </row>
    <row r="1228" spans="1:13" x14ac:dyDescent="0.25">
      <c r="A1228">
        <v>1000</v>
      </c>
      <c r="B1228">
        <v>1000</v>
      </c>
      <c r="C1228" s="1">
        <v>45961</v>
      </c>
      <c r="D1228">
        <v>91876</v>
      </c>
      <c r="E1228">
        <v>311</v>
      </c>
      <c r="F1228" s="2">
        <v>6977.5</v>
      </c>
      <c r="G1228" s="1">
        <v>45965</v>
      </c>
      <c r="I1228" t="s">
        <v>9</v>
      </c>
      <c r="J1228" s="14">
        <f>IFERROR(VLOOKUP(D1228,'INf. RRHH'!$A:$B,2,0),0)</f>
        <v>2900</v>
      </c>
      <c r="K1228" s="16">
        <f t="shared" si="57"/>
        <v>4077.5</v>
      </c>
      <c r="L1228" s="17">
        <f t="shared" si="58"/>
        <v>966.67</v>
      </c>
      <c r="M1228" s="18">
        <f t="shared" si="59"/>
        <v>5044.17</v>
      </c>
    </row>
    <row r="1229" spans="1:13" x14ac:dyDescent="0.25">
      <c r="A1229">
        <v>1000</v>
      </c>
      <c r="B1229">
        <v>1000</v>
      </c>
      <c r="C1229" s="1">
        <v>45961</v>
      </c>
      <c r="D1229">
        <v>91885</v>
      </c>
      <c r="E1229">
        <v>307</v>
      </c>
      <c r="F1229" s="2">
        <v>8105.95</v>
      </c>
      <c r="G1229" s="1">
        <v>45965</v>
      </c>
      <c r="I1229" t="s">
        <v>9</v>
      </c>
      <c r="J1229" s="14">
        <f>IFERROR(VLOOKUP(D1229,'INf. RRHH'!$A:$B,2,0),0)</f>
        <v>2900</v>
      </c>
      <c r="K1229" s="16">
        <f t="shared" si="57"/>
        <v>5205.95</v>
      </c>
      <c r="L1229" s="17">
        <f t="shared" si="58"/>
        <v>966.67</v>
      </c>
      <c r="M1229" s="18">
        <f t="shared" si="59"/>
        <v>6172.62</v>
      </c>
    </row>
    <row r="1230" spans="1:13" x14ac:dyDescent="0.25">
      <c r="A1230">
        <v>1000</v>
      </c>
      <c r="B1230">
        <v>1000</v>
      </c>
      <c r="C1230" s="1">
        <v>45961</v>
      </c>
      <c r="D1230">
        <v>92425</v>
      </c>
      <c r="E1230">
        <v>244</v>
      </c>
      <c r="F1230" s="2">
        <v>5357.64</v>
      </c>
      <c r="G1230" s="1">
        <v>45965</v>
      </c>
      <c r="I1230" t="s">
        <v>9</v>
      </c>
      <c r="J1230" s="14">
        <f>IFERROR(VLOOKUP(D1230,'INf. RRHH'!$A:$B,2,0),0)</f>
        <v>2900</v>
      </c>
      <c r="K1230" s="16">
        <f t="shared" si="57"/>
        <v>2457.6400000000003</v>
      </c>
      <c r="L1230" s="17">
        <f t="shared" si="58"/>
        <v>966.67</v>
      </c>
      <c r="M1230" s="18">
        <f t="shared" si="59"/>
        <v>3424.3100000000004</v>
      </c>
    </row>
    <row r="1231" spans="1:13" x14ac:dyDescent="0.25">
      <c r="A1231">
        <v>1000</v>
      </c>
      <c r="B1231">
        <v>1000</v>
      </c>
      <c r="C1231" s="1">
        <v>45961</v>
      </c>
      <c r="D1231">
        <v>92479</v>
      </c>
      <c r="E1231">
        <v>128</v>
      </c>
      <c r="F1231" s="2">
        <v>5791.3</v>
      </c>
      <c r="G1231" s="1">
        <v>45965</v>
      </c>
      <c r="I1231" t="s">
        <v>9</v>
      </c>
      <c r="J1231" s="14">
        <f>IFERROR(VLOOKUP(D1231,'INf. RRHH'!$A:$B,2,0),0)</f>
        <v>2900</v>
      </c>
      <c r="K1231" s="16">
        <f t="shared" si="57"/>
        <v>2891.3</v>
      </c>
      <c r="L1231" s="17">
        <f t="shared" si="58"/>
        <v>966.67</v>
      </c>
      <c r="M1231" s="18">
        <f t="shared" si="59"/>
        <v>3857.9700000000003</v>
      </c>
    </row>
    <row r="1232" spans="1:13" x14ac:dyDescent="0.25">
      <c r="A1232">
        <v>1000</v>
      </c>
      <c r="B1232">
        <v>1000</v>
      </c>
      <c r="C1232" s="1">
        <v>45961</v>
      </c>
      <c r="D1232">
        <v>92488</v>
      </c>
      <c r="E1232">
        <v>224</v>
      </c>
      <c r="F1232" s="2">
        <v>4551</v>
      </c>
      <c r="G1232" s="1">
        <v>45965</v>
      </c>
      <c r="I1232" t="s">
        <v>9</v>
      </c>
      <c r="J1232" s="14">
        <f>IFERROR(VLOOKUP(D1232,'INf. RRHH'!$A:$B,2,0),0)</f>
        <v>2900</v>
      </c>
      <c r="K1232" s="16">
        <f t="shared" si="57"/>
        <v>1651</v>
      </c>
      <c r="L1232" s="17">
        <f t="shared" si="58"/>
        <v>966.67</v>
      </c>
      <c r="M1232" s="18">
        <f t="shared" si="59"/>
        <v>2617.67</v>
      </c>
    </row>
    <row r="1233" spans="1:13" x14ac:dyDescent="0.25">
      <c r="A1233">
        <v>1000</v>
      </c>
      <c r="B1233">
        <v>1000</v>
      </c>
      <c r="C1233" s="1">
        <v>45961</v>
      </c>
      <c r="D1233">
        <v>92654</v>
      </c>
      <c r="E1233">
        <v>240</v>
      </c>
      <c r="F1233" s="2">
        <v>5529.85</v>
      </c>
      <c r="G1233" s="1">
        <v>45965</v>
      </c>
      <c r="I1233" t="s">
        <v>9</v>
      </c>
      <c r="J1233" s="14">
        <f>IFERROR(VLOOKUP(D1233,'INf. RRHH'!$A:$B,2,0),0)</f>
        <v>2900</v>
      </c>
      <c r="K1233" s="16">
        <f t="shared" si="57"/>
        <v>2629.8500000000004</v>
      </c>
      <c r="L1233" s="17">
        <f t="shared" si="58"/>
        <v>966.67</v>
      </c>
      <c r="M1233" s="18">
        <f t="shared" si="59"/>
        <v>3596.5200000000004</v>
      </c>
    </row>
    <row r="1234" spans="1:13" x14ac:dyDescent="0.25">
      <c r="A1234">
        <v>1000</v>
      </c>
      <c r="B1234">
        <v>1000</v>
      </c>
      <c r="C1234" s="1">
        <v>45961</v>
      </c>
      <c r="D1234">
        <v>92686</v>
      </c>
      <c r="E1234">
        <v>306.5</v>
      </c>
      <c r="F1234" s="2">
        <v>6472.98</v>
      </c>
      <c r="G1234" s="1">
        <v>45965</v>
      </c>
      <c r="I1234" t="s">
        <v>9</v>
      </c>
      <c r="J1234" s="14">
        <f>IFERROR(VLOOKUP(D1234,'INf. RRHH'!$A:$B,2,0),0)</f>
        <v>2900</v>
      </c>
      <c r="K1234" s="16">
        <f t="shared" si="57"/>
        <v>3572.9799999999996</v>
      </c>
      <c r="L1234" s="17">
        <f t="shared" si="58"/>
        <v>966.67</v>
      </c>
      <c r="M1234" s="18">
        <f t="shared" si="59"/>
        <v>4539.6499999999996</v>
      </c>
    </row>
    <row r="1235" spans="1:13" x14ac:dyDescent="0.25">
      <c r="A1235">
        <v>1000</v>
      </c>
      <c r="B1235">
        <v>1000</v>
      </c>
      <c r="C1235" s="1">
        <v>45961</v>
      </c>
      <c r="D1235">
        <v>92689</v>
      </c>
      <c r="E1235">
        <v>240</v>
      </c>
      <c r="F1235" s="2">
        <v>5377.06</v>
      </c>
      <c r="G1235" s="1">
        <v>45965</v>
      </c>
      <c r="I1235" t="s">
        <v>9</v>
      </c>
      <c r="J1235" s="14">
        <f>IFERROR(VLOOKUP(D1235,'INf. RRHH'!$A:$B,2,0),0)</f>
        <v>2900</v>
      </c>
      <c r="K1235" s="16">
        <f t="shared" si="57"/>
        <v>2477.0600000000004</v>
      </c>
      <c r="L1235" s="17">
        <f t="shared" si="58"/>
        <v>966.67</v>
      </c>
      <c r="M1235" s="18">
        <f t="shared" si="59"/>
        <v>3443.7300000000005</v>
      </c>
    </row>
    <row r="1236" spans="1:13" x14ac:dyDescent="0.25">
      <c r="A1236">
        <v>1000</v>
      </c>
      <c r="B1236">
        <v>1000</v>
      </c>
      <c r="C1236" s="1">
        <v>45961</v>
      </c>
      <c r="D1236">
        <v>92773</v>
      </c>
      <c r="E1236">
        <v>240</v>
      </c>
      <c r="F1236" s="2">
        <v>5493.75</v>
      </c>
      <c r="G1236" s="1">
        <v>45965</v>
      </c>
      <c r="I1236" t="s">
        <v>9</v>
      </c>
      <c r="J1236" s="14">
        <f>IFERROR(VLOOKUP(D1236,'INf. RRHH'!$A:$B,2,0),0)</f>
        <v>2900</v>
      </c>
      <c r="K1236" s="16">
        <f t="shared" si="57"/>
        <v>2593.75</v>
      </c>
      <c r="L1236" s="17">
        <f t="shared" si="58"/>
        <v>966.67</v>
      </c>
      <c r="M1236" s="18">
        <f t="shared" si="59"/>
        <v>3560.42</v>
      </c>
    </row>
    <row r="1237" spans="1:13" x14ac:dyDescent="0.25">
      <c r="A1237">
        <v>1000</v>
      </c>
      <c r="B1237">
        <v>1000</v>
      </c>
      <c r="C1237" s="1">
        <v>45961</v>
      </c>
      <c r="D1237">
        <v>92797</v>
      </c>
      <c r="E1237">
        <v>0</v>
      </c>
      <c r="F1237" s="2">
        <v>2607.2399999999998</v>
      </c>
      <c r="G1237" s="1">
        <v>45965</v>
      </c>
      <c r="I1237" t="s">
        <v>9</v>
      </c>
      <c r="J1237" s="14">
        <f>IFERROR(VLOOKUP(D1237,'INf. RRHH'!$A:$B,2,0),0)</f>
        <v>2900</v>
      </c>
      <c r="K1237" s="16">
        <f t="shared" si="57"/>
        <v>-292.76000000000022</v>
      </c>
      <c r="L1237" s="17">
        <f t="shared" si="58"/>
        <v>966.67</v>
      </c>
      <c r="M1237" s="18">
        <f t="shared" si="59"/>
        <v>673.90999999999974</v>
      </c>
    </row>
    <row r="1238" spans="1:13" x14ac:dyDescent="0.25">
      <c r="A1238">
        <v>1000</v>
      </c>
      <c r="B1238">
        <v>1000</v>
      </c>
      <c r="C1238" s="1">
        <v>45961</v>
      </c>
      <c r="D1238">
        <v>92847</v>
      </c>
      <c r="E1238">
        <v>248</v>
      </c>
      <c r="F1238" s="2">
        <v>5523.43</v>
      </c>
      <c r="G1238" s="1">
        <v>45965</v>
      </c>
      <c r="I1238" t="s">
        <v>9</v>
      </c>
      <c r="J1238" s="14">
        <f>IFERROR(VLOOKUP(D1238,'INf. RRHH'!$A:$B,2,0),0)</f>
        <v>2900</v>
      </c>
      <c r="K1238" s="16">
        <f t="shared" si="57"/>
        <v>2623.4300000000003</v>
      </c>
      <c r="L1238" s="17">
        <f t="shared" si="58"/>
        <v>966.67</v>
      </c>
      <c r="M1238" s="18">
        <f t="shared" si="59"/>
        <v>3590.1000000000004</v>
      </c>
    </row>
    <row r="1239" spans="1:13" x14ac:dyDescent="0.25">
      <c r="A1239">
        <v>1000</v>
      </c>
      <c r="B1239">
        <v>1000</v>
      </c>
      <c r="C1239" s="1">
        <v>45961</v>
      </c>
      <c r="D1239">
        <v>92866</v>
      </c>
      <c r="E1239">
        <v>330</v>
      </c>
      <c r="F1239" s="2">
        <v>6859.67</v>
      </c>
      <c r="G1239" s="1">
        <v>45965</v>
      </c>
      <c r="I1239" t="s">
        <v>9</v>
      </c>
      <c r="J1239" s="14">
        <f>IFERROR(VLOOKUP(D1239,'INf. RRHH'!$A:$B,2,0),0)</f>
        <v>2900</v>
      </c>
      <c r="K1239" s="16">
        <f t="shared" si="57"/>
        <v>3959.67</v>
      </c>
      <c r="L1239" s="17">
        <f t="shared" si="58"/>
        <v>966.67</v>
      </c>
      <c r="M1239" s="18">
        <f t="shared" si="59"/>
        <v>4926.34</v>
      </c>
    </row>
    <row r="1240" spans="1:13" x14ac:dyDescent="0.25">
      <c r="A1240">
        <v>1000</v>
      </c>
      <c r="B1240">
        <v>1000</v>
      </c>
      <c r="C1240" s="1">
        <v>45961</v>
      </c>
      <c r="D1240">
        <v>92908</v>
      </c>
      <c r="E1240">
        <v>236.67</v>
      </c>
      <c r="F1240" s="2">
        <v>6013.61</v>
      </c>
      <c r="G1240" s="1">
        <v>45965</v>
      </c>
      <c r="I1240" t="s">
        <v>9</v>
      </c>
      <c r="J1240" s="14">
        <f>IFERROR(VLOOKUP(D1240,'INf. RRHH'!$A:$B,2,0),0)</f>
        <v>2900</v>
      </c>
      <c r="K1240" s="16">
        <f t="shared" si="57"/>
        <v>3113.6099999999997</v>
      </c>
      <c r="L1240" s="17">
        <f t="shared" si="58"/>
        <v>966.67</v>
      </c>
      <c r="M1240" s="18">
        <f t="shared" si="59"/>
        <v>4080.2799999999997</v>
      </c>
    </row>
    <row r="1241" spans="1:13" x14ac:dyDescent="0.25">
      <c r="A1241">
        <v>1000</v>
      </c>
      <c r="B1241">
        <v>1000</v>
      </c>
      <c r="C1241" s="1">
        <v>45961</v>
      </c>
      <c r="D1241">
        <v>92983</v>
      </c>
      <c r="E1241">
        <v>356.5</v>
      </c>
      <c r="F1241" s="2">
        <v>6312.94</v>
      </c>
      <c r="G1241" s="1">
        <v>45965</v>
      </c>
      <c r="I1241" t="s">
        <v>9</v>
      </c>
      <c r="J1241" s="14">
        <f>IFERROR(VLOOKUP(D1241,'INf. RRHH'!$A:$B,2,0),0)</f>
        <v>2900</v>
      </c>
      <c r="K1241" s="16">
        <f t="shared" si="57"/>
        <v>3412.9399999999996</v>
      </c>
      <c r="L1241" s="17">
        <f t="shared" si="58"/>
        <v>966.67</v>
      </c>
      <c r="M1241" s="18">
        <f t="shared" si="59"/>
        <v>4379.6099999999997</v>
      </c>
    </row>
    <row r="1242" spans="1:13" x14ac:dyDescent="0.25">
      <c r="A1242">
        <v>1000</v>
      </c>
      <c r="B1242">
        <v>1000</v>
      </c>
      <c r="C1242" s="1">
        <v>45961</v>
      </c>
      <c r="D1242">
        <v>93099</v>
      </c>
      <c r="E1242">
        <v>331.5</v>
      </c>
      <c r="F1242" s="2">
        <v>6393.66</v>
      </c>
      <c r="G1242" s="1">
        <v>45965</v>
      </c>
      <c r="I1242" t="s">
        <v>9</v>
      </c>
      <c r="J1242" s="14">
        <f>IFERROR(VLOOKUP(D1242,'INf. RRHH'!$A:$B,2,0),0)</f>
        <v>2900</v>
      </c>
      <c r="K1242" s="16">
        <f t="shared" si="57"/>
        <v>3493.66</v>
      </c>
      <c r="L1242" s="17">
        <f t="shared" si="58"/>
        <v>966.67</v>
      </c>
      <c r="M1242" s="18">
        <f t="shared" si="59"/>
        <v>4460.33</v>
      </c>
    </row>
    <row r="1243" spans="1:13" x14ac:dyDescent="0.25">
      <c r="A1243">
        <v>1000</v>
      </c>
      <c r="B1243">
        <v>1000</v>
      </c>
      <c r="C1243" s="1">
        <v>45961</v>
      </c>
      <c r="D1243">
        <v>93285</v>
      </c>
      <c r="E1243">
        <v>330</v>
      </c>
      <c r="F1243" s="2">
        <v>6816.32</v>
      </c>
      <c r="G1243" s="1">
        <v>45965</v>
      </c>
      <c r="I1243" t="s">
        <v>9</v>
      </c>
      <c r="J1243" s="14">
        <f>IFERROR(VLOOKUP(D1243,'INf. RRHH'!$A:$B,2,0),0)</f>
        <v>2900</v>
      </c>
      <c r="K1243" s="16">
        <f t="shared" si="57"/>
        <v>3916.3199999999997</v>
      </c>
      <c r="L1243" s="17">
        <f t="shared" si="58"/>
        <v>966.67</v>
      </c>
      <c r="M1243" s="18">
        <f t="shared" si="59"/>
        <v>4882.99</v>
      </c>
    </row>
    <row r="1244" spans="1:13" x14ac:dyDescent="0.25">
      <c r="A1244">
        <v>1000</v>
      </c>
      <c r="B1244">
        <v>1000</v>
      </c>
      <c r="C1244" s="1">
        <v>45961</v>
      </c>
      <c r="D1244">
        <v>93360</v>
      </c>
      <c r="E1244">
        <v>244</v>
      </c>
      <c r="F1244" s="2">
        <v>5545.7</v>
      </c>
      <c r="G1244" s="1">
        <v>45965</v>
      </c>
      <c r="I1244" t="s">
        <v>9</v>
      </c>
      <c r="J1244" s="14">
        <f>IFERROR(VLOOKUP(D1244,'INf. RRHH'!$A:$B,2,0),0)</f>
        <v>2900</v>
      </c>
      <c r="K1244" s="16">
        <f t="shared" si="57"/>
        <v>2645.7</v>
      </c>
      <c r="L1244" s="17">
        <f t="shared" si="58"/>
        <v>966.67</v>
      </c>
      <c r="M1244" s="18">
        <f t="shared" si="59"/>
        <v>3612.37</v>
      </c>
    </row>
    <row r="1245" spans="1:13" x14ac:dyDescent="0.25">
      <c r="A1245">
        <v>1000</v>
      </c>
      <c r="B1245">
        <v>1000</v>
      </c>
      <c r="C1245" s="1">
        <v>45961</v>
      </c>
      <c r="D1245">
        <v>93686</v>
      </c>
      <c r="E1245">
        <v>247.5</v>
      </c>
      <c r="F1245" s="2">
        <v>4804.0600000000004</v>
      </c>
      <c r="G1245" s="1">
        <v>45965</v>
      </c>
      <c r="I1245" t="s">
        <v>9</v>
      </c>
      <c r="J1245" s="14">
        <f>IFERROR(VLOOKUP(D1245,'INf. RRHH'!$A:$B,2,0),0)</f>
        <v>2900</v>
      </c>
      <c r="K1245" s="16">
        <f t="shared" si="57"/>
        <v>1904.0600000000004</v>
      </c>
      <c r="L1245" s="17">
        <f t="shared" si="58"/>
        <v>966.67</v>
      </c>
      <c r="M1245" s="18">
        <f t="shared" si="59"/>
        <v>2870.7300000000005</v>
      </c>
    </row>
    <row r="1246" spans="1:13" x14ac:dyDescent="0.25">
      <c r="A1246">
        <v>1000</v>
      </c>
      <c r="B1246">
        <v>1000</v>
      </c>
      <c r="C1246" s="1">
        <v>45961</v>
      </c>
      <c r="D1246">
        <v>93769</v>
      </c>
      <c r="E1246">
        <v>240</v>
      </c>
      <c r="F1246" s="2">
        <v>5313.26</v>
      </c>
      <c r="G1246" s="1">
        <v>45965</v>
      </c>
      <c r="I1246" t="s">
        <v>9</v>
      </c>
      <c r="J1246" s="14">
        <f>IFERROR(VLOOKUP(D1246,'INf. RRHH'!$A:$B,2,0),0)</f>
        <v>2900</v>
      </c>
      <c r="K1246" s="16">
        <f t="shared" si="57"/>
        <v>2413.2600000000002</v>
      </c>
      <c r="L1246" s="17">
        <f t="shared" si="58"/>
        <v>966.67</v>
      </c>
      <c r="M1246" s="18">
        <f t="shared" si="59"/>
        <v>3379.9300000000003</v>
      </c>
    </row>
    <row r="1247" spans="1:13" x14ac:dyDescent="0.25">
      <c r="A1247">
        <v>1000</v>
      </c>
      <c r="B1247">
        <v>1000</v>
      </c>
      <c r="C1247" s="1">
        <v>45961</v>
      </c>
      <c r="D1247">
        <v>93811</v>
      </c>
      <c r="E1247">
        <v>208</v>
      </c>
      <c r="F1247" s="2">
        <v>5062.67</v>
      </c>
      <c r="G1247" s="1">
        <v>45965</v>
      </c>
      <c r="I1247" t="s">
        <v>9</v>
      </c>
      <c r="J1247" s="14">
        <f>IFERROR(VLOOKUP(D1247,'INf. RRHH'!$A:$B,2,0),0)</f>
        <v>2900</v>
      </c>
      <c r="K1247" s="16">
        <f t="shared" si="57"/>
        <v>2162.67</v>
      </c>
      <c r="L1247" s="17">
        <f t="shared" si="58"/>
        <v>966.67</v>
      </c>
      <c r="M1247" s="18">
        <f t="shared" si="59"/>
        <v>3129.34</v>
      </c>
    </row>
    <row r="1248" spans="1:13" x14ac:dyDescent="0.25">
      <c r="A1248">
        <v>1000</v>
      </c>
      <c r="B1248">
        <v>1000</v>
      </c>
      <c r="C1248" s="1">
        <v>45961</v>
      </c>
      <c r="D1248">
        <v>93932</v>
      </c>
      <c r="E1248">
        <v>168</v>
      </c>
      <c r="F1248" s="2">
        <v>4869.95</v>
      </c>
      <c r="G1248" s="1">
        <v>45965</v>
      </c>
      <c r="I1248" t="s">
        <v>9</v>
      </c>
      <c r="J1248" s="14">
        <f>IFERROR(VLOOKUP(D1248,'INf. RRHH'!$A:$B,2,0),0)</f>
        <v>2900</v>
      </c>
      <c r="K1248" s="16">
        <f t="shared" si="57"/>
        <v>1969.9499999999998</v>
      </c>
      <c r="L1248" s="17">
        <f t="shared" si="58"/>
        <v>966.67</v>
      </c>
      <c r="M1248" s="18">
        <f t="shared" si="59"/>
        <v>2936.62</v>
      </c>
    </row>
    <row r="1249" spans="1:13" x14ac:dyDescent="0.25">
      <c r="A1249">
        <v>1000</v>
      </c>
      <c r="B1249">
        <v>1000</v>
      </c>
      <c r="C1249" s="1">
        <v>45961</v>
      </c>
      <c r="D1249">
        <v>93955</v>
      </c>
      <c r="E1249">
        <v>327.5</v>
      </c>
      <c r="F1249" s="2">
        <v>6224.64</v>
      </c>
      <c r="G1249" s="1">
        <v>45965</v>
      </c>
      <c r="I1249" t="s">
        <v>9</v>
      </c>
      <c r="J1249" s="14">
        <f>IFERROR(VLOOKUP(D1249,'INf. RRHH'!$A:$B,2,0),0)</f>
        <v>2900</v>
      </c>
      <c r="K1249" s="16">
        <f t="shared" si="57"/>
        <v>3324.6400000000003</v>
      </c>
      <c r="L1249" s="17">
        <f t="shared" si="58"/>
        <v>966.67</v>
      </c>
      <c r="M1249" s="18">
        <f t="shared" si="59"/>
        <v>4291.3100000000004</v>
      </c>
    </row>
    <row r="1250" spans="1:13" x14ac:dyDescent="0.25">
      <c r="A1250">
        <v>1000</v>
      </c>
      <c r="B1250">
        <v>1000</v>
      </c>
      <c r="C1250" s="1">
        <v>45961</v>
      </c>
      <c r="D1250">
        <v>94009</v>
      </c>
      <c r="E1250">
        <v>369</v>
      </c>
      <c r="F1250" s="2">
        <v>6578.27</v>
      </c>
      <c r="G1250" s="1">
        <v>45965</v>
      </c>
      <c r="I1250" t="s">
        <v>9</v>
      </c>
      <c r="J1250" s="14">
        <f>IFERROR(VLOOKUP(D1250,'INf. RRHH'!$A:$B,2,0),0)</f>
        <v>2900</v>
      </c>
      <c r="K1250" s="16">
        <f t="shared" si="57"/>
        <v>3678.2700000000004</v>
      </c>
      <c r="L1250" s="17">
        <f t="shared" si="58"/>
        <v>966.67</v>
      </c>
      <c r="M1250" s="18">
        <f t="shared" si="59"/>
        <v>4644.9400000000005</v>
      </c>
    </row>
    <row r="1251" spans="1:13" x14ac:dyDescent="0.25">
      <c r="A1251">
        <v>1000</v>
      </c>
      <c r="B1251">
        <v>1000</v>
      </c>
      <c r="C1251" s="1">
        <v>45961</v>
      </c>
      <c r="D1251">
        <v>94133</v>
      </c>
      <c r="E1251">
        <v>288.5</v>
      </c>
      <c r="F1251" s="2">
        <v>3300.28</v>
      </c>
      <c r="G1251" s="1">
        <v>45965</v>
      </c>
      <c r="I1251" t="s">
        <v>9</v>
      </c>
      <c r="J1251" s="14">
        <f>IFERROR(VLOOKUP(D1251,'INf. RRHH'!$A:$B,2,0),0)</f>
        <v>0</v>
      </c>
      <c r="K1251" s="16">
        <f t="shared" si="57"/>
        <v>3300.28</v>
      </c>
      <c r="L1251" s="17">
        <f t="shared" si="58"/>
        <v>0</v>
      </c>
      <c r="M1251" s="18">
        <f t="shared" si="59"/>
        <v>3300.28</v>
      </c>
    </row>
    <row r="1252" spans="1:13" x14ac:dyDescent="0.25">
      <c r="A1252">
        <v>1000</v>
      </c>
      <c r="B1252">
        <v>1000</v>
      </c>
      <c r="C1252" s="1">
        <v>45961</v>
      </c>
      <c r="D1252">
        <v>94203</v>
      </c>
      <c r="E1252">
        <v>306.87</v>
      </c>
      <c r="F1252" s="2">
        <v>7581.7</v>
      </c>
      <c r="G1252" s="1">
        <v>45965</v>
      </c>
      <c r="I1252" t="s">
        <v>9</v>
      </c>
      <c r="J1252" s="14">
        <f>IFERROR(VLOOKUP(D1252,'INf. RRHH'!$A:$B,2,0),0)</f>
        <v>2900</v>
      </c>
      <c r="K1252" s="16">
        <f t="shared" si="57"/>
        <v>4681.7</v>
      </c>
      <c r="L1252" s="17">
        <f t="shared" si="58"/>
        <v>966.67</v>
      </c>
      <c r="M1252" s="18">
        <f t="shared" si="59"/>
        <v>5648.37</v>
      </c>
    </row>
    <row r="1253" spans="1:13" x14ac:dyDescent="0.25">
      <c r="A1253">
        <v>1000</v>
      </c>
      <c r="B1253">
        <v>1000</v>
      </c>
      <c r="C1253" s="1">
        <v>45961</v>
      </c>
      <c r="D1253">
        <v>94245</v>
      </c>
      <c r="E1253">
        <v>24</v>
      </c>
      <c r="F1253" s="2">
        <v>5553.3</v>
      </c>
      <c r="G1253" s="1">
        <v>45965</v>
      </c>
      <c r="I1253" t="s">
        <v>9</v>
      </c>
      <c r="J1253" s="14">
        <f>IFERROR(VLOOKUP(D1253,'INf. RRHH'!$A:$B,2,0),0)</f>
        <v>2900</v>
      </c>
      <c r="K1253" s="16">
        <f t="shared" si="57"/>
        <v>2653.3</v>
      </c>
      <c r="L1253" s="17">
        <f t="shared" si="58"/>
        <v>966.67</v>
      </c>
      <c r="M1253" s="18">
        <f t="shared" si="59"/>
        <v>3619.9700000000003</v>
      </c>
    </row>
    <row r="1254" spans="1:13" x14ac:dyDescent="0.25">
      <c r="A1254">
        <v>1000</v>
      </c>
      <c r="B1254">
        <v>1000</v>
      </c>
      <c r="C1254" s="1">
        <v>45961</v>
      </c>
      <c r="D1254">
        <v>94336</v>
      </c>
      <c r="E1254">
        <v>264</v>
      </c>
      <c r="F1254" s="2">
        <v>5900.01</v>
      </c>
      <c r="G1254" s="1">
        <v>45965</v>
      </c>
      <c r="I1254" t="s">
        <v>9</v>
      </c>
      <c r="J1254" s="14">
        <f>IFERROR(VLOOKUP(D1254,'INf. RRHH'!$A:$B,2,0),0)</f>
        <v>2900</v>
      </c>
      <c r="K1254" s="16">
        <f t="shared" si="57"/>
        <v>3000.01</v>
      </c>
      <c r="L1254" s="17">
        <f t="shared" si="58"/>
        <v>966.67</v>
      </c>
      <c r="M1254" s="18">
        <f t="shared" si="59"/>
        <v>3966.6800000000003</v>
      </c>
    </row>
    <row r="1255" spans="1:13" x14ac:dyDescent="0.25">
      <c r="A1255">
        <v>1000</v>
      </c>
      <c r="B1255">
        <v>1000</v>
      </c>
      <c r="C1255" s="1">
        <v>45961</v>
      </c>
      <c r="D1255">
        <v>94511</v>
      </c>
      <c r="E1255">
        <v>168</v>
      </c>
      <c r="F1255" s="2">
        <v>4837.33</v>
      </c>
      <c r="G1255" s="1">
        <v>45965</v>
      </c>
      <c r="I1255" t="s">
        <v>9</v>
      </c>
      <c r="J1255" s="14">
        <f>IFERROR(VLOOKUP(D1255,'INf. RRHH'!$A:$B,2,0),0)</f>
        <v>2900</v>
      </c>
      <c r="K1255" s="16">
        <f t="shared" si="57"/>
        <v>1937.33</v>
      </c>
      <c r="L1255" s="17">
        <f t="shared" si="58"/>
        <v>966.67</v>
      </c>
      <c r="M1255" s="18">
        <f t="shared" si="59"/>
        <v>2904</v>
      </c>
    </row>
    <row r="1256" spans="1:13" x14ac:dyDescent="0.25">
      <c r="A1256">
        <v>1000</v>
      </c>
      <c r="B1256">
        <v>1000</v>
      </c>
      <c r="C1256" s="1">
        <v>45961</v>
      </c>
      <c r="D1256">
        <v>94546</v>
      </c>
      <c r="E1256">
        <v>271.16000000000003</v>
      </c>
      <c r="F1256" s="2">
        <v>6086.45</v>
      </c>
      <c r="G1256" s="1">
        <v>45965</v>
      </c>
      <c r="I1256" t="s">
        <v>9</v>
      </c>
      <c r="J1256" s="14">
        <f>IFERROR(VLOOKUP(D1256,'INf. RRHH'!$A:$B,2,0),0)</f>
        <v>2900</v>
      </c>
      <c r="K1256" s="16">
        <f t="shared" si="57"/>
        <v>3186.45</v>
      </c>
      <c r="L1256" s="17">
        <f t="shared" si="58"/>
        <v>966.67</v>
      </c>
      <c r="M1256" s="18">
        <f t="shared" si="59"/>
        <v>4153.12</v>
      </c>
    </row>
    <row r="1257" spans="1:13" x14ac:dyDescent="0.25">
      <c r="A1257">
        <v>1000</v>
      </c>
      <c r="B1257">
        <v>1000</v>
      </c>
      <c r="C1257" s="1">
        <v>45961</v>
      </c>
      <c r="D1257">
        <v>94773</v>
      </c>
      <c r="E1257">
        <v>139</v>
      </c>
      <c r="F1257" s="2">
        <v>5558.34</v>
      </c>
      <c r="G1257" s="1">
        <v>45965</v>
      </c>
      <c r="I1257" t="s">
        <v>9</v>
      </c>
      <c r="J1257" s="14">
        <f>IFERROR(VLOOKUP(D1257,'INf. RRHH'!$A:$B,2,0),0)</f>
        <v>2900</v>
      </c>
      <c r="K1257" s="16">
        <f t="shared" si="57"/>
        <v>2658.34</v>
      </c>
      <c r="L1257" s="17">
        <f t="shared" si="58"/>
        <v>966.67</v>
      </c>
      <c r="M1257" s="18">
        <f t="shared" si="59"/>
        <v>3625.01</v>
      </c>
    </row>
    <row r="1258" spans="1:13" x14ac:dyDescent="0.25">
      <c r="A1258">
        <v>1000</v>
      </c>
      <c r="B1258">
        <v>1000</v>
      </c>
      <c r="C1258" s="1">
        <v>45961</v>
      </c>
      <c r="D1258">
        <v>94973</v>
      </c>
      <c r="E1258">
        <v>232</v>
      </c>
      <c r="F1258" s="2">
        <v>3608.32</v>
      </c>
      <c r="G1258" s="1">
        <v>45965</v>
      </c>
      <c r="I1258" t="s">
        <v>9</v>
      </c>
      <c r="J1258" s="14">
        <f>IFERROR(VLOOKUP(D1258,'INf. RRHH'!$A:$B,2,0),0)</f>
        <v>1450</v>
      </c>
      <c r="K1258" s="16">
        <f t="shared" si="57"/>
        <v>2158.3200000000002</v>
      </c>
      <c r="L1258" s="17">
        <f t="shared" si="58"/>
        <v>483.33</v>
      </c>
      <c r="M1258" s="18">
        <f t="shared" si="59"/>
        <v>2641.65</v>
      </c>
    </row>
    <row r="1259" spans="1:13" x14ac:dyDescent="0.25">
      <c r="A1259">
        <v>1000</v>
      </c>
      <c r="B1259">
        <v>1000</v>
      </c>
      <c r="C1259" s="1">
        <v>45961</v>
      </c>
      <c r="D1259">
        <v>95006</v>
      </c>
      <c r="E1259">
        <v>216</v>
      </c>
      <c r="F1259" s="2">
        <v>5043.32</v>
      </c>
      <c r="G1259" s="1">
        <v>45965</v>
      </c>
      <c r="I1259" t="s">
        <v>9</v>
      </c>
      <c r="J1259" s="14">
        <f>IFERROR(VLOOKUP(D1259,'INf. RRHH'!$A:$B,2,0),0)</f>
        <v>2900</v>
      </c>
      <c r="K1259" s="16">
        <f t="shared" si="57"/>
        <v>2143.3199999999997</v>
      </c>
      <c r="L1259" s="17">
        <f t="shared" si="58"/>
        <v>966.67</v>
      </c>
      <c r="M1259" s="18">
        <f t="shared" si="59"/>
        <v>3109.99</v>
      </c>
    </row>
    <row r="1260" spans="1:13" x14ac:dyDescent="0.25">
      <c r="A1260">
        <v>1000</v>
      </c>
      <c r="B1260">
        <v>1000</v>
      </c>
      <c r="C1260" s="1">
        <v>45961</v>
      </c>
      <c r="D1260">
        <v>95087</v>
      </c>
      <c r="E1260">
        <v>315</v>
      </c>
      <c r="F1260" s="2">
        <v>7003.87</v>
      </c>
      <c r="G1260" s="1">
        <v>45965</v>
      </c>
      <c r="I1260" t="s">
        <v>9</v>
      </c>
      <c r="J1260" s="14">
        <f>IFERROR(VLOOKUP(D1260,'INf. RRHH'!$A:$B,2,0),0)</f>
        <v>2900</v>
      </c>
      <c r="K1260" s="16">
        <f t="shared" si="57"/>
        <v>4103.87</v>
      </c>
      <c r="L1260" s="17">
        <f t="shared" si="58"/>
        <v>966.67</v>
      </c>
      <c r="M1260" s="18">
        <f t="shared" si="59"/>
        <v>5070.54</v>
      </c>
    </row>
    <row r="1261" spans="1:13" x14ac:dyDescent="0.25">
      <c r="A1261">
        <v>1000</v>
      </c>
      <c r="B1261">
        <v>1000</v>
      </c>
      <c r="C1261" s="1">
        <v>45961</v>
      </c>
      <c r="D1261">
        <v>95223</v>
      </c>
      <c r="E1261">
        <v>240</v>
      </c>
      <c r="F1261" s="2">
        <v>5134.07</v>
      </c>
      <c r="G1261" s="1">
        <v>45965</v>
      </c>
      <c r="I1261" t="s">
        <v>9</v>
      </c>
      <c r="J1261" s="14">
        <f>IFERROR(VLOOKUP(D1261,'INf. RRHH'!$A:$B,2,0),0)</f>
        <v>2900</v>
      </c>
      <c r="K1261" s="16">
        <f t="shared" si="57"/>
        <v>2234.0699999999997</v>
      </c>
      <c r="L1261" s="17">
        <f t="shared" si="58"/>
        <v>966.67</v>
      </c>
      <c r="M1261" s="18">
        <f t="shared" si="59"/>
        <v>3200.74</v>
      </c>
    </row>
    <row r="1262" spans="1:13" x14ac:dyDescent="0.25">
      <c r="A1262">
        <v>1000</v>
      </c>
      <c r="B1262">
        <v>1000</v>
      </c>
      <c r="C1262" s="1">
        <v>45961</v>
      </c>
      <c r="D1262">
        <v>95266</v>
      </c>
      <c r="E1262">
        <v>264</v>
      </c>
      <c r="F1262" s="2">
        <v>5230.08</v>
      </c>
      <c r="G1262" s="1">
        <v>45965</v>
      </c>
      <c r="I1262" t="s">
        <v>9</v>
      </c>
      <c r="J1262" s="14">
        <f>IFERROR(VLOOKUP(D1262,'INf. RRHH'!$A:$B,2,0),0)</f>
        <v>2900</v>
      </c>
      <c r="K1262" s="16">
        <f t="shared" si="57"/>
        <v>2330.08</v>
      </c>
      <c r="L1262" s="17">
        <f t="shared" si="58"/>
        <v>966.67</v>
      </c>
      <c r="M1262" s="18">
        <f t="shared" si="59"/>
        <v>3296.75</v>
      </c>
    </row>
    <row r="1263" spans="1:13" x14ac:dyDescent="0.25">
      <c r="A1263">
        <v>1000</v>
      </c>
      <c r="B1263">
        <v>1000</v>
      </c>
      <c r="C1263" s="1">
        <v>45961</v>
      </c>
      <c r="D1263">
        <v>95322</v>
      </c>
      <c r="E1263">
        <v>240</v>
      </c>
      <c r="F1263" s="2">
        <v>2129.9499999999998</v>
      </c>
      <c r="G1263" s="1">
        <v>45965</v>
      </c>
      <c r="I1263" t="s">
        <v>9</v>
      </c>
      <c r="J1263" s="14">
        <f>IFERROR(VLOOKUP(D1263,'INf. RRHH'!$A:$B,2,0),0)</f>
        <v>0</v>
      </c>
      <c r="K1263" s="16">
        <f t="shared" si="57"/>
        <v>2129.9499999999998</v>
      </c>
      <c r="L1263" s="17">
        <f t="shared" si="58"/>
        <v>0</v>
      </c>
      <c r="M1263" s="18">
        <f t="shared" si="59"/>
        <v>2129.9499999999998</v>
      </c>
    </row>
    <row r="1264" spans="1:13" x14ac:dyDescent="0.25">
      <c r="A1264">
        <v>1000</v>
      </c>
      <c r="B1264">
        <v>1000</v>
      </c>
      <c r="C1264" s="1">
        <v>45961</v>
      </c>
      <c r="D1264">
        <v>95427</v>
      </c>
      <c r="E1264">
        <v>240</v>
      </c>
      <c r="F1264" s="2">
        <v>3649.13</v>
      </c>
      <c r="G1264" s="1">
        <v>45965</v>
      </c>
      <c r="I1264" t="s">
        <v>9</v>
      </c>
      <c r="J1264" s="14">
        <f>IFERROR(VLOOKUP(D1264,'INf. RRHH'!$A:$B,2,0),0)</f>
        <v>1450</v>
      </c>
      <c r="K1264" s="16">
        <f t="shared" si="57"/>
        <v>2199.13</v>
      </c>
      <c r="L1264" s="17">
        <f t="shared" si="58"/>
        <v>483.33</v>
      </c>
      <c r="M1264" s="18">
        <f t="shared" si="59"/>
        <v>2682.46</v>
      </c>
    </row>
    <row r="1265" spans="1:13" x14ac:dyDescent="0.25">
      <c r="A1265">
        <v>1000</v>
      </c>
      <c r="B1265">
        <v>1000</v>
      </c>
      <c r="C1265" s="1">
        <v>45961</v>
      </c>
      <c r="D1265">
        <v>7939</v>
      </c>
      <c r="E1265">
        <v>120</v>
      </c>
      <c r="F1265" s="2">
        <v>5816.56</v>
      </c>
      <c r="G1265" s="1">
        <v>45965</v>
      </c>
      <c r="I1265" t="s">
        <v>9</v>
      </c>
      <c r="J1265" s="14">
        <f>IFERROR(VLOOKUP(D1265,'INf. RRHH'!$A:$B,2,0),0)</f>
        <v>2900</v>
      </c>
      <c r="K1265" s="16">
        <f t="shared" si="57"/>
        <v>2916.5600000000004</v>
      </c>
      <c r="L1265" s="17">
        <f t="shared" si="58"/>
        <v>966.67</v>
      </c>
      <c r="M1265" s="18">
        <f t="shared" si="59"/>
        <v>3883.2300000000005</v>
      </c>
    </row>
    <row r="1266" spans="1:13" x14ac:dyDescent="0.25">
      <c r="A1266">
        <v>1000</v>
      </c>
      <c r="B1266">
        <v>1000</v>
      </c>
      <c r="C1266" s="1">
        <v>45961</v>
      </c>
      <c r="D1266">
        <v>7978</v>
      </c>
      <c r="E1266">
        <v>350</v>
      </c>
      <c r="F1266" s="2">
        <v>7312.65</v>
      </c>
      <c r="G1266" s="1">
        <v>45965</v>
      </c>
      <c r="I1266" t="s">
        <v>9</v>
      </c>
      <c r="J1266" s="14">
        <f>IFERROR(VLOOKUP(D1266,'INf. RRHH'!$A:$B,2,0),0)</f>
        <v>2900</v>
      </c>
      <c r="K1266" s="16">
        <f t="shared" si="57"/>
        <v>4412.6499999999996</v>
      </c>
      <c r="L1266" s="17">
        <f t="shared" si="58"/>
        <v>966.67</v>
      </c>
      <c r="M1266" s="18">
        <f t="shared" si="59"/>
        <v>5379.32</v>
      </c>
    </row>
    <row r="1267" spans="1:13" x14ac:dyDescent="0.25">
      <c r="A1267">
        <v>1000</v>
      </c>
      <c r="B1267">
        <v>1000</v>
      </c>
      <c r="C1267" s="1">
        <v>45961</v>
      </c>
      <c r="D1267">
        <v>9266</v>
      </c>
      <c r="E1267">
        <v>1920</v>
      </c>
      <c r="F1267" s="2">
        <v>6954.23</v>
      </c>
      <c r="G1267" s="1">
        <v>45965</v>
      </c>
      <c r="I1267" t="s">
        <v>9</v>
      </c>
      <c r="J1267" s="14">
        <f>IFERROR(VLOOKUP(D1267,'INf. RRHH'!$A:$B,2,0),0)</f>
        <v>0</v>
      </c>
      <c r="K1267" s="16">
        <f t="shared" si="57"/>
        <v>6954.23</v>
      </c>
      <c r="L1267" s="17">
        <f t="shared" si="58"/>
        <v>0</v>
      </c>
      <c r="M1267" s="18">
        <f t="shared" si="59"/>
        <v>6954.23</v>
      </c>
    </row>
    <row r="1268" spans="1:13" x14ac:dyDescent="0.25">
      <c r="A1268">
        <v>1000</v>
      </c>
      <c r="B1268">
        <v>1000</v>
      </c>
      <c r="C1268" s="1">
        <v>45961</v>
      </c>
      <c r="D1268">
        <v>90498</v>
      </c>
      <c r="E1268">
        <v>169</v>
      </c>
      <c r="F1268" s="2">
        <v>5310.3</v>
      </c>
      <c r="G1268" s="1">
        <v>45965</v>
      </c>
      <c r="I1268" t="s">
        <v>9</v>
      </c>
      <c r="J1268" s="14">
        <f>IFERROR(VLOOKUP(D1268,'INf. RRHH'!$A:$B,2,0),0)</f>
        <v>2900</v>
      </c>
      <c r="K1268" s="16">
        <f t="shared" si="57"/>
        <v>2410.3000000000002</v>
      </c>
      <c r="L1268" s="17">
        <f t="shared" si="58"/>
        <v>966.67</v>
      </c>
      <c r="M1268" s="18">
        <f t="shared" si="59"/>
        <v>3376.9700000000003</v>
      </c>
    </row>
    <row r="1269" spans="1:13" x14ac:dyDescent="0.25">
      <c r="A1269">
        <v>1000</v>
      </c>
      <c r="B1269">
        <v>1000</v>
      </c>
      <c r="C1269" s="1">
        <v>45961</v>
      </c>
      <c r="D1269">
        <v>90896</v>
      </c>
      <c r="E1269">
        <v>208</v>
      </c>
      <c r="F1269" s="2">
        <v>5251.91</v>
      </c>
      <c r="G1269" s="1">
        <v>45965</v>
      </c>
      <c r="I1269" t="s">
        <v>9</v>
      </c>
      <c r="J1269" s="14">
        <f>IFERROR(VLOOKUP(D1269,'INf. RRHH'!$A:$B,2,0),0)</f>
        <v>2900</v>
      </c>
      <c r="K1269" s="16">
        <f t="shared" si="57"/>
        <v>2351.91</v>
      </c>
      <c r="L1269" s="17">
        <f t="shared" si="58"/>
        <v>966.67</v>
      </c>
      <c r="M1269" s="18">
        <f t="shared" si="59"/>
        <v>3318.58</v>
      </c>
    </row>
    <row r="1270" spans="1:13" x14ac:dyDescent="0.25">
      <c r="A1270">
        <v>1000</v>
      </c>
      <c r="B1270">
        <v>1000</v>
      </c>
      <c r="C1270" s="1">
        <v>45961</v>
      </c>
      <c r="D1270">
        <v>90929</v>
      </c>
      <c r="E1270">
        <v>347</v>
      </c>
      <c r="F1270" s="2">
        <v>3974.01</v>
      </c>
      <c r="G1270" s="1">
        <v>45965</v>
      </c>
      <c r="I1270" t="s">
        <v>9</v>
      </c>
      <c r="J1270" s="14">
        <f>IFERROR(VLOOKUP(D1270,'INf. RRHH'!$A:$B,2,0),0)</f>
        <v>2900</v>
      </c>
      <c r="K1270" s="16">
        <f t="shared" si="57"/>
        <v>1074.0100000000002</v>
      </c>
      <c r="L1270" s="17">
        <f t="shared" si="58"/>
        <v>966.67</v>
      </c>
      <c r="M1270" s="18">
        <f t="shared" si="59"/>
        <v>2040.6800000000003</v>
      </c>
    </row>
    <row r="1271" spans="1:13" x14ac:dyDescent="0.25">
      <c r="A1271">
        <v>1000</v>
      </c>
      <c r="B1271">
        <v>1000</v>
      </c>
      <c r="C1271" s="1">
        <v>45961</v>
      </c>
      <c r="D1271">
        <v>90989</v>
      </c>
      <c r="E1271">
        <v>56</v>
      </c>
      <c r="F1271" s="2">
        <v>3665.34</v>
      </c>
      <c r="G1271" s="1">
        <v>45965</v>
      </c>
      <c r="I1271" t="s">
        <v>9</v>
      </c>
      <c r="J1271" s="14">
        <f>IFERROR(VLOOKUP(D1271,'INf. RRHH'!$A:$B,2,0),0)</f>
        <v>2900</v>
      </c>
      <c r="K1271" s="16">
        <f t="shared" si="57"/>
        <v>765.34000000000015</v>
      </c>
      <c r="L1271" s="17">
        <f t="shared" si="58"/>
        <v>966.67</v>
      </c>
      <c r="M1271" s="18">
        <f t="shared" si="59"/>
        <v>1732.0100000000002</v>
      </c>
    </row>
    <row r="1272" spans="1:13" x14ac:dyDescent="0.25">
      <c r="A1272">
        <v>1000</v>
      </c>
      <c r="B1272">
        <v>1000</v>
      </c>
      <c r="C1272" s="1">
        <v>45961</v>
      </c>
      <c r="D1272">
        <v>91065</v>
      </c>
      <c r="E1272">
        <v>240</v>
      </c>
      <c r="F1272" s="2">
        <v>3809.76</v>
      </c>
      <c r="G1272" s="1">
        <v>45965</v>
      </c>
      <c r="I1272" t="s">
        <v>9</v>
      </c>
      <c r="J1272" s="14">
        <f>IFERROR(VLOOKUP(D1272,'INf. RRHH'!$A:$B,2,0),0)</f>
        <v>2900</v>
      </c>
      <c r="K1272" s="16">
        <f t="shared" si="57"/>
        <v>909.76000000000022</v>
      </c>
      <c r="L1272" s="17">
        <f t="shared" si="58"/>
        <v>966.67</v>
      </c>
      <c r="M1272" s="18">
        <f t="shared" si="59"/>
        <v>1876.4300000000003</v>
      </c>
    </row>
    <row r="1273" spans="1:13" x14ac:dyDescent="0.25">
      <c r="A1273">
        <v>1000</v>
      </c>
      <c r="B1273">
        <v>1000</v>
      </c>
      <c r="C1273" s="1">
        <v>45961</v>
      </c>
      <c r="D1273">
        <v>91175</v>
      </c>
      <c r="E1273">
        <v>240</v>
      </c>
      <c r="F1273" s="2">
        <v>5154.05</v>
      </c>
      <c r="G1273" s="1">
        <v>45965</v>
      </c>
      <c r="I1273" t="s">
        <v>9</v>
      </c>
      <c r="J1273" s="14">
        <f>IFERROR(VLOOKUP(D1273,'INf. RRHH'!$A:$B,2,0),0)</f>
        <v>2900</v>
      </c>
      <c r="K1273" s="16">
        <f t="shared" si="57"/>
        <v>2254.0500000000002</v>
      </c>
      <c r="L1273" s="17">
        <f t="shared" si="58"/>
        <v>966.67</v>
      </c>
      <c r="M1273" s="18">
        <f t="shared" si="59"/>
        <v>3220.7200000000003</v>
      </c>
    </row>
    <row r="1274" spans="1:13" x14ac:dyDescent="0.25">
      <c r="D1274" t="s">
        <v>231</v>
      </c>
      <c r="F1274" s="2">
        <f>SUM(F2:F1273)</f>
        <v>7446174.5299999993</v>
      </c>
      <c r="J1274" s="15">
        <f>SUM(J2:J1273)</f>
        <v>3506100</v>
      </c>
      <c r="K1274" s="15">
        <f>SUM(K2:K1273)</f>
        <v>3940074.5300000026</v>
      </c>
      <c r="L1274" s="15">
        <f>SUM(L2:L1273)</f>
        <v>1168703.9100000113</v>
      </c>
      <c r="M1274" s="15">
        <f>SUM(M2:M1273)</f>
        <v>5108778.4399999911</v>
      </c>
    </row>
    <row r="1275" spans="1:13" x14ac:dyDescent="0.25">
      <c r="D1275" t="s">
        <v>232</v>
      </c>
      <c r="F1275" s="2">
        <f>+SAP!O899</f>
        <v>7446174.5300000003</v>
      </c>
      <c r="M1275" s="2">
        <f>+'SAP (1)'!R899</f>
        <v>5108778.4399999995</v>
      </c>
    </row>
    <row r="1276" spans="1:13" x14ac:dyDescent="0.25">
      <c r="D1276" t="s">
        <v>233</v>
      </c>
      <c r="F1276" s="2">
        <f>+F1275-F1274</f>
        <v>0</v>
      </c>
      <c r="J1276" s="2"/>
      <c r="L1276" s="2">
        <f>SUM('SAP (1)'!R530:R594)</f>
        <v>1168703.9100000004</v>
      </c>
      <c r="M1276" s="2">
        <f>+M1275-M1274</f>
        <v>8.3819031715393066E-9</v>
      </c>
    </row>
    <row r="1277" spans="1:13" x14ac:dyDescent="0.25">
      <c r="L1277" s="2">
        <f>+L1276-L1274</f>
        <v>-1.0943040251731873E-8</v>
      </c>
    </row>
    <row r="1278" spans="1:13" x14ac:dyDescent="0.25">
      <c r="L12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07B-76D6-4D5D-9F36-95CE2AAFEBF3}">
  <dimension ref="A1:X906"/>
  <sheetViews>
    <sheetView topLeftCell="C1" workbookViewId="0">
      <pane ySplit="1" topLeftCell="A867" activePane="bottomLeft" state="frozen"/>
      <selection activeCell="H32" sqref="H32"/>
      <selection pane="bottomLeft" activeCell="I897" sqref="I897"/>
    </sheetView>
  </sheetViews>
  <sheetFormatPr baseColWidth="10" defaultColWidth="9.140625" defaultRowHeight="15" x14ac:dyDescent="0.25"/>
  <cols>
    <col min="1" max="1" width="10" style="5" bestFit="1" customWidth="1"/>
    <col min="2" max="2" width="17" style="5" bestFit="1" customWidth="1"/>
    <col min="3" max="3" width="30" style="5" bestFit="1" customWidth="1"/>
    <col min="4" max="4" width="6" style="5" bestFit="1" customWidth="1"/>
    <col min="5" max="5" width="17" style="5" bestFit="1" customWidth="1"/>
    <col min="6" max="6" width="42" style="5" bestFit="1" customWidth="1"/>
    <col min="7" max="7" width="12" style="5" bestFit="1" customWidth="1"/>
    <col min="8" max="9" width="20" style="5" bestFit="1" customWidth="1"/>
    <col min="10" max="10" width="18" style="5" bestFit="1" customWidth="1"/>
    <col min="11" max="11" width="21" style="5" bestFit="1" customWidth="1"/>
    <col min="12" max="12" width="14" style="5" bestFit="1" customWidth="1"/>
    <col min="13" max="13" width="12" style="5" bestFit="1" customWidth="1"/>
    <col min="14" max="14" width="21" style="5" bestFit="1" customWidth="1"/>
    <col min="15" max="15" width="12" style="5" bestFit="1" customWidth="1"/>
    <col min="16" max="16" width="18" style="5" bestFit="1" customWidth="1"/>
    <col min="17" max="17" width="12" style="5" bestFit="1" customWidth="1"/>
    <col min="18" max="18" width="17" style="5" bestFit="1" customWidth="1"/>
    <col min="19" max="19" width="12" style="5" bestFit="1" customWidth="1"/>
    <col min="20" max="20" width="5" style="5" bestFit="1" customWidth="1"/>
    <col min="21" max="21" width="10" style="5" bestFit="1" customWidth="1"/>
    <col min="22" max="22" width="9" style="5" bestFit="1" customWidth="1"/>
    <col min="23" max="23" width="13" style="5" bestFit="1" customWidth="1"/>
    <col min="24" max="24" width="21" style="5" bestFit="1" customWidth="1"/>
    <col min="25" max="16384" width="9.140625" style="5"/>
  </cols>
  <sheetData>
    <row r="1" spans="1:24" ht="60" x14ac:dyDescent="0.25">
      <c r="A1" s="3" t="s">
        <v>10</v>
      </c>
      <c r="B1" s="3" t="s">
        <v>11</v>
      </c>
      <c r="C1" s="3" t="s">
        <v>12</v>
      </c>
      <c r="D1" s="4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3" t="s">
        <v>30</v>
      </c>
      <c r="V1" s="3" t="s">
        <v>31</v>
      </c>
      <c r="W1" s="3" t="s">
        <v>32</v>
      </c>
      <c r="X1" s="3" t="s">
        <v>33</v>
      </c>
    </row>
    <row r="2" spans="1:24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6">
        <v>45961</v>
      </c>
      <c r="I2" s="6">
        <v>45961</v>
      </c>
      <c r="J2" s="6">
        <v>45964</v>
      </c>
      <c r="K2" s="5" t="s">
        <v>41</v>
      </c>
      <c r="L2" s="5" t="s">
        <v>42</v>
      </c>
      <c r="M2" s="5" t="s">
        <v>43</v>
      </c>
      <c r="N2" s="5" t="s">
        <v>44</v>
      </c>
      <c r="O2" s="7">
        <v>472.03</v>
      </c>
      <c r="P2" s="5" t="s">
        <v>45</v>
      </c>
      <c r="Q2" s="7">
        <v>472.03</v>
      </c>
      <c r="R2" s="5" t="s">
        <v>45</v>
      </c>
      <c r="S2" s="7">
        <v>138.91</v>
      </c>
      <c r="T2" s="5" t="s">
        <v>46</v>
      </c>
      <c r="U2" s="5" t="s">
        <v>47</v>
      </c>
      <c r="V2" s="5" t="s">
        <v>47</v>
      </c>
      <c r="W2" s="5" t="s">
        <v>47</v>
      </c>
      <c r="X2" s="5" t="s">
        <v>47</v>
      </c>
    </row>
    <row r="3" spans="1:24" x14ac:dyDescent="0.25">
      <c r="A3" s="5" t="s">
        <v>34</v>
      </c>
      <c r="B3" s="5" t="s">
        <v>35</v>
      </c>
      <c r="C3" s="5" t="s">
        <v>36</v>
      </c>
      <c r="D3" s="5" t="s">
        <v>37</v>
      </c>
      <c r="E3" s="5" t="s">
        <v>48</v>
      </c>
      <c r="F3" s="5" t="s">
        <v>49</v>
      </c>
      <c r="G3" s="5" t="s">
        <v>40</v>
      </c>
      <c r="H3" s="6">
        <v>45961</v>
      </c>
      <c r="I3" s="6">
        <v>45961</v>
      </c>
      <c r="J3" s="6">
        <v>45964</v>
      </c>
      <c r="K3" s="5" t="s">
        <v>41</v>
      </c>
      <c r="L3" s="5" t="s">
        <v>42</v>
      </c>
      <c r="M3" s="5" t="s">
        <v>43</v>
      </c>
      <c r="N3" s="5" t="s">
        <v>44</v>
      </c>
      <c r="O3" s="7">
        <v>4285.25</v>
      </c>
      <c r="P3" s="5" t="s">
        <v>45</v>
      </c>
      <c r="Q3" s="7">
        <v>4285.25</v>
      </c>
      <c r="R3" s="5" t="s">
        <v>45</v>
      </c>
      <c r="S3" s="7">
        <v>1261.1099999999999</v>
      </c>
      <c r="T3" s="5" t="s">
        <v>46</v>
      </c>
      <c r="U3" s="5" t="s">
        <v>47</v>
      </c>
      <c r="V3" s="5" t="s">
        <v>47</v>
      </c>
      <c r="W3" s="5" t="s">
        <v>47</v>
      </c>
      <c r="X3" s="5" t="s">
        <v>47</v>
      </c>
    </row>
    <row r="4" spans="1:24" x14ac:dyDescent="0.25">
      <c r="A4" s="5" t="s">
        <v>34</v>
      </c>
      <c r="B4" s="5" t="s">
        <v>35</v>
      </c>
      <c r="C4" s="5" t="s">
        <v>36</v>
      </c>
      <c r="D4" s="5" t="s">
        <v>37</v>
      </c>
      <c r="E4" s="5" t="s">
        <v>50</v>
      </c>
      <c r="F4" s="5" t="s">
        <v>51</v>
      </c>
      <c r="G4" s="5" t="s">
        <v>40</v>
      </c>
      <c r="H4" s="6">
        <v>45961</v>
      </c>
      <c r="I4" s="6">
        <v>45961</v>
      </c>
      <c r="J4" s="6">
        <v>45964</v>
      </c>
      <c r="K4" s="5" t="s">
        <v>41</v>
      </c>
      <c r="L4" s="5" t="s">
        <v>42</v>
      </c>
      <c r="M4" s="5" t="s">
        <v>43</v>
      </c>
      <c r="N4" s="5" t="s">
        <v>44</v>
      </c>
      <c r="O4" s="7">
        <v>3720.03</v>
      </c>
      <c r="P4" s="5" t="s">
        <v>45</v>
      </c>
      <c r="Q4" s="7">
        <v>3720.03</v>
      </c>
      <c r="R4" s="5" t="s">
        <v>45</v>
      </c>
      <c r="S4" s="7">
        <v>1094.77</v>
      </c>
      <c r="T4" s="5" t="s">
        <v>46</v>
      </c>
      <c r="U4" s="5" t="s">
        <v>47</v>
      </c>
      <c r="V4" s="5" t="s">
        <v>47</v>
      </c>
      <c r="W4" s="5" t="s">
        <v>47</v>
      </c>
      <c r="X4" s="5" t="s">
        <v>47</v>
      </c>
    </row>
    <row r="5" spans="1:24" x14ac:dyDescent="0.25">
      <c r="A5" s="5" t="s">
        <v>34</v>
      </c>
      <c r="B5" s="5" t="s">
        <v>35</v>
      </c>
      <c r="C5" s="5" t="s">
        <v>36</v>
      </c>
      <c r="D5" s="5" t="s">
        <v>37</v>
      </c>
      <c r="E5" s="5" t="s">
        <v>52</v>
      </c>
      <c r="F5" s="5" t="s">
        <v>53</v>
      </c>
      <c r="G5" s="5" t="s">
        <v>40</v>
      </c>
      <c r="H5" s="6">
        <v>45961</v>
      </c>
      <c r="I5" s="6">
        <v>45961</v>
      </c>
      <c r="J5" s="6">
        <v>45964</v>
      </c>
      <c r="K5" s="5" t="s">
        <v>41</v>
      </c>
      <c r="L5" s="5" t="s">
        <v>42</v>
      </c>
      <c r="M5" s="5" t="s">
        <v>43</v>
      </c>
      <c r="N5" s="5" t="s">
        <v>44</v>
      </c>
      <c r="O5" s="7">
        <v>1640</v>
      </c>
      <c r="P5" s="5" t="s">
        <v>45</v>
      </c>
      <c r="Q5" s="7">
        <v>1640</v>
      </c>
      <c r="R5" s="5" t="s">
        <v>45</v>
      </c>
      <c r="S5" s="7">
        <v>482.64</v>
      </c>
      <c r="T5" s="5" t="s">
        <v>46</v>
      </c>
      <c r="U5" s="5" t="s">
        <v>47</v>
      </c>
      <c r="V5" s="5" t="s">
        <v>47</v>
      </c>
      <c r="W5" s="5" t="s">
        <v>47</v>
      </c>
      <c r="X5" s="5" t="s">
        <v>47</v>
      </c>
    </row>
    <row r="6" spans="1:24" x14ac:dyDescent="0.25">
      <c r="A6" s="5" t="s">
        <v>34</v>
      </c>
      <c r="B6" s="5" t="s">
        <v>35</v>
      </c>
      <c r="C6" s="5" t="s">
        <v>36</v>
      </c>
      <c r="D6" s="5" t="s">
        <v>37</v>
      </c>
      <c r="E6" s="5" t="s">
        <v>54</v>
      </c>
      <c r="F6" s="5" t="s">
        <v>55</v>
      </c>
      <c r="G6" s="5" t="s">
        <v>40</v>
      </c>
      <c r="H6" s="6">
        <v>45961</v>
      </c>
      <c r="I6" s="6">
        <v>45961</v>
      </c>
      <c r="J6" s="6">
        <v>45964</v>
      </c>
      <c r="K6" s="5" t="s">
        <v>41</v>
      </c>
      <c r="L6" s="5" t="s">
        <v>42</v>
      </c>
      <c r="M6" s="5" t="s">
        <v>43</v>
      </c>
      <c r="N6" s="5" t="s">
        <v>44</v>
      </c>
      <c r="O6" s="7">
        <v>728.66</v>
      </c>
      <c r="P6" s="5" t="s">
        <v>45</v>
      </c>
      <c r="Q6" s="7">
        <v>728.66</v>
      </c>
      <c r="R6" s="5" t="s">
        <v>45</v>
      </c>
      <c r="S6" s="7">
        <v>214.44</v>
      </c>
      <c r="T6" s="5" t="s">
        <v>46</v>
      </c>
      <c r="U6" s="5" t="s">
        <v>47</v>
      </c>
      <c r="V6" s="5" t="s">
        <v>47</v>
      </c>
      <c r="W6" s="5" t="s">
        <v>47</v>
      </c>
      <c r="X6" s="5" t="s">
        <v>47</v>
      </c>
    </row>
    <row r="7" spans="1:24" x14ac:dyDescent="0.25">
      <c r="A7" s="5" t="s">
        <v>34</v>
      </c>
      <c r="B7" s="5" t="s">
        <v>35</v>
      </c>
      <c r="C7" s="5" t="s">
        <v>36</v>
      </c>
      <c r="D7" s="5" t="s">
        <v>37</v>
      </c>
      <c r="E7" s="5" t="s">
        <v>56</v>
      </c>
      <c r="F7" s="5" t="s">
        <v>57</v>
      </c>
      <c r="G7" s="5" t="s">
        <v>40</v>
      </c>
      <c r="H7" s="6">
        <v>45961</v>
      </c>
      <c r="I7" s="6">
        <v>45961</v>
      </c>
      <c r="J7" s="6">
        <v>45964</v>
      </c>
      <c r="K7" s="5" t="s">
        <v>41</v>
      </c>
      <c r="L7" s="5" t="s">
        <v>42</v>
      </c>
      <c r="M7" s="5" t="s">
        <v>43</v>
      </c>
      <c r="N7" s="5" t="s">
        <v>44</v>
      </c>
      <c r="O7" s="7">
        <v>18824.03</v>
      </c>
      <c r="P7" s="5" t="s">
        <v>45</v>
      </c>
      <c r="Q7" s="7">
        <v>18824.03</v>
      </c>
      <c r="R7" s="5" t="s">
        <v>45</v>
      </c>
      <c r="S7" s="7">
        <v>5539.74</v>
      </c>
      <c r="T7" s="5" t="s">
        <v>46</v>
      </c>
      <c r="U7" s="5" t="s">
        <v>47</v>
      </c>
      <c r="V7" s="5" t="s">
        <v>47</v>
      </c>
      <c r="W7" s="5" t="s">
        <v>47</v>
      </c>
      <c r="X7" s="5" t="s">
        <v>47</v>
      </c>
    </row>
    <row r="8" spans="1:24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58</v>
      </c>
      <c r="F8" s="5" t="s">
        <v>59</v>
      </c>
      <c r="G8" s="5" t="s">
        <v>40</v>
      </c>
      <c r="H8" s="6">
        <v>45961</v>
      </c>
      <c r="I8" s="6">
        <v>45961</v>
      </c>
      <c r="J8" s="6">
        <v>45964</v>
      </c>
      <c r="K8" s="5" t="s">
        <v>41</v>
      </c>
      <c r="L8" s="5" t="s">
        <v>42</v>
      </c>
      <c r="M8" s="5" t="s">
        <v>43</v>
      </c>
      <c r="N8" s="5" t="s">
        <v>44</v>
      </c>
      <c r="O8" s="7">
        <v>26304.36</v>
      </c>
      <c r="P8" s="5" t="s">
        <v>45</v>
      </c>
      <c r="Q8" s="7">
        <v>26304.36</v>
      </c>
      <c r="R8" s="5" t="s">
        <v>45</v>
      </c>
      <c r="S8" s="7">
        <v>7741.13</v>
      </c>
      <c r="T8" s="5" t="s">
        <v>46</v>
      </c>
      <c r="U8" s="5" t="s">
        <v>47</v>
      </c>
      <c r="V8" s="5" t="s">
        <v>47</v>
      </c>
      <c r="W8" s="5" t="s">
        <v>47</v>
      </c>
      <c r="X8" s="5" t="s">
        <v>47</v>
      </c>
    </row>
    <row r="9" spans="1:24" x14ac:dyDescent="0.25">
      <c r="A9" s="5" t="s">
        <v>34</v>
      </c>
      <c r="B9" s="5" t="s">
        <v>35</v>
      </c>
      <c r="C9" s="5" t="s">
        <v>36</v>
      </c>
      <c r="D9" s="5" t="s">
        <v>37</v>
      </c>
      <c r="E9" s="5" t="s">
        <v>60</v>
      </c>
      <c r="F9" s="5" t="s">
        <v>61</v>
      </c>
      <c r="G9" s="5" t="s">
        <v>40</v>
      </c>
      <c r="H9" s="6">
        <v>45961</v>
      </c>
      <c r="I9" s="6">
        <v>45961</v>
      </c>
      <c r="J9" s="6">
        <v>45964</v>
      </c>
      <c r="K9" s="5" t="s">
        <v>41</v>
      </c>
      <c r="L9" s="5" t="s">
        <v>42</v>
      </c>
      <c r="M9" s="5" t="s">
        <v>43</v>
      </c>
      <c r="N9" s="5" t="s">
        <v>44</v>
      </c>
      <c r="O9" s="7">
        <v>29462.720000000001</v>
      </c>
      <c r="P9" s="5" t="s">
        <v>45</v>
      </c>
      <c r="Q9" s="7">
        <v>29462.720000000001</v>
      </c>
      <c r="R9" s="5" t="s">
        <v>45</v>
      </c>
      <c r="S9" s="7">
        <v>8670.61</v>
      </c>
      <c r="T9" s="5" t="s">
        <v>46</v>
      </c>
      <c r="U9" s="5" t="s">
        <v>47</v>
      </c>
      <c r="V9" s="5" t="s">
        <v>47</v>
      </c>
      <c r="W9" s="5" t="s">
        <v>47</v>
      </c>
      <c r="X9" s="5" t="s">
        <v>47</v>
      </c>
    </row>
    <row r="10" spans="1:2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62</v>
      </c>
      <c r="F10" s="5" t="s">
        <v>63</v>
      </c>
      <c r="G10" s="5" t="s">
        <v>40</v>
      </c>
      <c r="H10" s="6">
        <v>45961</v>
      </c>
      <c r="I10" s="6">
        <v>45961</v>
      </c>
      <c r="J10" s="6">
        <v>45964</v>
      </c>
      <c r="K10" s="5" t="s">
        <v>41</v>
      </c>
      <c r="L10" s="5" t="s">
        <v>42</v>
      </c>
      <c r="M10" s="5" t="s">
        <v>43</v>
      </c>
      <c r="N10" s="5" t="s">
        <v>44</v>
      </c>
      <c r="O10" s="7">
        <v>1792.75</v>
      </c>
      <c r="P10" s="5" t="s">
        <v>45</v>
      </c>
      <c r="Q10" s="7">
        <v>1792.75</v>
      </c>
      <c r="R10" s="5" t="s">
        <v>45</v>
      </c>
      <c r="S10" s="7">
        <v>527.59</v>
      </c>
      <c r="T10" s="5" t="s">
        <v>46</v>
      </c>
      <c r="U10" s="5" t="s">
        <v>47</v>
      </c>
      <c r="V10" s="5" t="s">
        <v>47</v>
      </c>
      <c r="W10" s="5" t="s">
        <v>47</v>
      </c>
      <c r="X10" s="5" t="s">
        <v>47</v>
      </c>
    </row>
    <row r="11" spans="1:24" x14ac:dyDescent="0.25">
      <c r="A11" s="5" t="s">
        <v>34</v>
      </c>
      <c r="B11" s="5" t="s">
        <v>35</v>
      </c>
      <c r="C11" s="5" t="s">
        <v>36</v>
      </c>
      <c r="D11" s="5" t="s">
        <v>37</v>
      </c>
      <c r="E11" s="5" t="s">
        <v>64</v>
      </c>
      <c r="F11" s="5" t="s">
        <v>65</v>
      </c>
      <c r="G11" s="5" t="s">
        <v>40</v>
      </c>
      <c r="H11" s="6">
        <v>45961</v>
      </c>
      <c r="I11" s="6">
        <v>45961</v>
      </c>
      <c r="J11" s="6">
        <v>45964</v>
      </c>
      <c r="K11" s="5" t="s">
        <v>41</v>
      </c>
      <c r="L11" s="5" t="s">
        <v>42</v>
      </c>
      <c r="M11" s="5" t="s">
        <v>43</v>
      </c>
      <c r="N11" s="5" t="s">
        <v>44</v>
      </c>
      <c r="O11" s="7">
        <v>1887.93</v>
      </c>
      <c r="P11" s="5" t="s">
        <v>45</v>
      </c>
      <c r="Q11" s="7">
        <v>1887.93</v>
      </c>
      <c r="R11" s="5" t="s">
        <v>45</v>
      </c>
      <c r="S11" s="7">
        <v>555.6</v>
      </c>
      <c r="T11" s="5" t="s">
        <v>46</v>
      </c>
      <c r="U11" s="5" t="s">
        <v>47</v>
      </c>
      <c r="V11" s="5" t="s">
        <v>47</v>
      </c>
      <c r="W11" s="5" t="s">
        <v>47</v>
      </c>
      <c r="X11" s="5" t="s">
        <v>47</v>
      </c>
    </row>
    <row r="12" spans="1:24" x14ac:dyDescent="0.25">
      <c r="A12" s="5" t="s">
        <v>34</v>
      </c>
      <c r="B12" s="5" t="s">
        <v>35</v>
      </c>
      <c r="C12" s="5" t="s">
        <v>36</v>
      </c>
      <c r="D12" s="5" t="s">
        <v>37</v>
      </c>
      <c r="E12" s="5" t="s">
        <v>66</v>
      </c>
      <c r="F12" s="5" t="s">
        <v>67</v>
      </c>
      <c r="G12" s="5" t="s">
        <v>40</v>
      </c>
      <c r="H12" s="6">
        <v>45961</v>
      </c>
      <c r="I12" s="6">
        <v>45961</v>
      </c>
      <c r="J12" s="6">
        <v>45964</v>
      </c>
      <c r="K12" s="5" t="s">
        <v>41</v>
      </c>
      <c r="L12" s="5" t="s">
        <v>42</v>
      </c>
      <c r="M12" s="5" t="s">
        <v>43</v>
      </c>
      <c r="N12" s="5" t="s">
        <v>44</v>
      </c>
      <c r="O12" s="7">
        <v>16251</v>
      </c>
      <c r="P12" s="5" t="s">
        <v>45</v>
      </c>
      <c r="Q12" s="7">
        <v>16251</v>
      </c>
      <c r="R12" s="5" t="s">
        <v>45</v>
      </c>
      <c r="S12" s="7">
        <v>4782.5200000000004</v>
      </c>
      <c r="T12" s="5" t="s">
        <v>46</v>
      </c>
      <c r="U12" s="5" t="s">
        <v>47</v>
      </c>
      <c r="V12" s="5" t="s">
        <v>47</v>
      </c>
      <c r="W12" s="5" t="s">
        <v>47</v>
      </c>
      <c r="X12" s="5" t="s">
        <v>47</v>
      </c>
    </row>
    <row r="13" spans="1:24" x14ac:dyDescent="0.25">
      <c r="A13" s="5" t="s">
        <v>34</v>
      </c>
      <c r="B13" s="5" t="s">
        <v>35</v>
      </c>
      <c r="C13" s="5" t="s">
        <v>36</v>
      </c>
      <c r="D13" s="5" t="s">
        <v>37</v>
      </c>
      <c r="E13" s="5" t="s">
        <v>68</v>
      </c>
      <c r="F13" s="5" t="s">
        <v>69</v>
      </c>
      <c r="G13" s="5" t="s">
        <v>40</v>
      </c>
      <c r="H13" s="6">
        <v>45961</v>
      </c>
      <c r="I13" s="6">
        <v>45961</v>
      </c>
      <c r="J13" s="6">
        <v>45964</v>
      </c>
      <c r="K13" s="5" t="s">
        <v>41</v>
      </c>
      <c r="L13" s="5" t="s">
        <v>42</v>
      </c>
      <c r="M13" s="5" t="s">
        <v>43</v>
      </c>
      <c r="N13" s="5" t="s">
        <v>44</v>
      </c>
      <c r="O13" s="7">
        <v>898.49</v>
      </c>
      <c r="P13" s="5" t="s">
        <v>45</v>
      </c>
      <c r="Q13" s="7">
        <v>898.49</v>
      </c>
      <c r="R13" s="5" t="s">
        <v>45</v>
      </c>
      <c r="S13" s="7">
        <v>264.42</v>
      </c>
      <c r="T13" s="5" t="s">
        <v>46</v>
      </c>
      <c r="U13" s="5" t="s">
        <v>47</v>
      </c>
      <c r="V13" s="5" t="s">
        <v>47</v>
      </c>
      <c r="W13" s="5" t="s">
        <v>47</v>
      </c>
      <c r="X13" s="5" t="s">
        <v>47</v>
      </c>
    </row>
    <row r="14" spans="1:24" x14ac:dyDescent="0.25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70</v>
      </c>
      <c r="F14" s="5" t="s">
        <v>71</v>
      </c>
      <c r="G14" s="5" t="s">
        <v>40</v>
      </c>
      <c r="H14" s="6">
        <v>45961</v>
      </c>
      <c r="I14" s="6">
        <v>45961</v>
      </c>
      <c r="J14" s="6">
        <v>45964</v>
      </c>
      <c r="K14" s="5" t="s">
        <v>41</v>
      </c>
      <c r="L14" s="5" t="s">
        <v>42</v>
      </c>
      <c r="M14" s="5" t="s">
        <v>43</v>
      </c>
      <c r="N14" s="5" t="s">
        <v>44</v>
      </c>
      <c r="O14" s="7">
        <v>5724.6</v>
      </c>
      <c r="P14" s="5" t="s">
        <v>45</v>
      </c>
      <c r="Q14" s="7">
        <v>5724.6</v>
      </c>
      <c r="R14" s="5" t="s">
        <v>45</v>
      </c>
      <c r="S14" s="7">
        <v>1684.7</v>
      </c>
      <c r="T14" s="5" t="s">
        <v>46</v>
      </c>
      <c r="U14" s="5" t="s">
        <v>47</v>
      </c>
      <c r="V14" s="5" t="s">
        <v>47</v>
      </c>
      <c r="W14" s="5" t="s">
        <v>47</v>
      </c>
      <c r="X14" s="5" t="s">
        <v>47</v>
      </c>
    </row>
    <row r="15" spans="1:24" x14ac:dyDescent="0.25">
      <c r="A15" s="5" t="s">
        <v>34</v>
      </c>
      <c r="B15" s="5" t="s">
        <v>35</v>
      </c>
      <c r="C15" s="5" t="s">
        <v>36</v>
      </c>
      <c r="D15" s="5" t="s">
        <v>37</v>
      </c>
      <c r="E15" s="5" t="s">
        <v>72</v>
      </c>
      <c r="F15" s="5" t="s">
        <v>73</v>
      </c>
      <c r="G15" s="5" t="s">
        <v>40</v>
      </c>
      <c r="H15" s="6">
        <v>45961</v>
      </c>
      <c r="I15" s="6">
        <v>45961</v>
      </c>
      <c r="J15" s="6">
        <v>45964</v>
      </c>
      <c r="K15" s="5" t="s">
        <v>41</v>
      </c>
      <c r="L15" s="5" t="s">
        <v>42</v>
      </c>
      <c r="M15" s="5" t="s">
        <v>43</v>
      </c>
      <c r="N15" s="5" t="s">
        <v>44</v>
      </c>
      <c r="O15" s="7">
        <v>1956</v>
      </c>
      <c r="P15" s="5" t="s">
        <v>45</v>
      </c>
      <c r="Q15" s="7">
        <v>1956</v>
      </c>
      <c r="R15" s="5" t="s">
        <v>45</v>
      </c>
      <c r="S15" s="7">
        <v>575.63</v>
      </c>
      <c r="T15" s="5" t="s">
        <v>46</v>
      </c>
      <c r="U15" s="5" t="s">
        <v>47</v>
      </c>
      <c r="V15" s="5" t="s">
        <v>47</v>
      </c>
      <c r="W15" s="5" t="s">
        <v>47</v>
      </c>
      <c r="X15" s="5" t="s">
        <v>47</v>
      </c>
    </row>
    <row r="16" spans="1:24" x14ac:dyDescent="0.25">
      <c r="A16" s="5" t="s">
        <v>34</v>
      </c>
      <c r="B16" s="5" t="s">
        <v>35</v>
      </c>
      <c r="C16" s="5" t="s">
        <v>36</v>
      </c>
      <c r="D16" s="5" t="s">
        <v>37</v>
      </c>
      <c r="E16" s="5" t="s">
        <v>74</v>
      </c>
      <c r="F16" s="5" t="s">
        <v>75</v>
      </c>
      <c r="G16" s="5" t="s">
        <v>40</v>
      </c>
      <c r="H16" s="6">
        <v>45961</v>
      </c>
      <c r="I16" s="6">
        <v>45961</v>
      </c>
      <c r="J16" s="6">
        <v>45964</v>
      </c>
      <c r="K16" s="5" t="s">
        <v>41</v>
      </c>
      <c r="L16" s="5" t="s">
        <v>42</v>
      </c>
      <c r="M16" s="5" t="s">
        <v>43</v>
      </c>
      <c r="N16" s="5" t="s">
        <v>44</v>
      </c>
      <c r="O16" s="7">
        <v>12623.62</v>
      </c>
      <c r="P16" s="5" t="s">
        <v>45</v>
      </c>
      <c r="Q16" s="7">
        <v>12623.62</v>
      </c>
      <c r="R16" s="5" t="s">
        <v>45</v>
      </c>
      <c r="S16" s="7">
        <v>3715.01</v>
      </c>
      <c r="T16" s="5" t="s">
        <v>46</v>
      </c>
      <c r="U16" s="5" t="s">
        <v>47</v>
      </c>
      <c r="V16" s="5" t="s">
        <v>47</v>
      </c>
      <c r="W16" s="5" t="s">
        <v>47</v>
      </c>
      <c r="X16" s="5" t="s">
        <v>47</v>
      </c>
    </row>
    <row r="17" spans="1:24" x14ac:dyDescent="0.25">
      <c r="A17" s="5" t="s">
        <v>34</v>
      </c>
      <c r="B17" s="5" t="s">
        <v>35</v>
      </c>
      <c r="C17" s="5" t="s">
        <v>36</v>
      </c>
      <c r="D17" s="5" t="s">
        <v>37</v>
      </c>
      <c r="E17" s="5" t="s">
        <v>76</v>
      </c>
      <c r="F17" s="5" t="s">
        <v>77</v>
      </c>
      <c r="G17" s="5" t="s">
        <v>40</v>
      </c>
      <c r="H17" s="6">
        <v>45961</v>
      </c>
      <c r="I17" s="6">
        <v>45961</v>
      </c>
      <c r="J17" s="6">
        <v>45964</v>
      </c>
      <c r="K17" s="5" t="s">
        <v>41</v>
      </c>
      <c r="L17" s="5" t="s">
        <v>42</v>
      </c>
      <c r="M17" s="5" t="s">
        <v>43</v>
      </c>
      <c r="N17" s="5" t="s">
        <v>44</v>
      </c>
      <c r="O17" s="7">
        <v>2019</v>
      </c>
      <c r="P17" s="5" t="s">
        <v>45</v>
      </c>
      <c r="Q17" s="7">
        <v>2019</v>
      </c>
      <c r="R17" s="5" t="s">
        <v>45</v>
      </c>
      <c r="S17" s="7">
        <v>594.16999999999996</v>
      </c>
      <c r="T17" s="5" t="s">
        <v>46</v>
      </c>
      <c r="U17" s="5" t="s">
        <v>47</v>
      </c>
      <c r="V17" s="5" t="s">
        <v>47</v>
      </c>
      <c r="W17" s="5" t="s">
        <v>47</v>
      </c>
      <c r="X17" s="5" t="s">
        <v>47</v>
      </c>
    </row>
    <row r="18" spans="1:24" x14ac:dyDescent="0.25">
      <c r="A18" s="5" t="s">
        <v>34</v>
      </c>
      <c r="B18" s="5" t="s">
        <v>35</v>
      </c>
      <c r="C18" s="5" t="s">
        <v>36</v>
      </c>
      <c r="D18" s="5" t="s">
        <v>37</v>
      </c>
      <c r="E18" s="5" t="s">
        <v>78</v>
      </c>
      <c r="F18" s="5" t="s">
        <v>79</v>
      </c>
      <c r="G18" s="5" t="s">
        <v>40</v>
      </c>
      <c r="H18" s="6">
        <v>45961</v>
      </c>
      <c r="I18" s="6">
        <v>45961</v>
      </c>
      <c r="J18" s="6">
        <v>45964</v>
      </c>
      <c r="K18" s="5" t="s">
        <v>41</v>
      </c>
      <c r="L18" s="5" t="s">
        <v>42</v>
      </c>
      <c r="M18" s="5" t="s">
        <v>43</v>
      </c>
      <c r="N18" s="5" t="s">
        <v>44</v>
      </c>
      <c r="O18" s="7">
        <v>2019.19</v>
      </c>
      <c r="P18" s="5" t="s">
        <v>45</v>
      </c>
      <c r="Q18" s="7">
        <v>2019.19</v>
      </c>
      <c r="R18" s="5" t="s">
        <v>45</v>
      </c>
      <c r="S18" s="7">
        <v>594.23</v>
      </c>
      <c r="T18" s="5" t="s">
        <v>46</v>
      </c>
      <c r="U18" s="5" t="s">
        <v>47</v>
      </c>
      <c r="V18" s="5" t="s">
        <v>47</v>
      </c>
      <c r="W18" s="5" t="s">
        <v>47</v>
      </c>
      <c r="X18" s="5" t="s">
        <v>47</v>
      </c>
    </row>
    <row r="19" spans="1:24" x14ac:dyDescent="0.25">
      <c r="A19" s="5" t="s">
        <v>34</v>
      </c>
      <c r="B19" s="5" t="s">
        <v>35</v>
      </c>
      <c r="C19" s="5" t="s">
        <v>36</v>
      </c>
      <c r="D19" s="5" t="s">
        <v>37</v>
      </c>
      <c r="E19" s="5" t="s">
        <v>80</v>
      </c>
      <c r="F19" s="5" t="s">
        <v>81</v>
      </c>
      <c r="G19" s="5" t="s">
        <v>40</v>
      </c>
      <c r="H19" s="6">
        <v>45961</v>
      </c>
      <c r="I19" s="6">
        <v>45961</v>
      </c>
      <c r="J19" s="6">
        <v>45964</v>
      </c>
      <c r="K19" s="5" t="s">
        <v>41</v>
      </c>
      <c r="L19" s="5" t="s">
        <v>42</v>
      </c>
      <c r="M19" s="5" t="s">
        <v>43</v>
      </c>
      <c r="N19" s="5" t="s">
        <v>44</v>
      </c>
      <c r="O19" s="7">
        <v>4523.88</v>
      </c>
      <c r="P19" s="5" t="s">
        <v>45</v>
      </c>
      <c r="Q19" s="7">
        <v>4523.88</v>
      </c>
      <c r="R19" s="5" t="s">
        <v>45</v>
      </c>
      <c r="S19" s="7">
        <v>1331.34</v>
      </c>
      <c r="T19" s="5" t="s">
        <v>46</v>
      </c>
      <c r="U19" s="5" t="s">
        <v>47</v>
      </c>
      <c r="V19" s="5" t="s">
        <v>47</v>
      </c>
      <c r="W19" s="5" t="s">
        <v>47</v>
      </c>
      <c r="X19" s="5" t="s">
        <v>47</v>
      </c>
    </row>
    <row r="20" spans="1:24" x14ac:dyDescent="0.25">
      <c r="A20" s="5" t="s">
        <v>34</v>
      </c>
      <c r="B20" s="5" t="s">
        <v>35</v>
      </c>
      <c r="C20" s="5" t="s">
        <v>36</v>
      </c>
      <c r="D20" s="5" t="s">
        <v>37</v>
      </c>
      <c r="E20" s="5" t="s">
        <v>82</v>
      </c>
      <c r="F20" s="5" t="s">
        <v>83</v>
      </c>
      <c r="G20" s="5" t="s">
        <v>40</v>
      </c>
      <c r="H20" s="6">
        <v>45961</v>
      </c>
      <c r="I20" s="6">
        <v>45961</v>
      </c>
      <c r="J20" s="6">
        <v>45964</v>
      </c>
      <c r="K20" s="5" t="s">
        <v>41</v>
      </c>
      <c r="L20" s="5" t="s">
        <v>42</v>
      </c>
      <c r="M20" s="5" t="s">
        <v>43</v>
      </c>
      <c r="N20" s="5" t="s">
        <v>44</v>
      </c>
      <c r="O20" s="7">
        <v>5600</v>
      </c>
      <c r="P20" s="5" t="s">
        <v>45</v>
      </c>
      <c r="Q20" s="7">
        <v>5600</v>
      </c>
      <c r="R20" s="5" t="s">
        <v>45</v>
      </c>
      <c r="S20" s="7">
        <v>1648.03</v>
      </c>
      <c r="T20" s="5" t="s">
        <v>46</v>
      </c>
      <c r="U20" s="5" t="s">
        <v>47</v>
      </c>
      <c r="V20" s="5" t="s">
        <v>47</v>
      </c>
      <c r="W20" s="5" t="s">
        <v>47</v>
      </c>
      <c r="X20" s="5" t="s">
        <v>47</v>
      </c>
    </row>
    <row r="21" spans="1:24" x14ac:dyDescent="0.25">
      <c r="A21" s="5" t="s">
        <v>34</v>
      </c>
      <c r="B21" s="5" t="s">
        <v>35</v>
      </c>
      <c r="C21" s="5" t="s">
        <v>36</v>
      </c>
      <c r="D21" s="5" t="s">
        <v>37</v>
      </c>
      <c r="E21" s="5" t="s">
        <v>84</v>
      </c>
      <c r="F21" s="5" t="s">
        <v>85</v>
      </c>
      <c r="G21" s="5" t="s">
        <v>40</v>
      </c>
      <c r="H21" s="6">
        <v>45961</v>
      </c>
      <c r="I21" s="6">
        <v>45961</v>
      </c>
      <c r="J21" s="6">
        <v>45964</v>
      </c>
      <c r="K21" s="5" t="s">
        <v>41</v>
      </c>
      <c r="L21" s="5" t="s">
        <v>42</v>
      </c>
      <c r="M21" s="5" t="s">
        <v>43</v>
      </c>
      <c r="N21" s="5" t="s">
        <v>44</v>
      </c>
      <c r="O21" s="7">
        <v>11780.02</v>
      </c>
      <c r="P21" s="5" t="s">
        <v>45</v>
      </c>
      <c r="Q21" s="7">
        <v>11780.02</v>
      </c>
      <c r="R21" s="5" t="s">
        <v>45</v>
      </c>
      <c r="S21" s="7">
        <v>3466.75</v>
      </c>
      <c r="T21" s="5" t="s">
        <v>46</v>
      </c>
      <c r="U21" s="5" t="s">
        <v>47</v>
      </c>
      <c r="V21" s="5" t="s">
        <v>47</v>
      </c>
      <c r="W21" s="5" t="s">
        <v>47</v>
      </c>
      <c r="X21" s="5" t="s">
        <v>47</v>
      </c>
    </row>
    <row r="22" spans="1:24" x14ac:dyDescent="0.25">
      <c r="A22" s="5" t="s">
        <v>34</v>
      </c>
      <c r="B22" s="5" t="s">
        <v>35</v>
      </c>
      <c r="C22" s="5" t="s">
        <v>36</v>
      </c>
      <c r="D22" s="5" t="s">
        <v>37</v>
      </c>
      <c r="E22" s="5" t="s">
        <v>86</v>
      </c>
      <c r="F22" s="5" t="s">
        <v>87</v>
      </c>
      <c r="G22" s="5" t="s">
        <v>40</v>
      </c>
      <c r="H22" s="6">
        <v>45961</v>
      </c>
      <c r="I22" s="6">
        <v>45961</v>
      </c>
      <c r="J22" s="6">
        <v>45964</v>
      </c>
      <c r="K22" s="5" t="s">
        <v>41</v>
      </c>
      <c r="L22" s="5" t="s">
        <v>42</v>
      </c>
      <c r="M22" s="5" t="s">
        <v>43</v>
      </c>
      <c r="N22" s="5" t="s">
        <v>44</v>
      </c>
      <c r="O22" s="7">
        <v>4645.41</v>
      </c>
      <c r="P22" s="5" t="s">
        <v>45</v>
      </c>
      <c r="Q22" s="7">
        <v>4645.41</v>
      </c>
      <c r="R22" s="5" t="s">
        <v>45</v>
      </c>
      <c r="S22" s="7">
        <v>1367.1</v>
      </c>
      <c r="T22" s="5" t="s">
        <v>46</v>
      </c>
      <c r="U22" s="5" t="s">
        <v>47</v>
      </c>
      <c r="V22" s="5" t="s">
        <v>47</v>
      </c>
      <c r="W22" s="5" t="s">
        <v>47</v>
      </c>
      <c r="X22" s="5" t="s">
        <v>47</v>
      </c>
    </row>
    <row r="23" spans="1:24" x14ac:dyDescent="0.25">
      <c r="A23" s="5" t="s">
        <v>34</v>
      </c>
      <c r="B23" s="5" t="s">
        <v>35</v>
      </c>
      <c r="C23" s="5" t="s">
        <v>36</v>
      </c>
      <c r="D23" s="5" t="s">
        <v>37</v>
      </c>
      <c r="E23" s="5" t="s">
        <v>88</v>
      </c>
      <c r="F23" s="5" t="s">
        <v>89</v>
      </c>
      <c r="G23" s="5" t="s">
        <v>40</v>
      </c>
      <c r="H23" s="6">
        <v>45961</v>
      </c>
      <c r="I23" s="6">
        <v>45961</v>
      </c>
      <c r="J23" s="6">
        <v>45964</v>
      </c>
      <c r="K23" s="5" t="s">
        <v>41</v>
      </c>
      <c r="L23" s="5" t="s">
        <v>42</v>
      </c>
      <c r="M23" s="5" t="s">
        <v>43</v>
      </c>
      <c r="N23" s="5" t="s">
        <v>44</v>
      </c>
      <c r="O23" s="7">
        <v>1692.24</v>
      </c>
      <c r="P23" s="5" t="s">
        <v>45</v>
      </c>
      <c r="Q23" s="7">
        <v>1692.24</v>
      </c>
      <c r="R23" s="5" t="s">
        <v>45</v>
      </c>
      <c r="S23" s="7">
        <v>498.01</v>
      </c>
      <c r="T23" s="5" t="s">
        <v>46</v>
      </c>
      <c r="U23" s="5" t="s">
        <v>47</v>
      </c>
      <c r="V23" s="5" t="s">
        <v>47</v>
      </c>
      <c r="W23" s="5" t="s">
        <v>47</v>
      </c>
      <c r="X23" s="5" t="s">
        <v>47</v>
      </c>
    </row>
    <row r="24" spans="1:24" x14ac:dyDescent="0.25">
      <c r="A24" s="5" t="s">
        <v>34</v>
      </c>
      <c r="B24" s="5" t="s">
        <v>35</v>
      </c>
      <c r="C24" s="5" t="s">
        <v>36</v>
      </c>
      <c r="D24" s="5" t="s">
        <v>37</v>
      </c>
      <c r="E24" s="5" t="s">
        <v>90</v>
      </c>
      <c r="F24" s="5" t="s">
        <v>91</v>
      </c>
      <c r="G24" s="5" t="s">
        <v>40</v>
      </c>
      <c r="H24" s="6">
        <v>45961</v>
      </c>
      <c r="I24" s="6">
        <v>45961</v>
      </c>
      <c r="J24" s="6">
        <v>45964</v>
      </c>
      <c r="K24" s="5" t="s">
        <v>41</v>
      </c>
      <c r="L24" s="5" t="s">
        <v>42</v>
      </c>
      <c r="M24" s="5" t="s">
        <v>43</v>
      </c>
      <c r="N24" s="5" t="s">
        <v>44</v>
      </c>
      <c r="O24" s="7">
        <v>4037.67</v>
      </c>
      <c r="P24" s="5" t="s">
        <v>45</v>
      </c>
      <c r="Q24" s="7">
        <v>4037.67</v>
      </c>
      <c r="R24" s="5" t="s">
        <v>45</v>
      </c>
      <c r="S24" s="7">
        <v>1188.25</v>
      </c>
      <c r="T24" s="5" t="s">
        <v>46</v>
      </c>
      <c r="U24" s="5" t="s">
        <v>47</v>
      </c>
      <c r="V24" s="5" t="s">
        <v>47</v>
      </c>
      <c r="W24" s="5" t="s">
        <v>47</v>
      </c>
      <c r="X24" s="5" t="s">
        <v>47</v>
      </c>
    </row>
    <row r="25" spans="1:24" x14ac:dyDescent="0.25">
      <c r="A25" s="5" t="s">
        <v>34</v>
      </c>
      <c r="B25" s="5" t="s">
        <v>35</v>
      </c>
      <c r="C25" s="5" t="s">
        <v>36</v>
      </c>
      <c r="D25" s="5" t="s">
        <v>37</v>
      </c>
      <c r="E25" s="5" t="s">
        <v>92</v>
      </c>
      <c r="F25" s="5" t="s">
        <v>93</v>
      </c>
      <c r="G25" s="5" t="s">
        <v>40</v>
      </c>
      <c r="H25" s="6">
        <v>45961</v>
      </c>
      <c r="I25" s="6">
        <v>45961</v>
      </c>
      <c r="J25" s="6">
        <v>45964</v>
      </c>
      <c r="K25" s="5" t="s">
        <v>41</v>
      </c>
      <c r="L25" s="5" t="s">
        <v>42</v>
      </c>
      <c r="M25" s="5" t="s">
        <v>43</v>
      </c>
      <c r="N25" s="5" t="s">
        <v>44</v>
      </c>
      <c r="O25" s="7">
        <v>5587.86</v>
      </c>
      <c r="P25" s="5" t="s">
        <v>45</v>
      </c>
      <c r="Q25" s="7">
        <v>5587.86</v>
      </c>
      <c r="R25" s="5" t="s">
        <v>45</v>
      </c>
      <c r="S25" s="7">
        <v>1644.46</v>
      </c>
      <c r="T25" s="5" t="s">
        <v>46</v>
      </c>
      <c r="U25" s="5" t="s">
        <v>47</v>
      </c>
      <c r="V25" s="5" t="s">
        <v>47</v>
      </c>
      <c r="W25" s="5" t="s">
        <v>47</v>
      </c>
      <c r="X25" s="5" t="s">
        <v>47</v>
      </c>
    </row>
    <row r="26" spans="1:24" x14ac:dyDescent="0.25">
      <c r="A26" s="5" t="s">
        <v>34</v>
      </c>
      <c r="B26" s="5" t="s">
        <v>35</v>
      </c>
      <c r="C26" s="5" t="s">
        <v>36</v>
      </c>
      <c r="D26" s="5" t="s">
        <v>37</v>
      </c>
      <c r="E26" s="5" t="s">
        <v>94</v>
      </c>
      <c r="F26" s="5" t="s">
        <v>95</v>
      </c>
      <c r="G26" s="5" t="s">
        <v>40</v>
      </c>
      <c r="H26" s="6">
        <v>45961</v>
      </c>
      <c r="I26" s="6">
        <v>45961</v>
      </c>
      <c r="J26" s="6">
        <v>45964</v>
      </c>
      <c r="K26" s="5" t="s">
        <v>41</v>
      </c>
      <c r="L26" s="5" t="s">
        <v>42</v>
      </c>
      <c r="M26" s="5" t="s">
        <v>43</v>
      </c>
      <c r="N26" s="5" t="s">
        <v>44</v>
      </c>
      <c r="O26" s="7">
        <v>42346.87</v>
      </c>
      <c r="P26" s="5" t="s">
        <v>45</v>
      </c>
      <c r="Q26" s="7">
        <v>42346.87</v>
      </c>
      <c r="R26" s="5" t="s">
        <v>45</v>
      </c>
      <c r="S26" s="7">
        <v>12462.29</v>
      </c>
      <c r="T26" s="5" t="s">
        <v>46</v>
      </c>
      <c r="U26" s="5" t="s">
        <v>47</v>
      </c>
      <c r="V26" s="5" t="s">
        <v>47</v>
      </c>
      <c r="W26" s="5" t="s">
        <v>47</v>
      </c>
      <c r="X26" s="5" t="s">
        <v>47</v>
      </c>
    </row>
    <row r="27" spans="1:24" x14ac:dyDescent="0.25">
      <c r="A27" s="5" t="s">
        <v>34</v>
      </c>
      <c r="B27" s="5" t="s">
        <v>35</v>
      </c>
      <c r="C27" s="5" t="s">
        <v>36</v>
      </c>
      <c r="D27" s="5" t="s">
        <v>37</v>
      </c>
      <c r="E27" s="5" t="s">
        <v>96</v>
      </c>
      <c r="F27" s="5" t="s">
        <v>97</v>
      </c>
      <c r="G27" s="5" t="s">
        <v>40</v>
      </c>
      <c r="H27" s="6">
        <v>45961</v>
      </c>
      <c r="I27" s="6">
        <v>45961</v>
      </c>
      <c r="J27" s="6">
        <v>45964</v>
      </c>
      <c r="K27" s="5" t="s">
        <v>41</v>
      </c>
      <c r="L27" s="5" t="s">
        <v>42</v>
      </c>
      <c r="M27" s="5" t="s">
        <v>43</v>
      </c>
      <c r="N27" s="5" t="s">
        <v>44</v>
      </c>
      <c r="O27" s="7">
        <v>22377</v>
      </c>
      <c r="P27" s="5" t="s">
        <v>45</v>
      </c>
      <c r="Q27" s="7">
        <v>22377</v>
      </c>
      <c r="R27" s="5" t="s">
        <v>45</v>
      </c>
      <c r="S27" s="7">
        <v>6585.34</v>
      </c>
      <c r="T27" s="5" t="s">
        <v>46</v>
      </c>
      <c r="U27" s="5" t="s">
        <v>47</v>
      </c>
      <c r="V27" s="5" t="s">
        <v>47</v>
      </c>
      <c r="W27" s="5" t="s">
        <v>47</v>
      </c>
      <c r="X27" s="5" t="s">
        <v>47</v>
      </c>
    </row>
    <row r="28" spans="1:24" x14ac:dyDescent="0.25">
      <c r="A28" s="5" t="s">
        <v>34</v>
      </c>
      <c r="B28" s="5" t="s">
        <v>35</v>
      </c>
      <c r="C28" s="5" t="s">
        <v>36</v>
      </c>
      <c r="D28" s="5" t="s">
        <v>37</v>
      </c>
      <c r="E28" s="5" t="s">
        <v>98</v>
      </c>
      <c r="F28" s="5" t="s">
        <v>99</v>
      </c>
      <c r="G28" s="5" t="s">
        <v>40</v>
      </c>
      <c r="H28" s="6">
        <v>45961</v>
      </c>
      <c r="I28" s="6">
        <v>45961</v>
      </c>
      <c r="J28" s="6">
        <v>45964</v>
      </c>
      <c r="K28" s="5" t="s">
        <v>41</v>
      </c>
      <c r="L28" s="5" t="s">
        <v>42</v>
      </c>
      <c r="M28" s="5" t="s">
        <v>43</v>
      </c>
      <c r="N28" s="5" t="s">
        <v>44</v>
      </c>
      <c r="O28" s="7">
        <v>15524</v>
      </c>
      <c r="P28" s="5" t="s">
        <v>45</v>
      </c>
      <c r="Q28" s="7">
        <v>15524</v>
      </c>
      <c r="R28" s="5" t="s">
        <v>45</v>
      </c>
      <c r="S28" s="7">
        <v>4568.57</v>
      </c>
      <c r="T28" s="5" t="s">
        <v>46</v>
      </c>
      <c r="U28" s="5" t="s">
        <v>47</v>
      </c>
      <c r="V28" s="5" t="s">
        <v>47</v>
      </c>
      <c r="W28" s="5" t="s">
        <v>47</v>
      </c>
      <c r="X28" s="5" t="s">
        <v>47</v>
      </c>
    </row>
    <row r="29" spans="1:24" x14ac:dyDescent="0.25">
      <c r="A29" s="5" t="s">
        <v>34</v>
      </c>
      <c r="B29" s="5" t="s">
        <v>35</v>
      </c>
      <c r="C29" s="5" t="s">
        <v>36</v>
      </c>
      <c r="D29" s="5" t="s">
        <v>37</v>
      </c>
      <c r="E29" s="5" t="s">
        <v>100</v>
      </c>
      <c r="F29" s="5" t="s">
        <v>101</v>
      </c>
      <c r="G29" s="5" t="s">
        <v>40</v>
      </c>
      <c r="H29" s="6">
        <v>45961</v>
      </c>
      <c r="I29" s="6">
        <v>45961</v>
      </c>
      <c r="J29" s="6">
        <v>45964</v>
      </c>
      <c r="K29" s="5" t="s">
        <v>41</v>
      </c>
      <c r="L29" s="5" t="s">
        <v>42</v>
      </c>
      <c r="M29" s="5" t="s">
        <v>43</v>
      </c>
      <c r="N29" s="5" t="s">
        <v>44</v>
      </c>
      <c r="O29" s="7">
        <v>5543.35</v>
      </c>
      <c r="P29" s="5" t="s">
        <v>45</v>
      </c>
      <c r="Q29" s="7">
        <v>5543.35</v>
      </c>
      <c r="R29" s="5" t="s">
        <v>45</v>
      </c>
      <c r="S29" s="7">
        <v>1631.36</v>
      </c>
      <c r="T29" s="5" t="s">
        <v>46</v>
      </c>
      <c r="U29" s="5" t="s">
        <v>47</v>
      </c>
      <c r="V29" s="5" t="s">
        <v>47</v>
      </c>
      <c r="W29" s="5" t="s">
        <v>47</v>
      </c>
      <c r="X29" s="5" t="s">
        <v>47</v>
      </c>
    </row>
    <row r="30" spans="1:24" x14ac:dyDescent="0.25">
      <c r="A30" s="5" t="s">
        <v>34</v>
      </c>
      <c r="B30" s="5" t="s">
        <v>35</v>
      </c>
      <c r="C30" s="5" t="s">
        <v>36</v>
      </c>
      <c r="D30" s="5" t="s">
        <v>37</v>
      </c>
      <c r="E30" s="5" t="s">
        <v>102</v>
      </c>
      <c r="F30" s="5" t="s">
        <v>103</v>
      </c>
      <c r="G30" s="5" t="s">
        <v>40</v>
      </c>
      <c r="H30" s="6">
        <v>45961</v>
      </c>
      <c r="I30" s="6">
        <v>45961</v>
      </c>
      <c r="J30" s="6">
        <v>45964</v>
      </c>
      <c r="K30" s="5" t="s">
        <v>41</v>
      </c>
      <c r="L30" s="5" t="s">
        <v>42</v>
      </c>
      <c r="M30" s="5" t="s">
        <v>43</v>
      </c>
      <c r="N30" s="5" t="s">
        <v>44</v>
      </c>
      <c r="O30" s="7">
        <v>4033.88</v>
      </c>
      <c r="P30" s="5" t="s">
        <v>45</v>
      </c>
      <c r="Q30" s="7">
        <v>4033.88</v>
      </c>
      <c r="R30" s="5" t="s">
        <v>45</v>
      </c>
      <c r="S30" s="7">
        <v>1187.1300000000001</v>
      </c>
      <c r="T30" s="5" t="s">
        <v>46</v>
      </c>
      <c r="U30" s="5" t="s">
        <v>47</v>
      </c>
      <c r="V30" s="5" t="s">
        <v>47</v>
      </c>
      <c r="W30" s="5" t="s">
        <v>47</v>
      </c>
      <c r="X30" s="5" t="s">
        <v>47</v>
      </c>
    </row>
    <row r="31" spans="1:24" x14ac:dyDescent="0.25">
      <c r="A31" s="5" t="s">
        <v>34</v>
      </c>
      <c r="B31" s="5" t="s">
        <v>35</v>
      </c>
      <c r="C31" s="5" t="s">
        <v>36</v>
      </c>
      <c r="D31" s="5" t="s">
        <v>37</v>
      </c>
      <c r="E31" s="5" t="s">
        <v>104</v>
      </c>
      <c r="F31" s="5" t="s">
        <v>105</v>
      </c>
      <c r="G31" s="5" t="s">
        <v>40</v>
      </c>
      <c r="H31" s="6">
        <v>45961</v>
      </c>
      <c r="I31" s="6">
        <v>45961</v>
      </c>
      <c r="J31" s="6">
        <v>45964</v>
      </c>
      <c r="K31" s="5" t="s">
        <v>41</v>
      </c>
      <c r="L31" s="5" t="s">
        <v>42</v>
      </c>
      <c r="M31" s="5" t="s">
        <v>43</v>
      </c>
      <c r="N31" s="5" t="s">
        <v>44</v>
      </c>
      <c r="O31" s="7">
        <v>12168.46</v>
      </c>
      <c r="P31" s="5" t="s">
        <v>45</v>
      </c>
      <c r="Q31" s="7">
        <v>12168.46</v>
      </c>
      <c r="R31" s="5" t="s">
        <v>45</v>
      </c>
      <c r="S31" s="7">
        <v>3581.07</v>
      </c>
      <c r="T31" s="5" t="s">
        <v>46</v>
      </c>
      <c r="U31" s="5" t="s">
        <v>47</v>
      </c>
      <c r="V31" s="5" t="s">
        <v>47</v>
      </c>
      <c r="W31" s="5" t="s">
        <v>47</v>
      </c>
      <c r="X31" s="5" t="s">
        <v>47</v>
      </c>
    </row>
    <row r="32" spans="1:24" x14ac:dyDescent="0.25">
      <c r="A32" s="5" t="s">
        <v>34</v>
      </c>
      <c r="B32" s="5" t="s">
        <v>35</v>
      </c>
      <c r="C32" s="5" t="s">
        <v>36</v>
      </c>
      <c r="D32" s="5" t="s">
        <v>37</v>
      </c>
      <c r="E32" s="5" t="s">
        <v>106</v>
      </c>
      <c r="F32" s="5" t="s">
        <v>107</v>
      </c>
      <c r="G32" s="5" t="s">
        <v>40</v>
      </c>
      <c r="H32" s="6">
        <v>45961</v>
      </c>
      <c r="I32" s="6">
        <v>45961</v>
      </c>
      <c r="J32" s="6">
        <v>45964</v>
      </c>
      <c r="K32" s="5" t="s">
        <v>41</v>
      </c>
      <c r="L32" s="5" t="s">
        <v>42</v>
      </c>
      <c r="M32" s="5" t="s">
        <v>43</v>
      </c>
      <c r="N32" s="5" t="s">
        <v>44</v>
      </c>
      <c r="O32" s="7">
        <v>5630</v>
      </c>
      <c r="P32" s="5" t="s">
        <v>45</v>
      </c>
      <c r="Q32" s="7">
        <v>5630</v>
      </c>
      <c r="R32" s="5" t="s">
        <v>45</v>
      </c>
      <c r="S32" s="7">
        <v>1656.86</v>
      </c>
      <c r="T32" s="5" t="s">
        <v>46</v>
      </c>
      <c r="U32" s="5" t="s">
        <v>47</v>
      </c>
      <c r="V32" s="5" t="s">
        <v>47</v>
      </c>
      <c r="W32" s="5" t="s">
        <v>47</v>
      </c>
      <c r="X32" s="5" t="s">
        <v>47</v>
      </c>
    </row>
    <row r="33" spans="1:24" x14ac:dyDescent="0.25">
      <c r="A33" s="5" t="s">
        <v>34</v>
      </c>
      <c r="B33" s="5" t="s">
        <v>35</v>
      </c>
      <c r="C33" s="5" t="s">
        <v>36</v>
      </c>
      <c r="D33" s="5" t="s">
        <v>37</v>
      </c>
      <c r="E33" s="5" t="s">
        <v>108</v>
      </c>
      <c r="F33" s="5" t="s">
        <v>109</v>
      </c>
      <c r="G33" s="5" t="s">
        <v>40</v>
      </c>
      <c r="H33" s="6">
        <v>45961</v>
      </c>
      <c r="I33" s="6">
        <v>45961</v>
      </c>
      <c r="J33" s="6">
        <v>45964</v>
      </c>
      <c r="K33" s="5" t="s">
        <v>41</v>
      </c>
      <c r="L33" s="5" t="s">
        <v>42</v>
      </c>
      <c r="M33" s="5" t="s">
        <v>43</v>
      </c>
      <c r="N33" s="5" t="s">
        <v>44</v>
      </c>
      <c r="O33" s="7">
        <v>5818</v>
      </c>
      <c r="P33" s="5" t="s">
        <v>45</v>
      </c>
      <c r="Q33" s="7">
        <v>5818</v>
      </c>
      <c r="R33" s="5" t="s">
        <v>45</v>
      </c>
      <c r="S33" s="7">
        <v>1712.18</v>
      </c>
      <c r="T33" s="5" t="s">
        <v>46</v>
      </c>
      <c r="U33" s="5" t="s">
        <v>47</v>
      </c>
      <c r="V33" s="5" t="s">
        <v>47</v>
      </c>
      <c r="W33" s="5" t="s">
        <v>47</v>
      </c>
      <c r="X33" s="5" t="s">
        <v>47</v>
      </c>
    </row>
    <row r="34" spans="1:24" x14ac:dyDescent="0.25">
      <c r="A34" s="5" t="s">
        <v>34</v>
      </c>
      <c r="B34" s="5" t="s">
        <v>35</v>
      </c>
      <c r="C34" s="5" t="s">
        <v>36</v>
      </c>
      <c r="D34" s="5" t="s">
        <v>37</v>
      </c>
      <c r="E34" s="5" t="s">
        <v>110</v>
      </c>
      <c r="F34" s="5" t="s">
        <v>111</v>
      </c>
      <c r="G34" s="5" t="s">
        <v>40</v>
      </c>
      <c r="H34" s="6">
        <v>45961</v>
      </c>
      <c r="I34" s="6">
        <v>45961</v>
      </c>
      <c r="J34" s="6">
        <v>45964</v>
      </c>
      <c r="K34" s="5" t="s">
        <v>41</v>
      </c>
      <c r="L34" s="5" t="s">
        <v>42</v>
      </c>
      <c r="M34" s="5" t="s">
        <v>43</v>
      </c>
      <c r="N34" s="5" t="s">
        <v>44</v>
      </c>
      <c r="O34" s="7">
        <v>3753.41</v>
      </c>
      <c r="P34" s="5" t="s">
        <v>45</v>
      </c>
      <c r="Q34" s="7">
        <v>3753.41</v>
      </c>
      <c r="R34" s="5" t="s">
        <v>45</v>
      </c>
      <c r="S34" s="7">
        <v>1104.5899999999999</v>
      </c>
      <c r="T34" s="5" t="s">
        <v>46</v>
      </c>
      <c r="U34" s="5" t="s">
        <v>47</v>
      </c>
      <c r="V34" s="5" t="s">
        <v>47</v>
      </c>
      <c r="W34" s="5" t="s">
        <v>47</v>
      </c>
      <c r="X34" s="5" t="s">
        <v>47</v>
      </c>
    </row>
    <row r="35" spans="1:24" x14ac:dyDescent="0.25">
      <c r="A35" s="5" t="s">
        <v>34</v>
      </c>
      <c r="B35" s="5" t="s">
        <v>35</v>
      </c>
      <c r="C35" s="5" t="s">
        <v>36</v>
      </c>
      <c r="D35" s="5" t="s">
        <v>37</v>
      </c>
      <c r="E35" s="5" t="s">
        <v>112</v>
      </c>
      <c r="F35" s="5" t="s">
        <v>113</v>
      </c>
      <c r="G35" s="5" t="s">
        <v>40</v>
      </c>
      <c r="H35" s="6">
        <v>45961</v>
      </c>
      <c r="I35" s="6">
        <v>45961</v>
      </c>
      <c r="J35" s="6">
        <v>45964</v>
      </c>
      <c r="K35" s="5" t="s">
        <v>41</v>
      </c>
      <c r="L35" s="5" t="s">
        <v>42</v>
      </c>
      <c r="M35" s="5" t="s">
        <v>43</v>
      </c>
      <c r="N35" s="5" t="s">
        <v>44</v>
      </c>
      <c r="O35" s="7">
        <v>1884.48</v>
      </c>
      <c r="P35" s="5" t="s">
        <v>45</v>
      </c>
      <c r="Q35" s="7">
        <v>1884.48</v>
      </c>
      <c r="R35" s="5" t="s">
        <v>45</v>
      </c>
      <c r="S35" s="7">
        <v>554.59</v>
      </c>
      <c r="T35" s="5" t="s">
        <v>46</v>
      </c>
      <c r="U35" s="5" t="s">
        <v>47</v>
      </c>
      <c r="V35" s="5" t="s">
        <v>47</v>
      </c>
      <c r="W35" s="5" t="s">
        <v>47</v>
      </c>
      <c r="X35" s="5" t="s">
        <v>47</v>
      </c>
    </row>
    <row r="36" spans="1:24" x14ac:dyDescent="0.25">
      <c r="A36" s="5" t="s">
        <v>34</v>
      </c>
      <c r="B36" s="5" t="s">
        <v>35</v>
      </c>
      <c r="C36" s="5" t="s">
        <v>36</v>
      </c>
      <c r="D36" s="5" t="s">
        <v>37</v>
      </c>
      <c r="E36" s="5" t="s">
        <v>114</v>
      </c>
      <c r="F36" s="5" t="s">
        <v>115</v>
      </c>
      <c r="G36" s="5" t="s">
        <v>40</v>
      </c>
      <c r="H36" s="6">
        <v>45961</v>
      </c>
      <c r="I36" s="6">
        <v>45961</v>
      </c>
      <c r="J36" s="6">
        <v>45964</v>
      </c>
      <c r="K36" s="5" t="s">
        <v>41</v>
      </c>
      <c r="L36" s="5" t="s">
        <v>42</v>
      </c>
      <c r="M36" s="5" t="s">
        <v>43</v>
      </c>
      <c r="N36" s="5" t="s">
        <v>44</v>
      </c>
      <c r="O36" s="7">
        <v>18160</v>
      </c>
      <c r="P36" s="5" t="s">
        <v>45</v>
      </c>
      <c r="Q36" s="7">
        <v>18160</v>
      </c>
      <c r="R36" s="5" t="s">
        <v>45</v>
      </c>
      <c r="S36" s="7">
        <v>5344.32</v>
      </c>
      <c r="T36" s="5" t="s">
        <v>46</v>
      </c>
      <c r="U36" s="5" t="s">
        <v>47</v>
      </c>
      <c r="V36" s="5" t="s">
        <v>47</v>
      </c>
      <c r="W36" s="5" t="s">
        <v>47</v>
      </c>
      <c r="X36" s="5" t="s">
        <v>47</v>
      </c>
    </row>
    <row r="37" spans="1:24" x14ac:dyDescent="0.25">
      <c r="A37" s="5" t="s">
        <v>34</v>
      </c>
      <c r="B37" s="5" t="s">
        <v>35</v>
      </c>
      <c r="C37" s="5" t="s">
        <v>36</v>
      </c>
      <c r="D37" s="5" t="s">
        <v>37</v>
      </c>
      <c r="E37" s="5" t="s">
        <v>116</v>
      </c>
      <c r="F37" s="5" t="s">
        <v>117</v>
      </c>
      <c r="G37" s="5" t="s">
        <v>40</v>
      </c>
      <c r="H37" s="6">
        <v>45961</v>
      </c>
      <c r="I37" s="6">
        <v>45961</v>
      </c>
      <c r="J37" s="6">
        <v>45964</v>
      </c>
      <c r="K37" s="5" t="s">
        <v>41</v>
      </c>
      <c r="L37" s="5" t="s">
        <v>42</v>
      </c>
      <c r="M37" s="5" t="s">
        <v>43</v>
      </c>
      <c r="N37" s="5" t="s">
        <v>44</v>
      </c>
      <c r="O37" s="7">
        <v>2325</v>
      </c>
      <c r="P37" s="5" t="s">
        <v>45</v>
      </c>
      <c r="Q37" s="7">
        <v>2325</v>
      </c>
      <c r="R37" s="5" t="s">
        <v>45</v>
      </c>
      <c r="S37" s="7">
        <v>684.23</v>
      </c>
      <c r="T37" s="5" t="s">
        <v>46</v>
      </c>
      <c r="U37" s="5" t="s">
        <v>47</v>
      </c>
      <c r="V37" s="5" t="s">
        <v>47</v>
      </c>
      <c r="W37" s="5" t="s">
        <v>47</v>
      </c>
      <c r="X37" s="5" t="s">
        <v>47</v>
      </c>
    </row>
    <row r="38" spans="1:24" x14ac:dyDescent="0.25">
      <c r="A38" s="5" t="s">
        <v>34</v>
      </c>
      <c r="B38" s="5" t="s">
        <v>35</v>
      </c>
      <c r="C38" s="5" t="s">
        <v>36</v>
      </c>
      <c r="D38" s="5" t="s">
        <v>37</v>
      </c>
      <c r="E38" s="5" t="s">
        <v>118</v>
      </c>
      <c r="F38" s="5" t="s">
        <v>119</v>
      </c>
      <c r="G38" s="5" t="s">
        <v>40</v>
      </c>
      <c r="H38" s="6">
        <v>45961</v>
      </c>
      <c r="I38" s="6">
        <v>45961</v>
      </c>
      <c r="J38" s="6">
        <v>45964</v>
      </c>
      <c r="K38" s="5" t="s">
        <v>41</v>
      </c>
      <c r="L38" s="5" t="s">
        <v>42</v>
      </c>
      <c r="M38" s="5" t="s">
        <v>43</v>
      </c>
      <c r="N38" s="5" t="s">
        <v>44</v>
      </c>
      <c r="O38" s="7">
        <v>2018.66</v>
      </c>
      <c r="P38" s="5" t="s">
        <v>45</v>
      </c>
      <c r="Q38" s="7">
        <v>2018.66</v>
      </c>
      <c r="R38" s="5" t="s">
        <v>45</v>
      </c>
      <c r="S38" s="7">
        <v>594.07000000000005</v>
      </c>
      <c r="T38" s="5" t="s">
        <v>46</v>
      </c>
      <c r="U38" s="5" t="s">
        <v>47</v>
      </c>
      <c r="V38" s="5" t="s">
        <v>47</v>
      </c>
      <c r="W38" s="5" t="s">
        <v>47</v>
      </c>
      <c r="X38" s="5" t="s">
        <v>47</v>
      </c>
    </row>
    <row r="39" spans="1:24" x14ac:dyDescent="0.25">
      <c r="A39" s="5" t="s">
        <v>34</v>
      </c>
      <c r="B39" s="5" t="s">
        <v>120</v>
      </c>
      <c r="C39" s="5" t="s">
        <v>121</v>
      </c>
      <c r="D39" s="5" t="s">
        <v>37</v>
      </c>
      <c r="E39" s="5" t="s">
        <v>88</v>
      </c>
      <c r="F39" s="5" t="s">
        <v>89</v>
      </c>
      <c r="G39" s="5" t="s">
        <v>40</v>
      </c>
      <c r="H39" s="6">
        <v>45961</v>
      </c>
      <c r="I39" s="6">
        <v>45961</v>
      </c>
      <c r="J39" s="6">
        <v>45964</v>
      </c>
      <c r="K39" s="5" t="s">
        <v>41</v>
      </c>
      <c r="L39" s="5" t="s">
        <v>42</v>
      </c>
      <c r="M39" s="5" t="s">
        <v>43</v>
      </c>
      <c r="N39" s="5" t="s">
        <v>44</v>
      </c>
      <c r="O39" s="7">
        <v>113</v>
      </c>
      <c r="P39" s="5" t="s">
        <v>45</v>
      </c>
      <c r="Q39" s="7">
        <v>113</v>
      </c>
      <c r="R39" s="5" t="s">
        <v>45</v>
      </c>
      <c r="S39" s="7">
        <v>33.25</v>
      </c>
      <c r="T39" s="5" t="s">
        <v>46</v>
      </c>
      <c r="U39" s="5" t="s">
        <v>47</v>
      </c>
      <c r="V39" s="5" t="s">
        <v>47</v>
      </c>
      <c r="W39" s="5" t="s">
        <v>47</v>
      </c>
      <c r="X39" s="5" t="s">
        <v>47</v>
      </c>
    </row>
    <row r="40" spans="1:24" x14ac:dyDescent="0.25">
      <c r="A40" s="5" t="s">
        <v>34</v>
      </c>
      <c r="B40" s="5" t="s">
        <v>120</v>
      </c>
      <c r="C40" s="5" t="s">
        <v>121</v>
      </c>
      <c r="D40" s="5" t="s">
        <v>37</v>
      </c>
      <c r="E40" s="5" t="s">
        <v>56</v>
      </c>
      <c r="F40" s="5" t="s">
        <v>57</v>
      </c>
      <c r="G40" s="5" t="s">
        <v>40</v>
      </c>
      <c r="H40" s="6">
        <v>45961</v>
      </c>
      <c r="I40" s="6">
        <v>45961</v>
      </c>
      <c r="J40" s="6">
        <v>45964</v>
      </c>
      <c r="K40" s="5" t="s">
        <v>41</v>
      </c>
      <c r="L40" s="5" t="s">
        <v>42</v>
      </c>
      <c r="M40" s="5" t="s">
        <v>43</v>
      </c>
      <c r="N40" s="5" t="s">
        <v>44</v>
      </c>
      <c r="O40" s="7">
        <v>678</v>
      </c>
      <c r="P40" s="5" t="s">
        <v>45</v>
      </c>
      <c r="Q40" s="7">
        <v>678</v>
      </c>
      <c r="R40" s="5" t="s">
        <v>45</v>
      </c>
      <c r="S40" s="7">
        <v>199.53</v>
      </c>
      <c r="T40" s="5" t="s">
        <v>46</v>
      </c>
      <c r="U40" s="5" t="s">
        <v>47</v>
      </c>
      <c r="V40" s="5" t="s">
        <v>47</v>
      </c>
      <c r="W40" s="5" t="s">
        <v>47</v>
      </c>
      <c r="X40" s="5" t="s">
        <v>47</v>
      </c>
    </row>
    <row r="41" spans="1:24" x14ac:dyDescent="0.25">
      <c r="A41" s="5" t="s">
        <v>34</v>
      </c>
      <c r="B41" s="5" t="s">
        <v>120</v>
      </c>
      <c r="C41" s="5" t="s">
        <v>121</v>
      </c>
      <c r="D41" s="5" t="s">
        <v>37</v>
      </c>
      <c r="E41" s="5" t="s">
        <v>74</v>
      </c>
      <c r="F41" s="5" t="s">
        <v>75</v>
      </c>
      <c r="G41" s="5" t="s">
        <v>40</v>
      </c>
      <c r="H41" s="6">
        <v>45961</v>
      </c>
      <c r="I41" s="6">
        <v>45961</v>
      </c>
      <c r="J41" s="6">
        <v>45964</v>
      </c>
      <c r="K41" s="5" t="s">
        <v>41</v>
      </c>
      <c r="L41" s="5" t="s">
        <v>42</v>
      </c>
      <c r="M41" s="5" t="s">
        <v>43</v>
      </c>
      <c r="N41" s="5" t="s">
        <v>44</v>
      </c>
      <c r="O41" s="7">
        <v>452</v>
      </c>
      <c r="P41" s="5" t="s">
        <v>45</v>
      </c>
      <c r="Q41" s="7">
        <v>452</v>
      </c>
      <c r="R41" s="5" t="s">
        <v>45</v>
      </c>
      <c r="S41" s="7">
        <v>133.02000000000001</v>
      </c>
      <c r="T41" s="5" t="s">
        <v>46</v>
      </c>
      <c r="U41" s="5" t="s">
        <v>47</v>
      </c>
      <c r="V41" s="5" t="s">
        <v>47</v>
      </c>
      <c r="W41" s="5" t="s">
        <v>47</v>
      </c>
      <c r="X41" s="5" t="s">
        <v>47</v>
      </c>
    </row>
    <row r="42" spans="1:24" x14ac:dyDescent="0.25">
      <c r="A42" s="5" t="s">
        <v>34</v>
      </c>
      <c r="B42" s="5" t="s">
        <v>120</v>
      </c>
      <c r="C42" s="5" t="s">
        <v>121</v>
      </c>
      <c r="D42" s="5" t="s">
        <v>37</v>
      </c>
      <c r="E42" s="5" t="s">
        <v>114</v>
      </c>
      <c r="F42" s="5" t="s">
        <v>115</v>
      </c>
      <c r="G42" s="5" t="s">
        <v>40</v>
      </c>
      <c r="H42" s="6">
        <v>45961</v>
      </c>
      <c r="I42" s="6">
        <v>45961</v>
      </c>
      <c r="J42" s="6">
        <v>45964</v>
      </c>
      <c r="K42" s="5" t="s">
        <v>41</v>
      </c>
      <c r="L42" s="5" t="s">
        <v>42</v>
      </c>
      <c r="M42" s="5" t="s">
        <v>43</v>
      </c>
      <c r="N42" s="5" t="s">
        <v>44</v>
      </c>
      <c r="O42" s="7">
        <v>339</v>
      </c>
      <c r="P42" s="5" t="s">
        <v>45</v>
      </c>
      <c r="Q42" s="7">
        <v>339</v>
      </c>
      <c r="R42" s="5" t="s">
        <v>45</v>
      </c>
      <c r="S42" s="7">
        <v>99.76</v>
      </c>
      <c r="T42" s="5" t="s">
        <v>46</v>
      </c>
      <c r="U42" s="5" t="s">
        <v>47</v>
      </c>
      <c r="V42" s="5" t="s">
        <v>47</v>
      </c>
      <c r="W42" s="5" t="s">
        <v>47</v>
      </c>
      <c r="X42" s="5" t="s">
        <v>47</v>
      </c>
    </row>
    <row r="43" spans="1:24" x14ac:dyDescent="0.25">
      <c r="A43" s="5" t="s">
        <v>34</v>
      </c>
      <c r="B43" s="5" t="s">
        <v>120</v>
      </c>
      <c r="C43" s="5" t="s">
        <v>121</v>
      </c>
      <c r="D43" s="5" t="s">
        <v>37</v>
      </c>
      <c r="E43" s="5" t="s">
        <v>82</v>
      </c>
      <c r="F43" s="5" t="s">
        <v>83</v>
      </c>
      <c r="G43" s="5" t="s">
        <v>40</v>
      </c>
      <c r="H43" s="6">
        <v>45961</v>
      </c>
      <c r="I43" s="6">
        <v>45961</v>
      </c>
      <c r="J43" s="6">
        <v>45964</v>
      </c>
      <c r="K43" s="5" t="s">
        <v>41</v>
      </c>
      <c r="L43" s="5" t="s">
        <v>42</v>
      </c>
      <c r="M43" s="5" t="s">
        <v>43</v>
      </c>
      <c r="N43" s="5" t="s">
        <v>44</v>
      </c>
      <c r="O43" s="7">
        <v>113</v>
      </c>
      <c r="P43" s="5" t="s">
        <v>45</v>
      </c>
      <c r="Q43" s="7">
        <v>113</v>
      </c>
      <c r="R43" s="5" t="s">
        <v>45</v>
      </c>
      <c r="S43" s="7">
        <v>33.25</v>
      </c>
      <c r="T43" s="5" t="s">
        <v>46</v>
      </c>
      <c r="U43" s="5" t="s">
        <v>47</v>
      </c>
      <c r="V43" s="5" t="s">
        <v>47</v>
      </c>
      <c r="W43" s="5" t="s">
        <v>47</v>
      </c>
      <c r="X43" s="5" t="s">
        <v>47</v>
      </c>
    </row>
    <row r="44" spans="1:24" x14ac:dyDescent="0.25">
      <c r="A44" s="5" t="s">
        <v>34</v>
      </c>
      <c r="B44" s="5" t="s">
        <v>120</v>
      </c>
      <c r="C44" s="5" t="s">
        <v>121</v>
      </c>
      <c r="D44" s="5" t="s">
        <v>37</v>
      </c>
      <c r="E44" s="5" t="s">
        <v>70</v>
      </c>
      <c r="F44" s="5" t="s">
        <v>71</v>
      </c>
      <c r="G44" s="5" t="s">
        <v>40</v>
      </c>
      <c r="H44" s="6">
        <v>45961</v>
      </c>
      <c r="I44" s="6">
        <v>45961</v>
      </c>
      <c r="J44" s="6">
        <v>45964</v>
      </c>
      <c r="K44" s="5" t="s">
        <v>41</v>
      </c>
      <c r="L44" s="5" t="s">
        <v>42</v>
      </c>
      <c r="M44" s="5" t="s">
        <v>43</v>
      </c>
      <c r="N44" s="5" t="s">
        <v>44</v>
      </c>
      <c r="O44" s="7">
        <v>113</v>
      </c>
      <c r="P44" s="5" t="s">
        <v>45</v>
      </c>
      <c r="Q44" s="7">
        <v>113</v>
      </c>
      <c r="R44" s="5" t="s">
        <v>45</v>
      </c>
      <c r="S44" s="7">
        <v>33.25</v>
      </c>
      <c r="T44" s="5" t="s">
        <v>46</v>
      </c>
      <c r="U44" s="5" t="s">
        <v>47</v>
      </c>
      <c r="V44" s="5" t="s">
        <v>47</v>
      </c>
      <c r="W44" s="5" t="s">
        <v>47</v>
      </c>
      <c r="X44" s="5" t="s">
        <v>47</v>
      </c>
    </row>
    <row r="45" spans="1:24" x14ac:dyDescent="0.25">
      <c r="A45" s="5" t="s">
        <v>34</v>
      </c>
      <c r="B45" s="5" t="s">
        <v>120</v>
      </c>
      <c r="C45" s="5" t="s">
        <v>121</v>
      </c>
      <c r="D45" s="5" t="s">
        <v>37</v>
      </c>
      <c r="E45" s="5" t="s">
        <v>84</v>
      </c>
      <c r="F45" s="5" t="s">
        <v>85</v>
      </c>
      <c r="G45" s="5" t="s">
        <v>40</v>
      </c>
      <c r="H45" s="6">
        <v>45961</v>
      </c>
      <c r="I45" s="6">
        <v>45961</v>
      </c>
      <c r="J45" s="6">
        <v>45964</v>
      </c>
      <c r="K45" s="5" t="s">
        <v>41</v>
      </c>
      <c r="L45" s="5" t="s">
        <v>42</v>
      </c>
      <c r="M45" s="5" t="s">
        <v>43</v>
      </c>
      <c r="N45" s="5" t="s">
        <v>44</v>
      </c>
      <c r="O45" s="7">
        <v>452</v>
      </c>
      <c r="P45" s="5" t="s">
        <v>45</v>
      </c>
      <c r="Q45" s="7">
        <v>452</v>
      </c>
      <c r="R45" s="5" t="s">
        <v>45</v>
      </c>
      <c r="S45" s="7">
        <v>133.02000000000001</v>
      </c>
      <c r="T45" s="5" t="s">
        <v>46</v>
      </c>
      <c r="U45" s="5" t="s">
        <v>47</v>
      </c>
      <c r="V45" s="5" t="s">
        <v>47</v>
      </c>
      <c r="W45" s="5" t="s">
        <v>47</v>
      </c>
      <c r="X45" s="5" t="s">
        <v>47</v>
      </c>
    </row>
    <row r="46" spans="1:24" x14ac:dyDescent="0.25">
      <c r="A46" s="5" t="s">
        <v>34</v>
      </c>
      <c r="B46" s="5" t="s">
        <v>120</v>
      </c>
      <c r="C46" s="5" t="s">
        <v>121</v>
      </c>
      <c r="D46" s="5" t="s">
        <v>37</v>
      </c>
      <c r="E46" s="5" t="s">
        <v>118</v>
      </c>
      <c r="F46" s="5" t="s">
        <v>119</v>
      </c>
      <c r="G46" s="5" t="s">
        <v>40</v>
      </c>
      <c r="H46" s="6">
        <v>45961</v>
      </c>
      <c r="I46" s="6">
        <v>45961</v>
      </c>
      <c r="J46" s="6">
        <v>45964</v>
      </c>
      <c r="K46" s="5" t="s">
        <v>41</v>
      </c>
      <c r="L46" s="5" t="s">
        <v>42</v>
      </c>
      <c r="M46" s="5" t="s">
        <v>43</v>
      </c>
      <c r="N46" s="5" t="s">
        <v>44</v>
      </c>
      <c r="O46" s="7">
        <v>113</v>
      </c>
      <c r="P46" s="5" t="s">
        <v>45</v>
      </c>
      <c r="Q46" s="7">
        <v>113</v>
      </c>
      <c r="R46" s="5" t="s">
        <v>45</v>
      </c>
      <c r="S46" s="7">
        <v>33.25</v>
      </c>
      <c r="T46" s="5" t="s">
        <v>46</v>
      </c>
      <c r="U46" s="5" t="s">
        <v>47</v>
      </c>
      <c r="V46" s="5" t="s">
        <v>47</v>
      </c>
      <c r="W46" s="5" t="s">
        <v>47</v>
      </c>
      <c r="X46" s="5" t="s">
        <v>47</v>
      </c>
    </row>
    <row r="47" spans="1:24" x14ac:dyDescent="0.25">
      <c r="A47" s="5" t="s">
        <v>34</v>
      </c>
      <c r="B47" s="5" t="s">
        <v>120</v>
      </c>
      <c r="C47" s="5" t="s">
        <v>121</v>
      </c>
      <c r="D47" s="5" t="s">
        <v>37</v>
      </c>
      <c r="E47" s="5" t="s">
        <v>92</v>
      </c>
      <c r="F47" s="5" t="s">
        <v>93</v>
      </c>
      <c r="G47" s="5" t="s">
        <v>40</v>
      </c>
      <c r="H47" s="6">
        <v>45961</v>
      </c>
      <c r="I47" s="6">
        <v>45961</v>
      </c>
      <c r="J47" s="6">
        <v>45964</v>
      </c>
      <c r="K47" s="5" t="s">
        <v>41</v>
      </c>
      <c r="L47" s="5" t="s">
        <v>42</v>
      </c>
      <c r="M47" s="5" t="s">
        <v>43</v>
      </c>
      <c r="N47" s="5" t="s">
        <v>44</v>
      </c>
      <c r="O47" s="7">
        <v>113</v>
      </c>
      <c r="P47" s="5" t="s">
        <v>45</v>
      </c>
      <c r="Q47" s="7">
        <v>113</v>
      </c>
      <c r="R47" s="5" t="s">
        <v>45</v>
      </c>
      <c r="S47" s="7">
        <v>33.25</v>
      </c>
      <c r="T47" s="5" t="s">
        <v>46</v>
      </c>
      <c r="U47" s="5" t="s">
        <v>47</v>
      </c>
      <c r="V47" s="5" t="s">
        <v>47</v>
      </c>
      <c r="W47" s="5" t="s">
        <v>47</v>
      </c>
      <c r="X47" s="5" t="s">
        <v>47</v>
      </c>
    </row>
    <row r="48" spans="1:24" x14ac:dyDescent="0.25">
      <c r="A48" s="5" t="s">
        <v>34</v>
      </c>
      <c r="B48" s="5" t="s">
        <v>120</v>
      </c>
      <c r="C48" s="5" t="s">
        <v>121</v>
      </c>
      <c r="D48" s="5" t="s">
        <v>37</v>
      </c>
      <c r="E48" s="5" t="s">
        <v>72</v>
      </c>
      <c r="F48" s="5" t="s">
        <v>73</v>
      </c>
      <c r="G48" s="5" t="s">
        <v>40</v>
      </c>
      <c r="H48" s="6">
        <v>45961</v>
      </c>
      <c r="I48" s="6">
        <v>45961</v>
      </c>
      <c r="J48" s="6">
        <v>45964</v>
      </c>
      <c r="K48" s="5" t="s">
        <v>41</v>
      </c>
      <c r="L48" s="5" t="s">
        <v>42</v>
      </c>
      <c r="M48" s="5" t="s">
        <v>43</v>
      </c>
      <c r="N48" s="5" t="s">
        <v>44</v>
      </c>
      <c r="O48" s="7">
        <v>113</v>
      </c>
      <c r="P48" s="5" t="s">
        <v>45</v>
      </c>
      <c r="Q48" s="7">
        <v>113</v>
      </c>
      <c r="R48" s="5" t="s">
        <v>45</v>
      </c>
      <c r="S48" s="7">
        <v>33.25</v>
      </c>
      <c r="T48" s="5" t="s">
        <v>46</v>
      </c>
      <c r="U48" s="5" t="s">
        <v>47</v>
      </c>
      <c r="V48" s="5" t="s">
        <v>47</v>
      </c>
      <c r="W48" s="5" t="s">
        <v>47</v>
      </c>
      <c r="X48" s="5" t="s">
        <v>47</v>
      </c>
    </row>
    <row r="49" spans="1:24" x14ac:dyDescent="0.25">
      <c r="A49" s="5" t="s">
        <v>34</v>
      </c>
      <c r="B49" s="5" t="s">
        <v>120</v>
      </c>
      <c r="C49" s="5" t="s">
        <v>121</v>
      </c>
      <c r="D49" s="5" t="s">
        <v>37</v>
      </c>
      <c r="E49" s="5" t="s">
        <v>64</v>
      </c>
      <c r="F49" s="5" t="s">
        <v>65</v>
      </c>
      <c r="G49" s="5" t="s">
        <v>40</v>
      </c>
      <c r="H49" s="6">
        <v>45961</v>
      </c>
      <c r="I49" s="6">
        <v>45961</v>
      </c>
      <c r="J49" s="6">
        <v>45964</v>
      </c>
      <c r="K49" s="5" t="s">
        <v>41</v>
      </c>
      <c r="L49" s="5" t="s">
        <v>42</v>
      </c>
      <c r="M49" s="5" t="s">
        <v>43</v>
      </c>
      <c r="N49" s="5" t="s">
        <v>44</v>
      </c>
      <c r="O49" s="7">
        <v>113</v>
      </c>
      <c r="P49" s="5" t="s">
        <v>45</v>
      </c>
      <c r="Q49" s="7">
        <v>113</v>
      </c>
      <c r="R49" s="5" t="s">
        <v>45</v>
      </c>
      <c r="S49" s="7">
        <v>33.25</v>
      </c>
      <c r="T49" s="5" t="s">
        <v>46</v>
      </c>
      <c r="U49" s="5" t="s">
        <v>47</v>
      </c>
      <c r="V49" s="5" t="s">
        <v>47</v>
      </c>
      <c r="W49" s="5" t="s">
        <v>47</v>
      </c>
      <c r="X49" s="5" t="s">
        <v>47</v>
      </c>
    </row>
    <row r="50" spans="1:24" x14ac:dyDescent="0.25">
      <c r="A50" s="5" t="s">
        <v>34</v>
      </c>
      <c r="B50" s="5" t="s">
        <v>120</v>
      </c>
      <c r="C50" s="5" t="s">
        <v>121</v>
      </c>
      <c r="D50" s="5" t="s">
        <v>37</v>
      </c>
      <c r="E50" s="5" t="s">
        <v>76</v>
      </c>
      <c r="F50" s="5" t="s">
        <v>77</v>
      </c>
      <c r="G50" s="5" t="s">
        <v>40</v>
      </c>
      <c r="H50" s="6">
        <v>45961</v>
      </c>
      <c r="I50" s="6">
        <v>45961</v>
      </c>
      <c r="J50" s="6">
        <v>45964</v>
      </c>
      <c r="K50" s="5" t="s">
        <v>41</v>
      </c>
      <c r="L50" s="5" t="s">
        <v>42</v>
      </c>
      <c r="M50" s="5" t="s">
        <v>43</v>
      </c>
      <c r="N50" s="5" t="s">
        <v>44</v>
      </c>
      <c r="O50" s="7">
        <v>113</v>
      </c>
      <c r="P50" s="5" t="s">
        <v>45</v>
      </c>
      <c r="Q50" s="7">
        <v>113</v>
      </c>
      <c r="R50" s="5" t="s">
        <v>45</v>
      </c>
      <c r="S50" s="7">
        <v>33.25</v>
      </c>
      <c r="T50" s="5" t="s">
        <v>46</v>
      </c>
      <c r="U50" s="5" t="s">
        <v>47</v>
      </c>
      <c r="V50" s="5" t="s">
        <v>47</v>
      </c>
      <c r="W50" s="5" t="s">
        <v>47</v>
      </c>
      <c r="X50" s="5" t="s">
        <v>47</v>
      </c>
    </row>
    <row r="51" spans="1:24" x14ac:dyDescent="0.25">
      <c r="A51" s="5" t="s">
        <v>34</v>
      </c>
      <c r="B51" s="5" t="s">
        <v>120</v>
      </c>
      <c r="C51" s="5" t="s">
        <v>121</v>
      </c>
      <c r="D51" s="5" t="s">
        <v>37</v>
      </c>
      <c r="E51" s="5" t="s">
        <v>116</v>
      </c>
      <c r="F51" s="5" t="s">
        <v>117</v>
      </c>
      <c r="G51" s="5" t="s">
        <v>40</v>
      </c>
      <c r="H51" s="6">
        <v>45961</v>
      </c>
      <c r="I51" s="6">
        <v>45961</v>
      </c>
      <c r="J51" s="6">
        <v>45964</v>
      </c>
      <c r="K51" s="5" t="s">
        <v>41</v>
      </c>
      <c r="L51" s="5" t="s">
        <v>42</v>
      </c>
      <c r="M51" s="5" t="s">
        <v>43</v>
      </c>
      <c r="N51" s="5" t="s">
        <v>44</v>
      </c>
      <c r="O51" s="7">
        <v>226</v>
      </c>
      <c r="P51" s="5" t="s">
        <v>45</v>
      </c>
      <c r="Q51" s="7">
        <v>226</v>
      </c>
      <c r="R51" s="5" t="s">
        <v>45</v>
      </c>
      <c r="S51" s="7">
        <v>66.510000000000005</v>
      </c>
      <c r="T51" s="5" t="s">
        <v>46</v>
      </c>
      <c r="U51" s="5" t="s">
        <v>47</v>
      </c>
      <c r="V51" s="5" t="s">
        <v>47</v>
      </c>
      <c r="W51" s="5" t="s">
        <v>47</v>
      </c>
      <c r="X51" s="5" t="s">
        <v>47</v>
      </c>
    </row>
    <row r="52" spans="1:24" x14ac:dyDescent="0.25">
      <c r="A52" s="5" t="s">
        <v>34</v>
      </c>
      <c r="B52" s="5" t="s">
        <v>120</v>
      </c>
      <c r="C52" s="5" t="s">
        <v>121</v>
      </c>
      <c r="D52" s="5" t="s">
        <v>37</v>
      </c>
      <c r="E52" s="5" t="s">
        <v>78</v>
      </c>
      <c r="F52" s="5" t="s">
        <v>79</v>
      </c>
      <c r="G52" s="5" t="s">
        <v>40</v>
      </c>
      <c r="H52" s="6">
        <v>45961</v>
      </c>
      <c r="I52" s="6">
        <v>45961</v>
      </c>
      <c r="J52" s="6">
        <v>45964</v>
      </c>
      <c r="K52" s="5" t="s">
        <v>41</v>
      </c>
      <c r="L52" s="5" t="s">
        <v>42</v>
      </c>
      <c r="M52" s="5" t="s">
        <v>43</v>
      </c>
      <c r="N52" s="5" t="s">
        <v>44</v>
      </c>
      <c r="O52" s="7">
        <v>113</v>
      </c>
      <c r="P52" s="5" t="s">
        <v>45</v>
      </c>
      <c r="Q52" s="7">
        <v>113</v>
      </c>
      <c r="R52" s="5" t="s">
        <v>45</v>
      </c>
      <c r="S52" s="7">
        <v>33.25</v>
      </c>
      <c r="T52" s="5" t="s">
        <v>46</v>
      </c>
      <c r="U52" s="5" t="s">
        <v>47</v>
      </c>
      <c r="V52" s="5" t="s">
        <v>47</v>
      </c>
      <c r="W52" s="5" t="s">
        <v>47</v>
      </c>
      <c r="X52" s="5" t="s">
        <v>47</v>
      </c>
    </row>
    <row r="53" spans="1:24" x14ac:dyDescent="0.25">
      <c r="A53" s="5" t="s">
        <v>34</v>
      </c>
      <c r="B53" s="5" t="s">
        <v>120</v>
      </c>
      <c r="C53" s="5" t="s">
        <v>121</v>
      </c>
      <c r="D53" s="5" t="s">
        <v>37</v>
      </c>
      <c r="E53" s="5" t="s">
        <v>80</v>
      </c>
      <c r="F53" s="5" t="s">
        <v>81</v>
      </c>
      <c r="G53" s="5" t="s">
        <v>40</v>
      </c>
      <c r="H53" s="6">
        <v>45961</v>
      </c>
      <c r="I53" s="6">
        <v>45961</v>
      </c>
      <c r="J53" s="6">
        <v>45964</v>
      </c>
      <c r="K53" s="5" t="s">
        <v>41</v>
      </c>
      <c r="L53" s="5" t="s">
        <v>42</v>
      </c>
      <c r="M53" s="5" t="s">
        <v>43</v>
      </c>
      <c r="N53" s="5" t="s">
        <v>44</v>
      </c>
      <c r="O53" s="7">
        <v>226</v>
      </c>
      <c r="P53" s="5" t="s">
        <v>45</v>
      </c>
      <c r="Q53" s="7">
        <v>226</v>
      </c>
      <c r="R53" s="5" t="s">
        <v>45</v>
      </c>
      <c r="S53" s="7">
        <v>66.510000000000005</v>
      </c>
      <c r="T53" s="5" t="s">
        <v>46</v>
      </c>
      <c r="U53" s="5" t="s">
        <v>47</v>
      </c>
      <c r="V53" s="5" t="s">
        <v>47</v>
      </c>
      <c r="W53" s="5" t="s">
        <v>47</v>
      </c>
      <c r="X53" s="5" t="s">
        <v>47</v>
      </c>
    </row>
    <row r="54" spans="1:24" x14ac:dyDescent="0.25">
      <c r="A54" s="5" t="s">
        <v>34</v>
      </c>
      <c r="B54" s="5" t="s">
        <v>120</v>
      </c>
      <c r="C54" s="5" t="s">
        <v>121</v>
      </c>
      <c r="D54" s="5" t="s">
        <v>37</v>
      </c>
      <c r="E54" s="5" t="s">
        <v>48</v>
      </c>
      <c r="F54" s="5" t="s">
        <v>49</v>
      </c>
      <c r="G54" s="5" t="s">
        <v>40</v>
      </c>
      <c r="H54" s="6">
        <v>45961</v>
      </c>
      <c r="I54" s="6">
        <v>45961</v>
      </c>
      <c r="J54" s="6">
        <v>45964</v>
      </c>
      <c r="K54" s="5" t="s">
        <v>41</v>
      </c>
      <c r="L54" s="5" t="s">
        <v>42</v>
      </c>
      <c r="M54" s="5" t="s">
        <v>43</v>
      </c>
      <c r="N54" s="5" t="s">
        <v>44</v>
      </c>
      <c r="O54" s="7">
        <v>226</v>
      </c>
      <c r="P54" s="5" t="s">
        <v>45</v>
      </c>
      <c r="Q54" s="7">
        <v>226</v>
      </c>
      <c r="R54" s="5" t="s">
        <v>45</v>
      </c>
      <c r="S54" s="7">
        <v>66.510000000000005</v>
      </c>
      <c r="T54" s="5" t="s">
        <v>46</v>
      </c>
      <c r="U54" s="5" t="s">
        <v>47</v>
      </c>
      <c r="V54" s="5" t="s">
        <v>47</v>
      </c>
      <c r="W54" s="5" t="s">
        <v>47</v>
      </c>
      <c r="X54" s="5" t="s">
        <v>47</v>
      </c>
    </row>
    <row r="55" spans="1:24" x14ac:dyDescent="0.25">
      <c r="A55" s="5" t="s">
        <v>34</v>
      </c>
      <c r="B55" s="5" t="s">
        <v>120</v>
      </c>
      <c r="C55" s="5" t="s">
        <v>121</v>
      </c>
      <c r="D55" s="5" t="s">
        <v>37</v>
      </c>
      <c r="E55" s="5" t="s">
        <v>58</v>
      </c>
      <c r="F55" s="5" t="s">
        <v>59</v>
      </c>
      <c r="G55" s="5" t="s">
        <v>40</v>
      </c>
      <c r="H55" s="6">
        <v>45961</v>
      </c>
      <c r="I55" s="6">
        <v>45961</v>
      </c>
      <c r="J55" s="6">
        <v>45964</v>
      </c>
      <c r="K55" s="5" t="s">
        <v>41</v>
      </c>
      <c r="L55" s="5" t="s">
        <v>42</v>
      </c>
      <c r="M55" s="5" t="s">
        <v>43</v>
      </c>
      <c r="N55" s="5" t="s">
        <v>44</v>
      </c>
      <c r="O55" s="7">
        <v>226</v>
      </c>
      <c r="P55" s="5" t="s">
        <v>45</v>
      </c>
      <c r="Q55" s="7">
        <v>226</v>
      </c>
      <c r="R55" s="5" t="s">
        <v>45</v>
      </c>
      <c r="S55" s="7">
        <v>66.510000000000005</v>
      </c>
      <c r="T55" s="5" t="s">
        <v>46</v>
      </c>
      <c r="U55" s="5" t="s">
        <v>47</v>
      </c>
      <c r="V55" s="5" t="s">
        <v>47</v>
      </c>
      <c r="W55" s="5" t="s">
        <v>47</v>
      </c>
      <c r="X55" s="5" t="s">
        <v>47</v>
      </c>
    </row>
    <row r="56" spans="1:24" x14ac:dyDescent="0.25">
      <c r="A56" s="5" t="s">
        <v>34</v>
      </c>
      <c r="B56" s="5" t="s">
        <v>120</v>
      </c>
      <c r="C56" s="5" t="s">
        <v>121</v>
      </c>
      <c r="D56" s="5" t="s">
        <v>37</v>
      </c>
      <c r="E56" s="5" t="s">
        <v>90</v>
      </c>
      <c r="F56" s="5" t="s">
        <v>91</v>
      </c>
      <c r="G56" s="5" t="s">
        <v>40</v>
      </c>
      <c r="H56" s="6">
        <v>45961</v>
      </c>
      <c r="I56" s="6">
        <v>45961</v>
      </c>
      <c r="J56" s="6">
        <v>45964</v>
      </c>
      <c r="K56" s="5" t="s">
        <v>41</v>
      </c>
      <c r="L56" s="5" t="s">
        <v>42</v>
      </c>
      <c r="M56" s="5" t="s">
        <v>43</v>
      </c>
      <c r="N56" s="5" t="s">
        <v>44</v>
      </c>
      <c r="O56" s="7">
        <v>226</v>
      </c>
      <c r="P56" s="5" t="s">
        <v>45</v>
      </c>
      <c r="Q56" s="7">
        <v>226</v>
      </c>
      <c r="R56" s="5" t="s">
        <v>45</v>
      </c>
      <c r="S56" s="7">
        <v>66.510000000000005</v>
      </c>
      <c r="T56" s="5" t="s">
        <v>46</v>
      </c>
      <c r="U56" s="5" t="s">
        <v>47</v>
      </c>
      <c r="V56" s="5" t="s">
        <v>47</v>
      </c>
      <c r="W56" s="5" t="s">
        <v>47</v>
      </c>
      <c r="X56" s="5" t="s">
        <v>47</v>
      </c>
    </row>
    <row r="57" spans="1:24" x14ac:dyDescent="0.25">
      <c r="A57" s="5" t="s">
        <v>34</v>
      </c>
      <c r="B57" s="5" t="s">
        <v>120</v>
      </c>
      <c r="C57" s="5" t="s">
        <v>121</v>
      </c>
      <c r="D57" s="5" t="s">
        <v>37</v>
      </c>
      <c r="E57" s="5" t="s">
        <v>104</v>
      </c>
      <c r="F57" s="5" t="s">
        <v>105</v>
      </c>
      <c r="G57" s="5" t="s">
        <v>40</v>
      </c>
      <c r="H57" s="6">
        <v>45961</v>
      </c>
      <c r="I57" s="6">
        <v>45961</v>
      </c>
      <c r="J57" s="6">
        <v>45964</v>
      </c>
      <c r="K57" s="5" t="s">
        <v>41</v>
      </c>
      <c r="L57" s="5" t="s">
        <v>42</v>
      </c>
      <c r="M57" s="5" t="s">
        <v>43</v>
      </c>
      <c r="N57" s="5" t="s">
        <v>44</v>
      </c>
      <c r="O57" s="7">
        <v>339</v>
      </c>
      <c r="P57" s="5" t="s">
        <v>45</v>
      </c>
      <c r="Q57" s="7">
        <v>339</v>
      </c>
      <c r="R57" s="5" t="s">
        <v>45</v>
      </c>
      <c r="S57" s="7">
        <v>99.76</v>
      </c>
      <c r="T57" s="5" t="s">
        <v>46</v>
      </c>
      <c r="U57" s="5" t="s">
        <v>47</v>
      </c>
      <c r="V57" s="5" t="s">
        <v>47</v>
      </c>
      <c r="W57" s="5" t="s">
        <v>47</v>
      </c>
      <c r="X57" s="5" t="s">
        <v>47</v>
      </c>
    </row>
    <row r="58" spans="1:24" x14ac:dyDescent="0.25">
      <c r="A58" s="5" t="s">
        <v>34</v>
      </c>
      <c r="B58" s="5" t="s">
        <v>120</v>
      </c>
      <c r="C58" s="5" t="s">
        <v>121</v>
      </c>
      <c r="D58" s="5" t="s">
        <v>37</v>
      </c>
      <c r="E58" s="5" t="s">
        <v>96</v>
      </c>
      <c r="F58" s="5" t="s">
        <v>97</v>
      </c>
      <c r="G58" s="5" t="s">
        <v>40</v>
      </c>
      <c r="H58" s="6">
        <v>45961</v>
      </c>
      <c r="I58" s="6">
        <v>45961</v>
      </c>
      <c r="J58" s="6">
        <v>45964</v>
      </c>
      <c r="K58" s="5" t="s">
        <v>41</v>
      </c>
      <c r="L58" s="5" t="s">
        <v>42</v>
      </c>
      <c r="M58" s="5" t="s">
        <v>43</v>
      </c>
      <c r="N58" s="5" t="s">
        <v>44</v>
      </c>
      <c r="O58" s="7">
        <v>904</v>
      </c>
      <c r="P58" s="5" t="s">
        <v>45</v>
      </c>
      <c r="Q58" s="7">
        <v>904</v>
      </c>
      <c r="R58" s="5" t="s">
        <v>45</v>
      </c>
      <c r="S58" s="7">
        <v>266.04000000000002</v>
      </c>
      <c r="T58" s="5" t="s">
        <v>46</v>
      </c>
      <c r="U58" s="5" t="s">
        <v>47</v>
      </c>
      <c r="V58" s="5" t="s">
        <v>47</v>
      </c>
      <c r="W58" s="5" t="s">
        <v>47</v>
      </c>
      <c r="X58" s="5" t="s">
        <v>47</v>
      </c>
    </row>
    <row r="59" spans="1:24" x14ac:dyDescent="0.25">
      <c r="A59" s="5" t="s">
        <v>34</v>
      </c>
      <c r="B59" s="5" t="s">
        <v>120</v>
      </c>
      <c r="C59" s="5" t="s">
        <v>121</v>
      </c>
      <c r="D59" s="5" t="s">
        <v>37</v>
      </c>
      <c r="E59" s="5" t="s">
        <v>50</v>
      </c>
      <c r="F59" s="5" t="s">
        <v>51</v>
      </c>
      <c r="G59" s="5" t="s">
        <v>40</v>
      </c>
      <c r="H59" s="6">
        <v>45961</v>
      </c>
      <c r="I59" s="6">
        <v>45961</v>
      </c>
      <c r="J59" s="6">
        <v>45964</v>
      </c>
      <c r="K59" s="5" t="s">
        <v>41</v>
      </c>
      <c r="L59" s="5" t="s">
        <v>42</v>
      </c>
      <c r="M59" s="5" t="s">
        <v>43</v>
      </c>
      <c r="N59" s="5" t="s">
        <v>44</v>
      </c>
      <c r="O59" s="7">
        <v>226</v>
      </c>
      <c r="P59" s="5" t="s">
        <v>45</v>
      </c>
      <c r="Q59" s="7">
        <v>226</v>
      </c>
      <c r="R59" s="5" t="s">
        <v>45</v>
      </c>
      <c r="S59" s="7">
        <v>66.510000000000005</v>
      </c>
      <c r="T59" s="5" t="s">
        <v>46</v>
      </c>
      <c r="U59" s="5" t="s">
        <v>47</v>
      </c>
      <c r="V59" s="5" t="s">
        <v>47</v>
      </c>
      <c r="W59" s="5" t="s">
        <v>47</v>
      </c>
      <c r="X59" s="5" t="s">
        <v>47</v>
      </c>
    </row>
    <row r="60" spans="1:24" x14ac:dyDescent="0.25">
      <c r="A60" s="5" t="s">
        <v>34</v>
      </c>
      <c r="B60" s="5" t="s">
        <v>120</v>
      </c>
      <c r="C60" s="5" t="s">
        <v>121</v>
      </c>
      <c r="D60" s="5" t="s">
        <v>37</v>
      </c>
      <c r="E60" s="5" t="s">
        <v>98</v>
      </c>
      <c r="F60" s="5" t="s">
        <v>99</v>
      </c>
      <c r="G60" s="5" t="s">
        <v>40</v>
      </c>
      <c r="H60" s="6">
        <v>45961</v>
      </c>
      <c r="I60" s="6">
        <v>45961</v>
      </c>
      <c r="J60" s="6">
        <v>45964</v>
      </c>
      <c r="K60" s="5" t="s">
        <v>41</v>
      </c>
      <c r="L60" s="5" t="s">
        <v>42</v>
      </c>
      <c r="M60" s="5" t="s">
        <v>43</v>
      </c>
      <c r="N60" s="5" t="s">
        <v>44</v>
      </c>
      <c r="O60" s="7">
        <v>226</v>
      </c>
      <c r="P60" s="5" t="s">
        <v>45</v>
      </c>
      <c r="Q60" s="7">
        <v>226</v>
      </c>
      <c r="R60" s="5" t="s">
        <v>45</v>
      </c>
      <c r="S60" s="7">
        <v>66.510000000000005</v>
      </c>
      <c r="T60" s="5" t="s">
        <v>46</v>
      </c>
      <c r="U60" s="5" t="s">
        <v>47</v>
      </c>
      <c r="V60" s="5" t="s">
        <v>47</v>
      </c>
      <c r="W60" s="5" t="s">
        <v>47</v>
      </c>
      <c r="X60" s="5" t="s">
        <v>47</v>
      </c>
    </row>
    <row r="61" spans="1:24" x14ac:dyDescent="0.25">
      <c r="A61" s="5" t="s">
        <v>34</v>
      </c>
      <c r="B61" s="5" t="s">
        <v>120</v>
      </c>
      <c r="C61" s="5" t="s">
        <v>121</v>
      </c>
      <c r="D61" s="5" t="s">
        <v>37</v>
      </c>
      <c r="E61" s="5" t="s">
        <v>86</v>
      </c>
      <c r="F61" s="5" t="s">
        <v>87</v>
      </c>
      <c r="G61" s="5" t="s">
        <v>40</v>
      </c>
      <c r="H61" s="6">
        <v>45961</v>
      </c>
      <c r="I61" s="6">
        <v>45961</v>
      </c>
      <c r="J61" s="6">
        <v>45964</v>
      </c>
      <c r="K61" s="5" t="s">
        <v>41</v>
      </c>
      <c r="L61" s="5" t="s">
        <v>42</v>
      </c>
      <c r="M61" s="5" t="s">
        <v>43</v>
      </c>
      <c r="N61" s="5" t="s">
        <v>44</v>
      </c>
      <c r="O61" s="7">
        <v>113</v>
      </c>
      <c r="P61" s="5" t="s">
        <v>45</v>
      </c>
      <c r="Q61" s="7">
        <v>113</v>
      </c>
      <c r="R61" s="5" t="s">
        <v>45</v>
      </c>
      <c r="S61" s="7">
        <v>33.25</v>
      </c>
      <c r="T61" s="5" t="s">
        <v>46</v>
      </c>
      <c r="U61" s="5" t="s">
        <v>47</v>
      </c>
      <c r="V61" s="5" t="s">
        <v>47</v>
      </c>
      <c r="W61" s="5" t="s">
        <v>47</v>
      </c>
      <c r="X61" s="5" t="s">
        <v>47</v>
      </c>
    </row>
    <row r="62" spans="1:24" x14ac:dyDescent="0.25">
      <c r="A62" s="5" t="s">
        <v>34</v>
      </c>
      <c r="B62" s="5" t="s">
        <v>120</v>
      </c>
      <c r="C62" s="5" t="s">
        <v>121</v>
      </c>
      <c r="D62" s="5" t="s">
        <v>37</v>
      </c>
      <c r="E62" s="5" t="s">
        <v>68</v>
      </c>
      <c r="F62" s="5" t="s">
        <v>69</v>
      </c>
      <c r="G62" s="5" t="s">
        <v>40</v>
      </c>
      <c r="H62" s="6">
        <v>45961</v>
      </c>
      <c r="I62" s="6">
        <v>45961</v>
      </c>
      <c r="J62" s="6">
        <v>45964</v>
      </c>
      <c r="K62" s="5" t="s">
        <v>41</v>
      </c>
      <c r="L62" s="5" t="s">
        <v>42</v>
      </c>
      <c r="M62" s="5" t="s">
        <v>43</v>
      </c>
      <c r="N62" s="5" t="s">
        <v>44</v>
      </c>
      <c r="O62" s="7">
        <v>113</v>
      </c>
      <c r="P62" s="5" t="s">
        <v>45</v>
      </c>
      <c r="Q62" s="7">
        <v>113</v>
      </c>
      <c r="R62" s="5" t="s">
        <v>45</v>
      </c>
      <c r="S62" s="7">
        <v>33.25</v>
      </c>
      <c r="T62" s="5" t="s">
        <v>46</v>
      </c>
      <c r="U62" s="5" t="s">
        <v>47</v>
      </c>
      <c r="V62" s="5" t="s">
        <v>47</v>
      </c>
      <c r="W62" s="5" t="s">
        <v>47</v>
      </c>
      <c r="X62" s="5" t="s">
        <v>47</v>
      </c>
    </row>
    <row r="63" spans="1:24" x14ac:dyDescent="0.25">
      <c r="A63" s="5" t="s">
        <v>34</v>
      </c>
      <c r="B63" s="5" t="s">
        <v>120</v>
      </c>
      <c r="C63" s="5" t="s">
        <v>121</v>
      </c>
      <c r="D63" s="5" t="s">
        <v>37</v>
      </c>
      <c r="E63" s="5" t="s">
        <v>54</v>
      </c>
      <c r="F63" s="5" t="s">
        <v>55</v>
      </c>
      <c r="G63" s="5" t="s">
        <v>40</v>
      </c>
      <c r="H63" s="6">
        <v>45961</v>
      </c>
      <c r="I63" s="6">
        <v>45961</v>
      </c>
      <c r="J63" s="6">
        <v>45964</v>
      </c>
      <c r="K63" s="5" t="s">
        <v>41</v>
      </c>
      <c r="L63" s="5" t="s">
        <v>42</v>
      </c>
      <c r="M63" s="5" t="s">
        <v>43</v>
      </c>
      <c r="N63" s="5" t="s">
        <v>44</v>
      </c>
      <c r="O63" s="7">
        <v>113</v>
      </c>
      <c r="P63" s="5" t="s">
        <v>45</v>
      </c>
      <c r="Q63" s="7">
        <v>113</v>
      </c>
      <c r="R63" s="5" t="s">
        <v>45</v>
      </c>
      <c r="S63" s="7">
        <v>33.25</v>
      </c>
      <c r="T63" s="5" t="s">
        <v>46</v>
      </c>
      <c r="U63" s="5" t="s">
        <v>47</v>
      </c>
      <c r="V63" s="5" t="s">
        <v>47</v>
      </c>
      <c r="W63" s="5" t="s">
        <v>47</v>
      </c>
      <c r="X63" s="5" t="s">
        <v>47</v>
      </c>
    </row>
    <row r="64" spans="1:24" x14ac:dyDescent="0.25">
      <c r="A64" s="5" t="s">
        <v>34</v>
      </c>
      <c r="B64" s="5" t="s">
        <v>120</v>
      </c>
      <c r="C64" s="5" t="s">
        <v>121</v>
      </c>
      <c r="D64" s="5" t="s">
        <v>37</v>
      </c>
      <c r="E64" s="5" t="s">
        <v>94</v>
      </c>
      <c r="F64" s="5" t="s">
        <v>95</v>
      </c>
      <c r="G64" s="5" t="s">
        <v>40</v>
      </c>
      <c r="H64" s="6">
        <v>45961</v>
      </c>
      <c r="I64" s="6">
        <v>45961</v>
      </c>
      <c r="J64" s="6">
        <v>45964</v>
      </c>
      <c r="K64" s="5" t="s">
        <v>41</v>
      </c>
      <c r="L64" s="5" t="s">
        <v>42</v>
      </c>
      <c r="M64" s="5" t="s">
        <v>43</v>
      </c>
      <c r="N64" s="5" t="s">
        <v>44</v>
      </c>
      <c r="O64" s="7">
        <v>565</v>
      </c>
      <c r="P64" s="5" t="s">
        <v>45</v>
      </c>
      <c r="Q64" s="7">
        <v>565</v>
      </c>
      <c r="R64" s="5" t="s">
        <v>45</v>
      </c>
      <c r="S64" s="7">
        <v>166.27</v>
      </c>
      <c r="T64" s="5" t="s">
        <v>46</v>
      </c>
      <c r="U64" s="5" t="s">
        <v>47</v>
      </c>
      <c r="V64" s="5" t="s">
        <v>47</v>
      </c>
      <c r="W64" s="5" t="s">
        <v>47</v>
      </c>
      <c r="X64" s="5" t="s">
        <v>47</v>
      </c>
    </row>
    <row r="65" spans="1:24" x14ac:dyDescent="0.25">
      <c r="A65" s="5" t="s">
        <v>34</v>
      </c>
      <c r="B65" s="5" t="s">
        <v>120</v>
      </c>
      <c r="C65" s="5" t="s">
        <v>121</v>
      </c>
      <c r="D65" s="5" t="s">
        <v>37</v>
      </c>
      <c r="E65" s="5" t="s">
        <v>108</v>
      </c>
      <c r="F65" s="5" t="s">
        <v>109</v>
      </c>
      <c r="G65" s="5" t="s">
        <v>40</v>
      </c>
      <c r="H65" s="6">
        <v>45961</v>
      </c>
      <c r="I65" s="6">
        <v>45961</v>
      </c>
      <c r="J65" s="6">
        <v>45964</v>
      </c>
      <c r="K65" s="5" t="s">
        <v>41</v>
      </c>
      <c r="L65" s="5" t="s">
        <v>42</v>
      </c>
      <c r="M65" s="5" t="s">
        <v>43</v>
      </c>
      <c r="N65" s="5" t="s">
        <v>44</v>
      </c>
      <c r="O65" s="7">
        <v>113</v>
      </c>
      <c r="P65" s="5" t="s">
        <v>45</v>
      </c>
      <c r="Q65" s="7">
        <v>113</v>
      </c>
      <c r="R65" s="5" t="s">
        <v>45</v>
      </c>
      <c r="S65" s="7">
        <v>33.25</v>
      </c>
      <c r="T65" s="5" t="s">
        <v>46</v>
      </c>
      <c r="U65" s="5" t="s">
        <v>47</v>
      </c>
      <c r="V65" s="5" t="s">
        <v>47</v>
      </c>
      <c r="W65" s="5" t="s">
        <v>47</v>
      </c>
      <c r="X65" s="5" t="s">
        <v>47</v>
      </c>
    </row>
    <row r="66" spans="1:24" x14ac:dyDescent="0.25">
      <c r="A66" s="5" t="s">
        <v>34</v>
      </c>
      <c r="B66" s="5" t="s">
        <v>120</v>
      </c>
      <c r="C66" s="5" t="s">
        <v>121</v>
      </c>
      <c r="D66" s="5" t="s">
        <v>37</v>
      </c>
      <c r="E66" s="5" t="s">
        <v>60</v>
      </c>
      <c r="F66" s="5" t="s">
        <v>61</v>
      </c>
      <c r="G66" s="5" t="s">
        <v>40</v>
      </c>
      <c r="H66" s="6">
        <v>45961</v>
      </c>
      <c r="I66" s="6">
        <v>45961</v>
      </c>
      <c r="J66" s="6">
        <v>45964</v>
      </c>
      <c r="K66" s="5" t="s">
        <v>41</v>
      </c>
      <c r="L66" s="5" t="s">
        <v>42</v>
      </c>
      <c r="M66" s="5" t="s">
        <v>43</v>
      </c>
      <c r="N66" s="5" t="s">
        <v>44</v>
      </c>
      <c r="O66" s="7">
        <v>678</v>
      </c>
      <c r="P66" s="5" t="s">
        <v>45</v>
      </c>
      <c r="Q66" s="7">
        <v>678</v>
      </c>
      <c r="R66" s="5" t="s">
        <v>45</v>
      </c>
      <c r="S66" s="7">
        <v>199.53</v>
      </c>
      <c r="T66" s="5" t="s">
        <v>46</v>
      </c>
      <c r="U66" s="5" t="s">
        <v>47</v>
      </c>
      <c r="V66" s="5" t="s">
        <v>47</v>
      </c>
      <c r="W66" s="5" t="s">
        <v>47</v>
      </c>
      <c r="X66" s="5" t="s">
        <v>47</v>
      </c>
    </row>
    <row r="67" spans="1:24" x14ac:dyDescent="0.25">
      <c r="A67" s="5" t="s">
        <v>34</v>
      </c>
      <c r="B67" s="5" t="s">
        <v>120</v>
      </c>
      <c r="C67" s="5" t="s">
        <v>121</v>
      </c>
      <c r="D67" s="5" t="s">
        <v>37</v>
      </c>
      <c r="E67" s="5" t="s">
        <v>100</v>
      </c>
      <c r="F67" s="5" t="s">
        <v>101</v>
      </c>
      <c r="G67" s="5" t="s">
        <v>40</v>
      </c>
      <c r="H67" s="6">
        <v>45961</v>
      </c>
      <c r="I67" s="6">
        <v>45961</v>
      </c>
      <c r="J67" s="6">
        <v>45964</v>
      </c>
      <c r="K67" s="5" t="s">
        <v>41</v>
      </c>
      <c r="L67" s="5" t="s">
        <v>42</v>
      </c>
      <c r="M67" s="5" t="s">
        <v>43</v>
      </c>
      <c r="N67" s="5" t="s">
        <v>44</v>
      </c>
      <c r="O67" s="7">
        <v>226</v>
      </c>
      <c r="P67" s="5" t="s">
        <v>45</v>
      </c>
      <c r="Q67" s="7">
        <v>226</v>
      </c>
      <c r="R67" s="5" t="s">
        <v>45</v>
      </c>
      <c r="S67" s="7">
        <v>66.510000000000005</v>
      </c>
      <c r="T67" s="5" t="s">
        <v>46</v>
      </c>
      <c r="U67" s="5" t="s">
        <v>47</v>
      </c>
      <c r="V67" s="5" t="s">
        <v>47</v>
      </c>
      <c r="W67" s="5" t="s">
        <v>47</v>
      </c>
      <c r="X67" s="5" t="s">
        <v>47</v>
      </c>
    </row>
    <row r="68" spans="1:24" x14ac:dyDescent="0.25">
      <c r="A68" s="5" t="s">
        <v>34</v>
      </c>
      <c r="B68" s="5" t="s">
        <v>120</v>
      </c>
      <c r="C68" s="5" t="s">
        <v>121</v>
      </c>
      <c r="D68" s="5" t="s">
        <v>37</v>
      </c>
      <c r="E68" s="5" t="s">
        <v>122</v>
      </c>
      <c r="F68" s="5" t="s">
        <v>123</v>
      </c>
      <c r="G68" s="5" t="s">
        <v>40</v>
      </c>
      <c r="H68" s="6">
        <v>45961</v>
      </c>
      <c r="I68" s="6">
        <v>45961</v>
      </c>
      <c r="J68" s="6">
        <v>45964</v>
      </c>
      <c r="K68" s="5" t="s">
        <v>41</v>
      </c>
      <c r="L68" s="5" t="s">
        <v>42</v>
      </c>
      <c r="M68" s="5" t="s">
        <v>43</v>
      </c>
      <c r="N68" s="5" t="s">
        <v>44</v>
      </c>
      <c r="O68" s="7">
        <v>113</v>
      </c>
      <c r="P68" s="5" t="s">
        <v>45</v>
      </c>
      <c r="Q68" s="7">
        <v>113</v>
      </c>
      <c r="R68" s="5" t="s">
        <v>45</v>
      </c>
      <c r="S68" s="7">
        <v>33.25</v>
      </c>
      <c r="T68" s="5" t="s">
        <v>46</v>
      </c>
      <c r="U68" s="5" t="s">
        <v>47</v>
      </c>
      <c r="V68" s="5" t="s">
        <v>47</v>
      </c>
      <c r="W68" s="5" t="s">
        <v>47</v>
      </c>
      <c r="X68" s="5" t="s">
        <v>47</v>
      </c>
    </row>
    <row r="69" spans="1:24" x14ac:dyDescent="0.25">
      <c r="A69" s="5" t="s">
        <v>34</v>
      </c>
      <c r="B69" s="5" t="s">
        <v>120</v>
      </c>
      <c r="C69" s="5" t="s">
        <v>121</v>
      </c>
      <c r="D69" s="5" t="s">
        <v>37</v>
      </c>
      <c r="E69" s="5" t="s">
        <v>66</v>
      </c>
      <c r="F69" s="5" t="s">
        <v>67</v>
      </c>
      <c r="G69" s="5" t="s">
        <v>40</v>
      </c>
      <c r="H69" s="6">
        <v>45961</v>
      </c>
      <c r="I69" s="6">
        <v>45961</v>
      </c>
      <c r="J69" s="6">
        <v>45964</v>
      </c>
      <c r="K69" s="5" t="s">
        <v>41</v>
      </c>
      <c r="L69" s="5" t="s">
        <v>42</v>
      </c>
      <c r="M69" s="5" t="s">
        <v>43</v>
      </c>
      <c r="N69" s="5" t="s">
        <v>44</v>
      </c>
      <c r="O69" s="7">
        <v>113</v>
      </c>
      <c r="P69" s="5" t="s">
        <v>45</v>
      </c>
      <c r="Q69" s="7">
        <v>113</v>
      </c>
      <c r="R69" s="5" t="s">
        <v>45</v>
      </c>
      <c r="S69" s="7">
        <v>33.25</v>
      </c>
      <c r="T69" s="5" t="s">
        <v>46</v>
      </c>
      <c r="U69" s="5" t="s">
        <v>47</v>
      </c>
      <c r="V69" s="5" t="s">
        <v>47</v>
      </c>
      <c r="W69" s="5" t="s">
        <v>47</v>
      </c>
      <c r="X69" s="5" t="s">
        <v>47</v>
      </c>
    </row>
    <row r="70" spans="1:24" x14ac:dyDescent="0.25">
      <c r="A70" s="5" t="s">
        <v>34</v>
      </c>
      <c r="B70" s="5" t="s">
        <v>120</v>
      </c>
      <c r="C70" s="5" t="s">
        <v>121</v>
      </c>
      <c r="D70" s="5" t="s">
        <v>37</v>
      </c>
      <c r="E70" s="5" t="s">
        <v>112</v>
      </c>
      <c r="F70" s="5" t="s">
        <v>113</v>
      </c>
      <c r="G70" s="5" t="s">
        <v>40</v>
      </c>
      <c r="H70" s="6">
        <v>45961</v>
      </c>
      <c r="I70" s="6">
        <v>45961</v>
      </c>
      <c r="J70" s="6">
        <v>45964</v>
      </c>
      <c r="K70" s="5" t="s">
        <v>41</v>
      </c>
      <c r="L70" s="5" t="s">
        <v>42</v>
      </c>
      <c r="M70" s="5" t="s">
        <v>43</v>
      </c>
      <c r="N70" s="5" t="s">
        <v>44</v>
      </c>
      <c r="O70" s="7">
        <v>113</v>
      </c>
      <c r="P70" s="5" t="s">
        <v>45</v>
      </c>
      <c r="Q70" s="7">
        <v>113</v>
      </c>
      <c r="R70" s="5" t="s">
        <v>45</v>
      </c>
      <c r="S70" s="7">
        <v>33.25</v>
      </c>
      <c r="T70" s="5" t="s">
        <v>46</v>
      </c>
      <c r="U70" s="5" t="s">
        <v>47</v>
      </c>
      <c r="V70" s="5" t="s">
        <v>47</v>
      </c>
      <c r="W70" s="5" t="s">
        <v>47</v>
      </c>
      <c r="X70" s="5" t="s">
        <v>47</v>
      </c>
    </row>
    <row r="71" spans="1:24" x14ac:dyDescent="0.25">
      <c r="A71" s="5" t="s">
        <v>34</v>
      </c>
      <c r="B71" s="5" t="s">
        <v>120</v>
      </c>
      <c r="C71" s="5" t="s">
        <v>121</v>
      </c>
      <c r="D71" s="5" t="s">
        <v>37</v>
      </c>
      <c r="E71" s="5" t="s">
        <v>38</v>
      </c>
      <c r="F71" s="5" t="s">
        <v>39</v>
      </c>
      <c r="G71" s="5" t="s">
        <v>40</v>
      </c>
      <c r="H71" s="6">
        <v>45961</v>
      </c>
      <c r="I71" s="6">
        <v>45961</v>
      </c>
      <c r="J71" s="6">
        <v>45964</v>
      </c>
      <c r="K71" s="5" t="s">
        <v>41</v>
      </c>
      <c r="L71" s="5" t="s">
        <v>42</v>
      </c>
      <c r="M71" s="5" t="s">
        <v>43</v>
      </c>
      <c r="N71" s="5" t="s">
        <v>44</v>
      </c>
      <c r="O71" s="7">
        <v>113</v>
      </c>
      <c r="P71" s="5" t="s">
        <v>45</v>
      </c>
      <c r="Q71" s="7">
        <v>113</v>
      </c>
      <c r="R71" s="5" t="s">
        <v>45</v>
      </c>
      <c r="S71" s="7">
        <v>33.25</v>
      </c>
      <c r="T71" s="5" t="s">
        <v>46</v>
      </c>
      <c r="U71" s="5" t="s">
        <v>47</v>
      </c>
      <c r="V71" s="5" t="s">
        <v>47</v>
      </c>
      <c r="W71" s="5" t="s">
        <v>47</v>
      </c>
      <c r="X71" s="5" t="s">
        <v>47</v>
      </c>
    </row>
    <row r="72" spans="1:24" x14ac:dyDescent="0.25">
      <c r="A72" s="5" t="s">
        <v>34</v>
      </c>
      <c r="B72" s="5" t="s">
        <v>120</v>
      </c>
      <c r="C72" s="5" t="s">
        <v>121</v>
      </c>
      <c r="D72" s="5" t="s">
        <v>37</v>
      </c>
      <c r="E72" s="5" t="s">
        <v>110</v>
      </c>
      <c r="F72" s="5" t="s">
        <v>111</v>
      </c>
      <c r="G72" s="5" t="s">
        <v>40</v>
      </c>
      <c r="H72" s="6">
        <v>45961</v>
      </c>
      <c r="I72" s="6">
        <v>45961</v>
      </c>
      <c r="J72" s="6">
        <v>45964</v>
      </c>
      <c r="K72" s="5" t="s">
        <v>41</v>
      </c>
      <c r="L72" s="5" t="s">
        <v>42</v>
      </c>
      <c r="M72" s="5" t="s">
        <v>43</v>
      </c>
      <c r="N72" s="5" t="s">
        <v>44</v>
      </c>
      <c r="O72" s="7">
        <v>226</v>
      </c>
      <c r="P72" s="5" t="s">
        <v>45</v>
      </c>
      <c r="Q72" s="7">
        <v>226</v>
      </c>
      <c r="R72" s="5" t="s">
        <v>45</v>
      </c>
      <c r="S72" s="7">
        <v>66.510000000000005</v>
      </c>
      <c r="T72" s="5" t="s">
        <v>46</v>
      </c>
      <c r="U72" s="5" t="s">
        <v>47</v>
      </c>
      <c r="V72" s="5" t="s">
        <v>47</v>
      </c>
      <c r="W72" s="5" t="s">
        <v>47</v>
      </c>
      <c r="X72" s="5" t="s">
        <v>47</v>
      </c>
    </row>
    <row r="73" spans="1:24" x14ac:dyDescent="0.25">
      <c r="A73" s="5" t="s">
        <v>34</v>
      </c>
      <c r="B73" s="5" t="s">
        <v>120</v>
      </c>
      <c r="C73" s="5" t="s">
        <v>121</v>
      </c>
      <c r="D73" s="5" t="s">
        <v>37</v>
      </c>
      <c r="E73" s="5" t="s">
        <v>102</v>
      </c>
      <c r="F73" s="5" t="s">
        <v>103</v>
      </c>
      <c r="G73" s="5" t="s">
        <v>40</v>
      </c>
      <c r="H73" s="6">
        <v>45961</v>
      </c>
      <c r="I73" s="6">
        <v>45961</v>
      </c>
      <c r="J73" s="6">
        <v>45964</v>
      </c>
      <c r="K73" s="5" t="s">
        <v>41</v>
      </c>
      <c r="L73" s="5" t="s">
        <v>42</v>
      </c>
      <c r="M73" s="5" t="s">
        <v>43</v>
      </c>
      <c r="N73" s="5" t="s">
        <v>44</v>
      </c>
      <c r="O73" s="7">
        <v>113</v>
      </c>
      <c r="P73" s="5" t="s">
        <v>45</v>
      </c>
      <c r="Q73" s="7">
        <v>113</v>
      </c>
      <c r="R73" s="5" t="s">
        <v>45</v>
      </c>
      <c r="S73" s="7">
        <v>33.25</v>
      </c>
      <c r="T73" s="5" t="s">
        <v>46</v>
      </c>
      <c r="U73" s="5" t="s">
        <v>47</v>
      </c>
      <c r="V73" s="5" t="s">
        <v>47</v>
      </c>
      <c r="W73" s="5" t="s">
        <v>47</v>
      </c>
      <c r="X73" s="5" t="s">
        <v>47</v>
      </c>
    </row>
    <row r="74" spans="1:24" x14ac:dyDescent="0.25">
      <c r="A74" s="5" t="s">
        <v>34</v>
      </c>
      <c r="B74" s="5" t="s">
        <v>124</v>
      </c>
      <c r="C74" s="5" t="s">
        <v>125</v>
      </c>
      <c r="D74" s="5" t="s">
        <v>37</v>
      </c>
      <c r="E74" s="5" t="s">
        <v>50</v>
      </c>
      <c r="F74" s="5" t="s">
        <v>51</v>
      </c>
      <c r="G74" s="5" t="s">
        <v>40</v>
      </c>
      <c r="H74" s="6">
        <v>45961</v>
      </c>
      <c r="I74" s="6">
        <v>45961</v>
      </c>
      <c r="J74" s="6">
        <v>45964</v>
      </c>
      <c r="K74" s="5" t="s">
        <v>41</v>
      </c>
      <c r="L74" s="5" t="s">
        <v>42</v>
      </c>
      <c r="M74" s="5" t="s">
        <v>43</v>
      </c>
      <c r="N74" s="5" t="s">
        <v>44</v>
      </c>
      <c r="O74" s="7">
        <v>751.72</v>
      </c>
      <c r="P74" s="5" t="s">
        <v>45</v>
      </c>
      <c r="Q74" s="7">
        <v>751.72</v>
      </c>
      <c r="R74" s="5" t="s">
        <v>45</v>
      </c>
      <c r="S74" s="7">
        <v>221.22</v>
      </c>
      <c r="T74" s="5" t="s">
        <v>46</v>
      </c>
      <c r="U74" s="5" t="s">
        <v>47</v>
      </c>
      <c r="V74" s="5" t="s">
        <v>47</v>
      </c>
      <c r="W74" s="5" t="s">
        <v>47</v>
      </c>
      <c r="X74" s="5" t="s">
        <v>47</v>
      </c>
    </row>
    <row r="75" spans="1:24" x14ac:dyDescent="0.25">
      <c r="A75" s="5" t="s">
        <v>34</v>
      </c>
      <c r="B75" s="5" t="s">
        <v>124</v>
      </c>
      <c r="C75" s="5" t="s">
        <v>125</v>
      </c>
      <c r="D75" s="5" t="s">
        <v>37</v>
      </c>
      <c r="E75" s="5" t="s">
        <v>38</v>
      </c>
      <c r="F75" s="5" t="s">
        <v>39</v>
      </c>
      <c r="G75" s="5" t="s">
        <v>40</v>
      </c>
      <c r="H75" s="6">
        <v>45961</v>
      </c>
      <c r="I75" s="6">
        <v>45961</v>
      </c>
      <c r="J75" s="6">
        <v>45964</v>
      </c>
      <c r="K75" s="5" t="s">
        <v>41</v>
      </c>
      <c r="L75" s="5" t="s">
        <v>42</v>
      </c>
      <c r="M75" s="5" t="s">
        <v>43</v>
      </c>
      <c r="N75" s="5" t="s">
        <v>44</v>
      </c>
      <c r="O75" s="7">
        <v>71.2</v>
      </c>
      <c r="P75" s="5" t="s">
        <v>45</v>
      </c>
      <c r="Q75" s="7">
        <v>71.2</v>
      </c>
      <c r="R75" s="5" t="s">
        <v>45</v>
      </c>
      <c r="S75" s="7">
        <v>20.95</v>
      </c>
      <c r="T75" s="5" t="s">
        <v>46</v>
      </c>
      <c r="U75" s="5" t="s">
        <v>47</v>
      </c>
      <c r="V75" s="5" t="s">
        <v>47</v>
      </c>
      <c r="W75" s="5" t="s">
        <v>47</v>
      </c>
      <c r="X75" s="5" t="s">
        <v>47</v>
      </c>
    </row>
    <row r="76" spans="1:24" x14ac:dyDescent="0.25">
      <c r="A76" s="5" t="s">
        <v>34</v>
      </c>
      <c r="B76" s="5" t="s">
        <v>124</v>
      </c>
      <c r="C76" s="5" t="s">
        <v>125</v>
      </c>
      <c r="D76" s="5" t="s">
        <v>37</v>
      </c>
      <c r="E76" s="5" t="s">
        <v>76</v>
      </c>
      <c r="F76" s="5" t="s">
        <v>77</v>
      </c>
      <c r="G76" s="5" t="s">
        <v>40</v>
      </c>
      <c r="H76" s="6">
        <v>45961</v>
      </c>
      <c r="I76" s="6">
        <v>45961</v>
      </c>
      <c r="J76" s="6">
        <v>45964</v>
      </c>
      <c r="K76" s="5" t="s">
        <v>41</v>
      </c>
      <c r="L76" s="5" t="s">
        <v>42</v>
      </c>
      <c r="M76" s="5" t="s">
        <v>43</v>
      </c>
      <c r="N76" s="5" t="s">
        <v>44</v>
      </c>
      <c r="O76" s="7">
        <v>97.72</v>
      </c>
      <c r="P76" s="5" t="s">
        <v>45</v>
      </c>
      <c r="Q76" s="7">
        <v>97.72</v>
      </c>
      <c r="R76" s="5" t="s">
        <v>45</v>
      </c>
      <c r="S76" s="7">
        <v>28.76</v>
      </c>
      <c r="T76" s="5" t="s">
        <v>46</v>
      </c>
      <c r="U76" s="5" t="s">
        <v>47</v>
      </c>
      <c r="V76" s="5" t="s">
        <v>47</v>
      </c>
      <c r="W76" s="5" t="s">
        <v>47</v>
      </c>
      <c r="X76" s="5" t="s">
        <v>47</v>
      </c>
    </row>
    <row r="77" spans="1:24" x14ac:dyDescent="0.25">
      <c r="A77" s="5" t="s">
        <v>34</v>
      </c>
      <c r="B77" s="5" t="s">
        <v>124</v>
      </c>
      <c r="C77" s="5" t="s">
        <v>125</v>
      </c>
      <c r="D77" s="5" t="s">
        <v>37</v>
      </c>
      <c r="E77" s="5" t="s">
        <v>100</v>
      </c>
      <c r="F77" s="5" t="s">
        <v>101</v>
      </c>
      <c r="G77" s="5" t="s">
        <v>40</v>
      </c>
      <c r="H77" s="6">
        <v>45961</v>
      </c>
      <c r="I77" s="6">
        <v>45961</v>
      </c>
      <c r="J77" s="6">
        <v>45964</v>
      </c>
      <c r="K77" s="5" t="s">
        <v>41</v>
      </c>
      <c r="L77" s="5" t="s">
        <v>42</v>
      </c>
      <c r="M77" s="5" t="s">
        <v>43</v>
      </c>
      <c r="N77" s="5" t="s">
        <v>44</v>
      </c>
      <c r="O77" s="7">
        <v>427.02</v>
      </c>
      <c r="P77" s="5" t="s">
        <v>45</v>
      </c>
      <c r="Q77" s="7">
        <v>427.02</v>
      </c>
      <c r="R77" s="5" t="s">
        <v>45</v>
      </c>
      <c r="S77" s="7">
        <v>125.67</v>
      </c>
      <c r="T77" s="5" t="s">
        <v>46</v>
      </c>
      <c r="U77" s="5" t="s">
        <v>47</v>
      </c>
      <c r="V77" s="5" t="s">
        <v>47</v>
      </c>
      <c r="W77" s="5" t="s">
        <v>47</v>
      </c>
      <c r="X77" s="5" t="s">
        <v>47</v>
      </c>
    </row>
    <row r="78" spans="1:24" x14ac:dyDescent="0.25">
      <c r="A78" s="5" t="s">
        <v>34</v>
      </c>
      <c r="B78" s="5" t="s">
        <v>124</v>
      </c>
      <c r="C78" s="5" t="s">
        <v>125</v>
      </c>
      <c r="D78" s="5" t="s">
        <v>37</v>
      </c>
      <c r="E78" s="5" t="s">
        <v>86</v>
      </c>
      <c r="F78" s="5" t="s">
        <v>87</v>
      </c>
      <c r="G78" s="5" t="s">
        <v>40</v>
      </c>
      <c r="H78" s="6">
        <v>45961</v>
      </c>
      <c r="I78" s="6">
        <v>45961</v>
      </c>
      <c r="J78" s="6">
        <v>45964</v>
      </c>
      <c r="K78" s="5" t="s">
        <v>41</v>
      </c>
      <c r="L78" s="5" t="s">
        <v>42</v>
      </c>
      <c r="M78" s="5" t="s">
        <v>43</v>
      </c>
      <c r="N78" s="5" t="s">
        <v>44</v>
      </c>
      <c r="O78" s="7">
        <v>731.99</v>
      </c>
      <c r="P78" s="5" t="s">
        <v>45</v>
      </c>
      <c r="Q78" s="7">
        <v>731.99</v>
      </c>
      <c r="R78" s="5" t="s">
        <v>45</v>
      </c>
      <c r="S78" s="7">
        <v>215.42</v>
      </c>
      <c r="T78" s="5" t="s">
        <v>46</v>
      </c>
      <c r="U78" s="5" t="s">
        <v>47</v>
      </c>
      <c r="V78" s="5" t="s">
        <v>47</v>
      </c>
      <c r="W78" s="5" t="s">
        <v>47</v>
      </c>
      <c r="X78" s="5" t="s">
        <v>47</v>
      </c>
    </row>
    <row r="79" spans="1:24" x14ac:dyDescent="0.25">
      <c r="A79" s="5" t="s">
        <v>34</v>
      </c>
      <c r="B79" s="5" t="s">
        <v>124</v>
      </c>
      <c r="C79" s="5" t="s">
        <v>125</v>
      </c>
      <c r="D79" s="5" t="s">
        <v>37</v>
      </c>
      <c r="E79" s="5" t="s">
        <v>110</v>
      </c>
      <c r="F79" s="5" t="s">
        <v>111</v>
      </c>
      <c r="G79" s="5" t="s">
        <v>40</v>
      </c>
      <c r="H79" s="6">
        <v>45961</v>
      </c>
      <c r="I79" s="6">
        <v>45961</v>
      </c>
      <c r="J79" s="6">
        <v>45964</v>
      </c>
      <c r="K79" s="5" t="s">
        <v>41</v>
      </c>
      <c r="L79" s="5" t="s">
        <v>42</v>
      </c>
      <c r="M79" s="5" t="s">
        <v>43</v>
      </c>
      <c r="N79" s="5" t="s">
        <v>44</v>
      </c>
      <c r="O79" s="7">
        <v>930.47</v>
      </c>
      <c r="P79" s="5" t="s">
        <v>45</v>
      </c>
      <c r="Q79" s="7">
        <v>930.47</v>
      </c>
      <c r="R79" s="5" t="s">
        <v>45</v>
      </c>
      <c r="S79" s="7">
        <v>273.83</v>
      </c>
      <c r="T79" s="5" t="s">
        <v>46</v>
      </c>
      <c r="U79" s="5" t="s">
        <v>47</v>
      </c>
      <c r="V79" s="5" t="s">
        <v>47</v>
      </c>
      <c r="W79" s="5" t="s">
        <v>47</v>
      </c>
      <c r="X79" s="5" t="s">
        <v>47</v>
      </c>
    </row>
    <row r="80" spans="1:24" x14ac:dyDescent="0.25">
      <c r="A80" s="5" t="s">
        <v>34</v>
      </c>
      <c r="B80" s="5" t="s">
        <v>124</v>
      </c>
      <c r="C80" s="5" t="s">
        <v>125</v>
      </c>
      <c r="D80" s="5" t="s">
        <v>37</v>
      </c>
      <c r="E80" s="5" t="s">
        <v>62</v>
      </c>
      <c r="F80" s="5" t="s">
        <v>63</v>
      </c>
      <c r="G80" s="5" t="s">
        <v>40</v>
      </c>
      <c r="H80" s="6">
        <v>45961</v>
      </c>
      <c r="I80" s="6">
        <v>45961</v>
      </c>
      <c r="J80" s="6">
        <v>45964</v>
      </c>
      <c r="K80" s="5" t="s">
        <v>41</v>
      </c>
      <c r="L80" s="5" t="s">
        <v>42</v>
      </c>
      <c r="M80" s="5" t="s">
        <v>43</v>
      </c>
      <c r="N80" s="5" t="s">
        <v>44</v>
      </c>
      <c r="O80" s="7">
        <v>123.79</v>
      </c>
      <c r="P80" s="5" t="s">
        <v>45</v>
      </c>
      <c r="Q80" s="7">
        <v>123.79</v>
      </c>
      <c r="R80" s="5" t="s">
        <v>45</v>
      </c>
      <c r="S80" s="7">
        <v>36.43</v>
      </c>
      <c r="T80" s="5" t="s">
        <v>46</v>
      </c>
      <c r="U80" s="5" t="s">
        <v>47</v>
      </c>
      <c r="V80" s="5" t="s">
        <v>47</v>
      </c>
      <c r="W80" s="5" t="s">
        <v>47</v>
      </c>
      <c r="X80" s="5" t="s">
        <v>47</v>
      </c>
    </row>
    <row r="81" spans="1:24" x14ac:dyDescent="0.25">
      <c r="A81" s="5" t="s">
        <v>34</v>
      </c>
      <c r="B81" s="5" t="s">
        <v>124</v>
      </c>
      <c r="C81" s="5" t="s">
        <v>125</v>
      </c>
      <c r="D81" s="5" t="s">
        <v>37</v>
      </c>
      <c r="E81" s="5" t="s">
        <v>56</v>
      </c>
      <c r="F81" s="5" t="s">
        <v>57</v>
      </c>
      <c r="G81" s="5" t="s">
        <v>40</v>
      </c>
      <c r="H81" s="6">
        <v>45961</v>
      </c>
      <c r="I81" s="6">
        <v>45961</v>
      </c>
      <c r="J81" s="6">
        <v>45964</v>
      </c>
      <c r="K81" s="5" t="s">
        <v>41</v>
      </c>
      <c r="L81" s="5" t="s">
        <v>42</v>
      </c>
      <c r="M81" s="5" t="s">
        <v>43</v>
      </c>
      <c r="N81" s="5" t="s">
        <v>44</v>
      </c>
      <c r="O81" s="7">
        <v>1405.33</v>
      </c>
      <c r="P81" s="5" t="s">
        <v>45</v>
      </c>
      <c r="Q81" s="7">
        <v>1405.33</v>
      </c>
      <c r="R81" s="5" t="s">
        <v>45</v>
      </c>
      <c r="S81" s="7">
        <v>413.58</v>
      </c>
      <c r="T81" s="5" t="s">
        <v>46</v>
      </c>
      <c r="U81" s="5" t="s">
        <v>47</v>
      </c>
      <c r="V81" s="5" t="s">
        <v>47</v>
      </c>
      <c r="W81" s="5" t="s">
        <v>47</v>
      </c>
      <c r="X81" s="5" t="s">
        <v>47</v>
      </c>
    </row>
    <row r="82" spans="1:24" x14ac:dyDescent="0.25">
      <c r="A82" s="5" t="s">
        <v>34</v>
      </c>
      <c r="B82" s="5" t="s">
        <v>124</v>
      </c>
      <c r="C82" s="5" t="s">
        <v>125</v>
      </c>
      <c r="D82" s="5" t="s">
        <v>37</v>
      </c>
      <c r="E82" s="5" t="s">
        <v>116</v>
      </c>
      <c r="F82" s="5" t="s">
        <v>117</v>
      </c>
      <c r="G82" s="5" t="s">
        <v>40</v>
      </c>
      <c r="H82" s="6">
        <v>45961</v>
      </c>
      <c r="I82" s="6">
        <v>45961</v>
      </c>
      <c r="J82" s="6">
        <v>45964</v>
      </c>
      <c r="K82" s="5" t="s">
        <v>41</v>
      </c>
      <c r="L82" s="5" t="s">
        <v>42</v>
      </c>
      <c r="M82" s="5" t="s">
        <v>43</v>
      </c>
      <c r="N82" s="5" t="s">
        <v>44</v>
      </c>
      <c r="O82" s="7">
        <v>609.5</v>
      </c>
      <c r="P82" s="5" t="s">
        <v>45</v>
      </c>
      <c r="Q82" s="7">
        <v>609.5</v>
      </c>
      <c r="R82" s="5" t="s">
        <v>45</v>
      </c>
      <c r="S82" s="7">
        <v>179.37</v>
      </c>
      <c r="T82" s="5" t="s">
        <v>46</v>
      </c>
      <c r="U82" s="5" t="s">
        <v>47</v>
      </c>
      <c r="V82" s="5" t="s">
        <v>47</v>
      </c>
      <c r="W82" s="5" t="s">
        <v>47</v>
      </c>
      <c r="X82" s="5" t="s">
        <v>47</v>
      </c>
    </row>
    <row r="83" spans="1:24" x14ac:dyDescent="0.25">
      <c r="A83" s="5" t="s">
        <v>34</v>
      </c>
      <c r="B83" s="5" t="s">
        <v>124</v>
      </c>
      <c r="C83" s="5" t="s">
        <v>125</v>
      </c>
      <c r="D83" s="5" t="s">
        <v>37</v>
      </c>
      <c r="E83" s="5" t="s">
        <v>102</v>
      </c>
      <c r="F83" s="5" t="s">
        <v>103</v>
      </c>
      <c r="G83" s="5" t="s">
        <v>40</v>
      </c>
      <c r="H83" s="6">
        <v>45961</v>
      </c>
      <c r="I83" s="6">
        <v>45961</v>
      </c>
      <c r="J83" s="6">
        <v>45964</v>
      </c>
      <c r="K83" s="5" t="s">
        <v>41</v>
      </c>
      <c r="L83" s="5" t="s">
        <v>42</v>
      </c>
      <c r="M83" s="5" t="s">
        <v>43</v>
      </c>
      <c r="N83" s="5" t="s">
        <v>44</v>
      </c>
      <c r="O83" s="7">
        <v>1271.8800000000001</v>
      </c>
      <c r="P83" s="5" t="s">
        <v>45</v>
      </c>
      <c r="Q83" s="7">
        <v>1271.8800000000001</v>
      </c>
      <c r="R83" s="5" t="s">
        <v>45</v>
      </c>
      <c r="S83" s="7">
        <v>374.3</v>
      </c>
      <c r="T83" s="5" t="s">
        <v>46</v>
      </c>
      <c r="U83" s="5" t="s">
        <v>47</v>
      </c>
      <c r="V83" s="5" t="s">
        <v>47</v>
      </c>
      <c r="W83" s="5" t="s">
        <v>47</v>
      </c>
      <c r="X83" s="5" t="s">
        <v>47</v>
      </c>
    </row>
    <row r="84" spans="1:24" x14ac:dyDescent="0.25">
      <c r="A84" s="5" t="s">
        <v>34</v>
      </c>
      <c r="B84" s="5" t="s">
        <v>124</v>
      </c>
      <c r="C84" s="5" t="s">
        <v>125</v>
      </c>
      <c r="D84" s="5" t="s">
        <v>37</v>
      </c>
      <c r="E84" s="5" t="s">
        <v>96</v>
      </c>
      <c r="F84" s="5" t="s">
        <v>97</v>
      </c>
      <c r="G84" s="5" t="s">
        <v>40</v>
      </c>
      <c r="H84" s="6">
        <v>45961</v>
      </c>
      <c r="I84" s="6">
        <v>45961</v>
      </c>
      <c r="J84" s="6">
        <v>45964</v>
      </c>
      <c r="K84" s="5" t="s">
        <v>41</v>
      </c>
      <c r="L84" s="5" t="s">
        <v>42</v>
      </c>
      <c r="M84" s="5" t="s">
        <v>43</v>
      </c>
      <c r="N84" s="5" t="s">
        <v>44</v>
      </c>
      <c r="O84" s="7">
        <v>859.36</v>
      </c>
      <c r="P84" s="5" t="s">
        <v>45</v>
      </c>
      <c r="Q84" s="7">
        <v>859.36</v>
      </c>
      <c r="R84" s="5" t="s">
        <v>45</v>
      </c>
      <c r="S84" s="7">
        <v>252.9</v>
      </c>
      <c r="T84" s="5" t="s">
        <v>46</v>
      </c>
      <c r="U84" s="5" t="s">
        <v>47</v>
      </c>
      <c r="V84" s="5" t="s">
        <v>47</v>
      </c>
      <c r="W84" s="5" t="s">
        <v>47</v>
      </c>
      <c r="X84" s="5" t="s">
        <v>47</v>
      </c>
    </row>
    <row r="85" spans="1:24" x14ac:dyDescent="0.25">
      <c r="A85" s="5" t="s">
        <v>34</v>
      </c>
      <c r="B85" s="5" t="s">
        <v>124</v>
      </c>
      <c r="C85" s="5" t="s">
        <v>125</v>
      </c>
      <c r="D85" s="5" t="s">
        <v>37</v>
      </c>
      <c r="E85" s="5" t="s">
        <v>54</v>
      </c>
      <c r="F85" s="5" t="s">
        <v>55</v>
      </c>
      <c r="G85" s="5" t="s">
        <v>40</v>
      </c>
      <c r="H85" s="6">
        <v>45961</v>
      </c>
      <c r="I85" s="6">
        <v>45961</v>
      </c>
      <c r="J85" s="6">
        <v>45964</v>
      </c>
      <c r="K85" s="5" t="s">
        <v>41</v>
      </c>
      <c r="L85" s="5" t="s">
        <v>42</v>
      </c>
      <c r="M85" s="5" t="s">
        <v>43</v>
      </c>
      <c r="N85" s="5" t="s">
        <v>44</v>
      </c>
      <c r="O85" s="7">
        <v>530.87</v>
      </c>
      <c r="P85" s="5" t="s">
        <v>45</v>
      </c>
      <c r="Q85" s="7">
        <v>530.87</v>
      </c>
      <c r="R85" s="5" t="s">
        <v>45</v>
      </c>
      <c r="S85" s="7">
        <v>156.22999999999999</v>
      </c>
      <c r="T85" s="5" t="s">
        <v>46</v>
      </c>
      <c r="U85" s="5" t="s">
        <v>47</v>
      </c>
      <c r="V85" s="5" t="s">
        <v>47</v>
      </c>
      <c r="W85" s="5" t="s">
        <v>47</v>
      </c>
      <c r="X85" s="5" t="s">
        <v>47</v>
      </c>
    </row>
    <row r="86" spans="1:24" x14ac:dyDescent="0.25">
      <c r="A86" s="5" t="s">
        <v>34</v>
      </c>
      <c r="B86" s="5" t="s">
        <v>124</v>
      </c>
      <c r="C86" s="5" t="s">
        <v>125</v>
      </c>
      <c r="D86" s="5" t="s">
        <v>37</v>
      </c>
      <c r="E86" s="5" t="s">
        <v>48</v>
      </c>
      <c r="F86" s="5" t="s">
        <v>49</v>
      </c>
      <c r="G86" s="5" t="s">
        <v>40</v>
      </c>
      <c r="H86" s="6">
        <v>45961</v>
      </c>
      <c r="I86" s="6">
        <v>45961</v>
      </c>
      <c r="J86" s="6">
        <v>45964</v>
      </c>
      <c r="K86" s="5" t="s">
        <v>41</v>
      </c>
      <c r="L86" s="5" t="s">
        <v>42</v>
      </c>
      <c r="M86" s="5" t="s">
        <v>43</v>
      </c>
      <c r="N86" s="5" t="s">
        <v>44</v>
      </c>
      <c r="O86" s="7">
        <v>483.7</v>
      </c>
      <c r="P86" s="5" t="s">
        <v>45</v>
      </c>
      <c r="Q86" s="7">
        <v>483.7</v>
      </c>
      <c r="R86" s="5" t="s">
        <v>45</v>
      </c>
      <c r="S86" s="7">
        <v>142.35</v>
      </c>
      <c r="T86" s="5" t="s">
        <v>46</v>
      </c>
      <c r="U86" s="5" t="s">
        <v>47</v>
      </c>
      <c r="V86" s="5" t="s">
        <v>47</v>
      </c>
      <c r="W86" s="5" t="s">
        <v>47</v>
      </c>
      <c r="X86" s="5" t="s">
        <v>47</v>
      </c>
    </row>
    <row r="87" spans="1:24" x14ac:dyDescent="0.25">
      <c r="A87" s="5" t="s">
        <v>34</v>
      </c>
      <c r="B87" s="5" t="s">
        <v>124</v>
      </c>
      <c r="C87" s="5" t="s">
        <v>125</v>
      </c>
      <c r="D87" s="5" t="s">
        <v>37</v>
      </c>
      <c r="E87" s="5" t="s">
        <v>84</v>
      </c>
      <c r="F87" s="5" t="s">
        <v>85</v>
      </c>
      <c r="G87" s="5" t="s">
        <v>40</v>
      </c>
      <c r="H87" s="6">
        <v>45961</v>
      </c>
      <c r="I87" s="6">
        <v>45961</v>
      </c>
      <c r="J87" s="6">
        <v>45964</v>
      </c>
      <c r="K87" s="5" t="s">
        <v>41</v>
      </c>
      <c r="L87" s="5" t="s">
        <v>42</v>
      </c>
      <c r="M87" s="5" t="s">
        <v>43</v>
      </c>
      <c r="N87" s="5" t="s">
        <v>44</v>
      </c>
      <c r="O87" s="7">
        <v>436.53</v>
      </c>
      <c r="P87" s="5" t="s">
        <v>45</v>
      </c>
      <c r="Q87" s="7">
        <v>436.53</v>
      </c>
      <c r="R87" s="5" t="s">
        <v>45</v>
      </c>
      <c r="S87" s="7">
        <v>128.47</v>
      </c>
      <c r="T87" s="5" t="s">
        <v>46</v>
      </c>
      <c r="U87" s="5" t="s">
        <v>47</v>
      </c>
      <c r="V87" s="5" t="s">
        <v>47</v>
      </c>
      <c r="W87" s="5" t="s">
        <v>47</v>
      </c>
      <c r="X87" s="5" t="s">
        <v>47</v>
      </c>
    </row>
    <row r="88" spans="1:24" x14ac:dyDescent="0.25">
      <c r="A88" s="5" t="s">
        <v>34</v>
      </c>
      <c r="B88" s="5" t="s">
        <v>124</v>
      </c>
      <c r="C88" s="5" t="s">
        <v>125</v>
      </c>
      <c r="D88" s="5" t="s">
        <v>37</v>
      </c>
      <c r="E88" s="5" t="s">
        <v>90</v>
      </c>
      <c r="F88" s="5" t="s">
        <v>91</v>
      </c>
      <c r="G88" s="5" t="s">
        <v>40</v>
      </c>
      <c r="H88" s="6">
        <v>45961</v>
      </c>
      <c r="I88" s="6">
        <v>45961</v>
      </c>
      <c r="J88" s="6">
        <v>45964</v>
      </c>
      <c r="K88" s="5" t="s">
        <v>41</v>
      </c>
      <c r="L88" s="5" t="s">
        <v>42</v>
      </c>
      <c r="M88" s="5" t="s">
        <v>43</v>
      </c>
      <c r="N88" s="5" t="s">
        <v>44</v>
      </c>
      <c r="O88" s="7">
        <v>222.08</v>
      </c>
      <c r="P88" s="5" t="s">
        <v>45</v>
      </c>
      <c r="Q88" s="7">
        <v>222.08</v>
      </c>
      <c r="R88" s="5" t="s">
        <v>45</v>
      </c>
      <c r="S88" s="7">
        <v>65.36</v>
      </c>
      <c r="T88" s="5" t="s">
        <v>46</v>
      </c>
      <c r="U88" s="5" t="s">
        <v>47</v>
      </c>
      <c r="V88" s="5" t="s">
        <v>47</v>
      </c>
      <c r="W88" s="5" t="s">
        <v>47</v>
      </c>
      <c r="X88" s="5" t="s">
        <v>47</v>
      </c>
    </row>
    <row r="89" spans="1:24" x14ac:dyDescent="0.25">
      <c r="A89" s="5" t="s">
        <v>34</v>
      </c>
      <c r="B89" s="5" t="s">
        <v>124</v>
      </c>
      <c r="C89" s="5" t="s">
        <v>125</v>
      </c>
      <c r="D89" s="5" t="s">
        <v>37</v>
      </c>
      <c r="E89" s="5" t="s">
        <v>72</v>
      </c>
      <c r="F89" s="5" t="s">
        <v>73</v>
      </c>
      <c r="G89" s="5" t="s">
        <v>40</v>
      </c>
      <c r="H89" s="6">
        <v>45961</v>
      </c>
      <c r="I89" s="6">
        <v>45961</v>
      </c>
      <c r="J89" s="6">
        <v>45964</v>
      </c>
      <c r="K89" s="5" t="s">
        <v>41</v>
      </c>
      <c r="L89" s="5" t="s">
        <v>42</v>
      </c>
      <c r="M89" s="5" t="s">
        <v>43</v>
      </c>
      <c r="N89" s="5" t="s">
        <v>44</v>
      </c>
      <c r="O89" s="7">
        <v>379.32</v>
      </c>
      <c r="P89" s="5" t="s">
        <v>45</v>
      </c>
      <c r="Q89" s="7">
        <v>379.32</v>
      </c>
      <c r="R89" s="5" t="s">
        <v>45</v>
      </c>
      <c r="S89" s="7">
        <v>111.63</v>
      </c>
      <c r="T89" s="5" t="s">
        <v>46</v>
      </c>
      <c r="U89" s="5" t="s">
        <v>47</v>
      </c>
      <c r="V89" s="5" t="s">
        <v>47</v>
      </c>
      <c r="W89" s="5" t="s">
        <v>47</v>
      </c>
      <c r="X89" s="5" t="s">
        <v>47</v>
      </c>
    </row>
    <row r="90" spans="1:24" x14ac:dyDescent="0.25">
      <c r="A90" s="5" t="s">
        <v>34</v>
      </c>
      <c r="B90" s="5" t="s">
        <v>124</v>
      </c>
      <c r="C90" s="5" t="s">
        <v>125</v>
      </c>
      <c r="D90" s="5" t="s">
        <v>37</v>
      </c>
      <c r="E90" s="5" t="s">
        <v>60</v>
      </c>
      <c r="F90" s="5" t="s">
        <v>61</v>
      </c>
      <c r="G90" s="5" t="s">
        <v>40</v>
      </c>
      <c r="H90" s="6">
        <v>45961</v>
      </c>
      <c r="I90" s="6">
        <v>45961</v>
      </c>
      <c r="J90" s="6">
        <v>45964</v>
      </c>
      <c r="K90" s="5" t="s">
        <v>41</v>
      </c>
      <c r="L90" s="5" t="s">
        <v>42</v>
      </c>
      <c r="M90" s="5" t="s">
        <v>43</v>
      </c>
      <c r="N90" s="5" t="s">
        <v>44</v>
      </c>
      <c r="O90" s="7">
        <v>1087.1600000000001</v>
      </c>
      <c r="P90" s="5" t="s">
        <v>45</v>
      </c>
      <c r="Q90" s="7">
        <v>1087.1600000000001</v>
      </c>
      <c r="R90" s="5" t="s">
        <v>45</v>
      </c>
      <c r="S90" s="7">
        <v>319.94</v>
      </c>
      <c r="T90" s="5" t="s">
        <v>46</v>
      </c>
      <c r="U90" s="5" t="s">
        <v>47</v>
      </c>
      <c r="V90" s="5" t="s">
        <v>47</v>
      </c>
      <c r="W90" s="5" t="s">
        <v>47</v>
      </c>
      <c r="X90" s="5" t="s">
        <v>47</v>
      </c>
    </row>
    <row r="91" spans="1:24" x14ac:dyDescent="0.25">
      <c r="A91" s="5" t="s">
        <v>34</v>
      </c>
      <c r="B91" s="5" t="s">
        <v>124</v>
      </c>
      <c r="C91" s="5" t="s">
        <v>125</v>
      </c>
      <c r="D91" s="5" t="s">
        <v>37</v>
      </c>
      <c r="E91" s="5" t="s">
        <v>74</v>
      </c>
      <c r="F91" s="5" t="s">
        <v>75</v>
      </c>
      <c r="G91" s="5" t="s">
        <v>40</v>
      </c>
      <c r="H91" s="6">
        <v>45961</v>
      </c>
      <c r="I91" s="6">
        <v>45961</v>
      </c>
      <c r="J91" s="6">
        <v>45964</v>
      </c>
      <c r="K91" s="5" t="s">
        <v>41</v>
      </c>
      <c r="L91" s="5" t="s">
        <v>42</v>
      </c>
      <c r="M91" s="5" t="s">
        <v>43</v>
      </c>
      <c r="N91" s="5" t="s">
        <v>44</v>
      </c>
      <c r="O91" s="7">
        <v>979.78</v>
      </c>
      <c r="P91" s="5" t="s">
        <v>45</v>
      </c>
      <c r="Q91" s="7">
        <v>979.78</v>
      </c>
      <c r="R91" s="5" t="s">
        <v>45</v>
      </c>
      <c r="S91" s="7">
        <v>288.33999999999997</v>
      </c>
      <c r="T91" s="5" t="s">
        <v>46</v>
      </c>
      <c r="U91" s="5" t="s">
        <v>47</v>
      </c>
      <c r="V91" s="5" t="s">
        <v>47</v>
      </c>
      <c r="W91" s="5" t="s">
        <v>47</v>
      </c>
      <c r="X91" s="5" t="s">
        <v>47</v>
      </c>
    </row>
    <row r="92" spans="1:24" x14ac:dyDescent="0.25">
      <c r="A92" s="5" t="s">
        <v>34</v>
      </c>
      <c r="B92" s="5" t="s">
        <v>124</v>
      </c>
      <c r="C92" s="5" t="s">
        <v>125</v>
      </c>
      <c r="D92" s="5" t="s">
        <v>37</v>
      </c>
      <c r="E92" s="5" t="s">
        <v>114</v>
      </c>
      <c r="F92" s="5" t="s">
        <v>115</v>
      </c>
      <c r="G92" s="5" t="s">
        <v>40</v>
      </c>
      <c r="H92" s="6">
        <v>45961</v>
      </c>
      <c r="I92" s="6">
        <v>45961</v>
      </c>
      <c r="J92" s="6">
        <v>45964</v>
      </c>
      <c r="K92" s="5" t="s">
        <v>41</v>
      </c>
      <c r="L92" s="5" t="s">
        <v>42</v>
      </c>
      <c r="M92" s="5" t="s">
        <v>43</v>
      </c>
      <c r="N92" s="5" t="s">
        <v>44</v>
      </c>
      <c r="O92" s="7">
        <v>134.72</v>
      </c>
      <c r="P92" s="5" t="s">
        <v>45</v>
      </c>
      <c r="Q92" s="7">
        <v>134.72</v>
      </c>
      <c r="R92" s="5" t="s">
        <v>45</v>
      </c>
      <c r="S92" s="7">
        <v>39.65</v>
      </c>
      <c r="T92" s="5" t="s">
        <v>46</v>
      </c>
      <c r="U92" s="5" t="s">
        <v>47</v>
      </c>
      <c r="V92" s="5" t="s">
        <v>47</v>
      </c>
      <c r="W92" s="5" t="s">
        <v>47</v>
      </c>
      <c r="X92" s="5" t="s">
        <v>47</v>
      </c>
    </row>
    <row r="93" spans="1:24" x14ac:dyDescent="0.25">
      <c r="A93" s="5" t="s">
        <v>34</v>
      </c>
      <c r="B93" s="5" t="s">
        <v>124</v>
      </c>
      <c r="C93" s="5" t="s">
        <v>125</v>
      </c>
      <c r="D93" s="5" t="s">
        <v>37</v>
      </c>
      <c r="E93" s="5" t="s">
        <v>94</v>
      </c>
      <c r="F93" s="5" t="s">
        <v>95</v>
      </c>
      <c r="G93" s="5" t="s">
        <v>40</v>
      </c>
      <c r="H93" s="6">
        <v>45961</v>
      </c>
      <c r="I93" s="6">
        <v>45961</v>
      </c>
      <c r="J93" s="6">
        <v>45964</v>
      </c>
      <c r="K93" s="5" t="s">
        <v>41</v>
      </c>
      <c r="L93" s="5" t="s">
        <v>42</v>
      </c>
      <c r="M93" s="5" t="s">
        <v>43</v>
      </c>
      <c r="N93" s="5" t="s">
        <v>44</v>
      </c>
      <c r="O93" s="7">
        <v>59.85</v>
      </c>
      <c r="P93" s="5" t="s">
        <v>45</v>
      </c>
      <c r="Q93" s="7">
        <v>59.85</v>
      </c>
      <c r="R93" s="5" t="s">
        <v>45</v>
      </c>
      <c r="S93" s="7">
        <v>17.61</v>
      </c>
      <c r="T93" s="5" t="s">
        <v>46</v>
      </c>
      <c r="U93" s="5" t="s">
        <v>47</v>
      </c>
      <c r="V93" s="5" t="s">
        <v>47</v>
      </c>
      <c r="W93" s="5" t="s">
        <v>47</v>
      </c>
      <c r="X93" s="5" t="s">
        <v>47</v>
      </c>
    </row>
    <row r="94" spans="1:24" x14ac:dyDescent="0.25">
      <c r="A94" s="5" t="s">
        <v>34</v>
      </c>
      <c r="B94" s="5" t="s">
        <v>126</v>
      </c>
      <c r="C94" s="5" t="s">
        <v>127</v>
      </c>
      <c r="D94" s="5" t="s">
        <v>37</v>
      </c>
      <c r="E94" s="5" t="s">
        <v>68</v>
      </c>
      <c r="F94" s="5" t="s">
        <v>69</v>
      </c>
      <c r="G94" s="5" t="s">
        <v>40</v>
      </c>
      <c r="H94" s="6">
        <v>45961</v>
      </c>
      <c r="I94" s="6">
        <v>45961</v>
      </c>
      <c r="J94" s="6">
        <v>45964</v>
      </c>
      <c r="K94" s="5" t="s">
        <v>41</v>
      </c>
      <c r="L94" s="5" t="s">
        <v>42</v>
      </c>
      <c r="M94" s="5" t="s">
        <v>43</v>
      </c>
      <c r="N94" s="5" t="s">
        <v>44</v>
      </c>
      <c r="O94" s="7">
        <v>232.53</v>
      </c>
      <c r="P94" s="5" t="s">
        <v>45</v>
      </c>
      <c r="Q94" s="7">
        <v>232.53</v>
      </c>
      <c r="R94" s="5" t="s">
        <v>45</v>
      </c>
      <c r="S94" s="7">
        <v>68.430000000000007</v>
      </c>
      <c r="T94" s="5" t="s">
        <v>46</v>
      </c>
      <c r="U94" s="5" t="s">
        <v>47</v>
      </c>
      <c r="V94" s="5" t="s">
        <v>47</v>
      </c>
      <c r="W94" s="5" t="s">
        <v>47</v>
      </c>
      <c r="X94" s="5" t="s">
        <v>47</v>
      </c>
    </row>
    <row r="95" spans="1:24" x14ac:dyDescent="0.25">
      <c r="A95" s="5" t="s">
        <v>34</v>
      </c>
      <c r="B95" s="5" t="s">
        <v>126</v>
      </c>
      <c r="C95" s="5" t="s">
        <v>127</v>
      </c>
      <c r="D95" s="5" t="s">
        <v>37</v>
      </c>
      <c r="E95" s="5" t="s">
        <v>78</v>
      </c>
      <c r="F95" s="5" t="s">
        <v>79</v>
      </c>
      <c r="G95" s="5" t="s">
        <v>40</v>
      </c>
      <c r="H95" s="6">
        <v>45961</v>
      </c>
      <c r="I95" s="6">
        <v>45961</v>
      </c>
      <c r="J95" s="6">
        <v>45964</v>
      </c>
      <c r="K95" s="5" t="s">
        <v>41</v>
      </c>
      <c r="L95" s="5" t="s">
        <v>42</v>
      </c>
      <c r="M95" s="5" t="s">
        <v>43</v>
      </c>
      <c r="N95" s="5" t="s">
        <v>44</v>
      </c>
      <c r="O95" s="7">
        <v>377.58</v>
      </c>
      <c r="P95" s="5" t="s">
        <v>45</v>
      </c>
      <c r="Q95" s="7">
        <v>377.58</v>
      </c>
      <c r="R95" s="5" t="s">
        <v>45</v>
      </c>
      <c r="S95" s="7">
        <v>111.12</v>
      </c>
      <c r="T95" s="5" t="s">
        <v>46</v>
      </c>
      <c r="U95" s="5" t="s">
        <v>47</v>
      </c>
      <c r="V95" s="5" t="s">
        <v>47</v>
      </c>
      <c r="W95" s="5" t="s">
        <v>47</v>
      </c>
      <c r="X95" s="5" t="s">
        <v>47</v>
      </c>
    </row>
    <row r="96" spans="1:24" x14ac:dyDescent="0.25">
      <c r="A96" s="5" t="s">
        <v>34</v>
      </c>
      <c r="B96" s="5" t="s">
        <v>126</v>
      </c>
      <c r="C96" s="5" t="s">
        <v>127</v>
      </c>
      <c r="D96" s="5" t="s">
        <v>37</v>
      </c>
      <c r="E96" s="5" t="s">
        <v>122</v>
      </c>
      <c r="F96" s="5" t="s">
        <v>123</v>
      </c>
      <c r="G96" s="5" t="s">
        <v>40</v>
      </c>
      <c r="H96" s="6">
        <v>45961</v>
      </c>
      <c r="I96" s="6">
        <v>45961</v>
      </c>
      <c r="J96" s="6">
        <v>45964</v>
      </c>
      <c r="K96" s="5" t="s">
        <v>41</v>
      </c>
      <c r="L96" s="5" t="s">
        <v>42</v>
      </c>
      <c r="M96" s="5" t="s">
        <v>43</v>
      </c>
      <c r="N96" s="5" t="s">
        <v>44</v>
      </c>
      <c r="O96" s="7">
        <v>76.19</v>
      </c>
      <c r="P96" s="5" t="s">
        <v>45</v>
      </c>
      <c r="Q96" s="7">
        <v>76.19</v>
      </c>
      <c r="R96" s="5" t="s">
        <v>45</v>
      </c>
      <c r="S96" s="7">
        <v>22.42</v>
      </c>
      <c r="T96" s="5" t="s">
        <v>46</v>
      </c>
      <c r="U96" s="5" t="s">
        <v>47</v>
      </c>
      <c r="V96" s="5" t="s">
        <v>47</v>
      </c>
      <c r="W96" s="5" t="s">
        <v>47</v>
      </c>
      <c r="X96" s="5" t="s">
        <v>47</v>
      </c>
    </row>
    <row r="97" spans="1:24" x14ac:dyDescent="0.25">
      <c r="A97" s="5" t="s">
        <v>34</v>
      </c>
      <c r="B97" s="5" t="s">
        <v>126</v>
      </c>
      <c r="C97" s="5" t="s">
        <v>127</v>
      </c>
      <c r="D97" s="5" t="s">
        <v>37</v>
      </c>
      <c r="E97" s="5" t="s">
        <v>110</v>
      </c>
      <c r="F97" s="5" t="s">
        <v>111</v>
      </c>
      <c r="G97" s="5" t="s">
        <v>40</v>
      </c>
      <c r="H97" s="6">
        <v>45961</v>
      </c>
      <c r="I97" s="6">
        <v>45961</v>
      </c>
      <c r="J97" s="6">
        <v>45964</v>
      </c>
      <c r="K97" s="5" t="s">
        <v>41</v>
      </c>
      <c r="L97" s="5" t="s">
        <v>42</v>
      </c>
      <c r="M97" s="5" t="s">
        <v>43</v>
      </c>
      <c r="N97" s="5" t="s">
        <v>44</v>
      </c>
      <c r="O97" s="7">
        <v>1025.33</v>
      </c>
      <c r="P97" s="5" t="s">
        <v>45</v>
      </c>
      <c r="Q97" s="7">
        <v>1025.33</v>
      </c>
      <c r="R97" s="5" t="s">
        <v>45</v>
      </c>
      <c r="S97" s="7">
        <v>301.75</v>
      </c>
      <c r="T97" s="5" t="s">
        <v>46</v>
      </c>
      <c r="U97" s="5" t="s">
        <v>47</v>
      </c>
      <c r="V97" s="5" t="s">
        <v>47</v>
      </c>
      <c r="W97" s="5" t="s">
        <v>47</v>
      </c>
      <c r="X97" s="5" t="s">
        <v>47</v>
      </c>
    </row>
    <row r="98" spans="1:24" x14ac:dyDescent="0.25">
      <c r="A98" s="5" t="s">
        <v>34</v>
      </c>
      <c r="B98" s="5" t="s">
        <v>126</v>
      </c>
      <c r="C98" s="5" t="s">
        <v>127</v>
      </c>
      <c r="D98" s="5" t="s">
        <v>37</v>
      </c>
      <c r="E98" s="5" t="s">
        <v>104</v>
      </c>
      <c r="F98" s="5" t="s">
        <v>105</v>
      </c>
      <c r="G98" s="5" t="s">
        <v>40</v>
      </c>
      <c r="H98" s="6">
        <v>45961</v>
      </c>
      <c r="I98" s="6">
        <v>45961</v>
      </c>
      <c r="J98" s="6">
        <v>45964</v>
      </c>
      <c r="K98" s="5" t="s">
        <v>41</v>
      </c>
      <c r="L98" s="5" t="s">
        <v>42</v>
      </c>
      <c r="M98" s="5" t="s">
        <v>43</v>
      </c>
      <c r="N98" s="5" t="s">
        <v>44</v>
      </c>
      <c r="O98" s="7">
        <v>59.42</v>
      </c>
      <c r="P98" s="5" t="s">
        <v>45</v>
      </c>
      <c r="Q98" s="7">
        <v>59.42</v>
      </c>
      <c r="R98" s="5" t="s">
        <v>45</v>
      </c>
      <c r="S98" s="7">
        <v>17.489999999999998</v>
      </c>
      <c r="T98" s="5" t="s">
        <v>46</v>
      </c>
      <c r="U98" s="5" t="s">
        <v>47</v>
      </c>
      <c r="V98" s="5" t="s">
        <v>47</v>
      </c>
      <c r="W98" s="5" t="s">
        <v>47</v>
      </c>
      <c r="X98" s="5" t="s">
        <v>47</v>
      </c>
    </row>
    <row r="99" spans="1:24" x14ac:dyDescent="0.25">
      <c r="A99" s="5" t="s">
        <v>34</v>
      </c>
      <c r="B99" s="5" t="s">
        <v>126</v>
      </c>
      <c r="C99" s="5" t="s">
        <v>127</v>
      </c>
      <c r="D99" s="5" t="s">
        <v>37</v>
      </c>
      <c r="E99" s="5" t="s">
        <v>38</v>
      </c>
      <c r="F99" s="5" t="s">
        <v>39</v>
      </c>
      <c r="G99" s="5" t="s">
        <v>40</v>
      </c>
      <c r="H99" s="6">
        <v>45961</v>
      </c>
      <c r="I99" s="6">
        <v>45961</v>
      </c>
      <c r="J99" s="6">
        <v>45964</v>
      </c>
      <c r="K99" s="5" t="s">
        <v>41</v>
      </c>
      <c r="L99" s="5" t="s">
        <v>42</v>
      </c>
      <c r="M99" s="5" t="s">
        <v>43</v>
      </c>
      <c r="N99" s="5" t="s">
        <v>44</v>
      </c>
      <c r="O99" s="7">
        <v>89.01</v>
      </c>
      <c r="P99" s="5" t="s">
        <v>45</v>
      </c>
      <c r="Q99" s="7">
        <v>89.01</v>
      </c>
      <c r="R99" s="5" t="s">
        <v>45</v>
      </c>
      <c r="S99" s="7">
        <v>26.19</v>
      </c>
      <c r="T99" s="5" t="s">
        <v>46</v>
      </c>
      <c r="U99" s="5" t="s">
        <v>47</v>
      </c>
      <c r="V99" s="5" t="s">
        <v>47</v>
      </c>
      <c r="W99" s="5" t="s">
        <v>47</v>
      </c>
      <c r="X99" s="5" t="s">
        <v>47</v>
      </c>
    </row>
    <row r="100" spans="1:24" x14ac:dyDescent="0.25">
      <c r="A100" s="5" t="s">
        <v>34</v>
      </c>
      <c r="B100" s="5" t="s">
        <v>126</v>
      </c>
      <c r="C100" s="5" t="s">
        <v>127</v>
      </c>
      <c r="D100" s="5" t="s">
        <v>37</v>
      </c>
      <c r="E100" s="5" t="s">
        <v>116</v>
      </c>
      <c r="F100" s="5" t="s">
        <v>117</v>
      </c>
      <c r="G100" s="5" t="s">
        <v>40</v>
      </c>
      <c r="H100" s="6">
        <v>45961</v>
      </c>
      <c r="I100" s="6">
        <v>45961</v>
      </c>
      <c r="J100" s="6">
        <v>45964</v>
      </c>
      <c r="K100" s="5" t="s">
        <v>41</v>
      </c>
      <c r="L100" s="5" t="s">
        <v>42</v>
      </c>
      <c r="M100" s="5" t="s">
        <v>43</v>
      </c>
      <c r="N100" s="5" t="s">
        <v>44</v>
      </c>
      <c r="O100" s="7">
        <v>507.92</v>
      </c>
      <c r="P100" s="5" t="s">
        <v>45</v>
      </c>
      <c r="Q100" s="7">
        <v>507.92</v>
      </c>
      <c r="R100" s="5" t="s">
        <v>45</v>
      </c>
      <c r="S100" s="7">
        <v>149.47999999999999</v>
      </c>
      <c r="T100" s="5" t="s">
        <v>46</v>
      </c>
      <c r="U100" s="5" t="s">
        <v>47</v>
      </c>
      <c r="V100" s="5" t="s">
        <v>47</v>
      </c>
      <c r="W100" s="5" t="s">
        <v>47</v>
      </c>
      <c r="X100" s="5" t="s">
        <v>47</v>
      </c>
    </row>
    <row r="101" spans="1:24" x14ac:dyDescent="0.25">
      <c r="A101" s="5" t="s">
        <v>34</v>
      </c>
      <c r="B101" s="5" t="s">
        <v>126</v>
      </c>
      <c r="C101" s="5" t="s">
        <v>127</v>
      </c>
      <c r="D101" s="5" t="s">
        <v>37</v>
      </c>
      <c r="E101" s="5" t="s">
        <v>80</v>
      </c>
      <c r="F101" s="5" t="s">
        <v>81</v>
      </c>
      <c r="G101" s="5" t="s">
        <v>40</v>
      </c>
      <c r="H101" s="6">
        <v>45961</v>
      </c>
      <c r="I101" s="6">
        <v>45961</v>
      </c>
      <c r="J101" s="6">
        <v>45964</v>
      </c>
      <c r="K101" s="5" t="s">
        <v>41</v>
      </c>
      <c r="L101" s="5" t="s">
        <v>42</v>
      </c>
      <c r="M101" s="5" t="s">
        <v>43</v>
      </c>
      <c r="N101" s="5" t="s">
        <v>44</v>
      </c>
      <c r="O101" s="7">
        <v>310.61</v>
      </c>
      <c r="P101" s="5" t="s">
        <v>45</v>
      </c>
      <c r="Q101" s="7">
        <v>310.61</v>
      </c>
      <c r="R101" s="5" t="s">
        <v>45</v>
      </c>
      <c r="S101" s="7">
        <v>91.41</v>
      </c>
      <c r="T101" s="5" t="s">
        <v>46</v>
      </c>
      <c r="U101" s="5" t="s">
        <v>47</v>
      </c>
      <c r="V101" s="5" t="s">
        <v>47</v>
      </c>
      <c r="W101" s="5" t="s">
        <v>47</v>
      </c>
      <c r="X101" s="5" t="s">
        <v>47</v>
      </c>
    </row>
    <row r="102" spans="1:24" x14ac:dyDescent="0.25">
      <c r="A102" s="5" t="s">
        <v>34</v>
      </c>
      <c r="B102" s="5" t="s">
        <v>126</v>
      </c>
      <c r="C102" s="5" t="s">
        <v>127</v>
      </c>
      <c r="D102" s="5" t="s">
        <v>37</v>
      </c>
      <c r="E102" s="5" t="s">
        <v>100</v>
      </c>
      <c r="F102" s="5" t="s">
        <v>101</v>
      </c>
      <c r="G102" s="5" t="s">
        <v>40</v>
      </c>
      <c r="H102" s="6">
        <v>45961</v>
      </c>
      <c r="I102" s="6">
        <v>45961</v>
      </c>
      <c r="J102" s="6">
        <v>45964</v>
      </c>
      <c r="K102" s="5" t="s">
        <v>41</v>
      </c>
      <c r="L102" s="5" t="s">
        <v>42</v>
      </c>
      <c r="M102" s="5" t="s">
        <v>43</v>
      </c>
      <c r="N102" s="5" t="s">
        <v>44</v>
      </c>
      <c r="O102" s="7">
        <v>511.48</v>
      </c>
      <c r="P102" s="5" t="s">
        <v>45</v>
      </c>
      <c r="Q102" s="7">
        <v>511.48</v>
      </c>
      <c r="R102" s="5" t="s">
        <v>45</v>
      </c>
      <c r="S102" s="7">
        <v>150.52000000000001</v>
      </c>
      <c r="T102" s="5" t="s">
        <v>46</v>
      </c>
      <c r="U102" s="5" t="s">
        <v>47</v>
      </c>
      <c r="V102" s="5" t="s">
        <v>47</v>
      </c>
      <c r="W102" s="5" t="s">
        <v>47</v>
      </c>
      <c r="X102" s="5" t="s">
        <v>47</v>
      </c>
    </row>
    <row r="103" spans="1:24" x14ac:dyDescent="0.25">
      <c r="A103" s="5" t="s">
        <v>34</v>
      </c>
      <c r="B103" s="5" t="s">
        <v>126</v>
      </c>
      <c r="C103" s="5" t="s">
        <v>127</v>
      </c>
      <c r="D103" s="5" t="s">
        <v>37</v>
      </c>
      <c r="E103" s="5" t="s">
        <v>50</v>
      </c>
      <c r="F103" s="5" t="s">
        <v>51</v>
      </c>
      <c r="G103" s="5" t="s">
        <v>40</v>
      </c>
      <c r="H103" s="6">
        <v>45961</v>
      </c>
      <c r="I103" s="6">
        <v>45961</v>
      </c>
      <c r="J103" s="6">
        <v>45964</v>
      </c>
      <c r="K103" s="5" t="s">
        <v>41</v>
      </c>
      <c r="L103" s="5" t="s">
        <v>42</v>
      </c>
      <c r="M103" s="5" t="s">
        <v>43</v>
      </c>
      <c r="N103" s="5" t="s">
        <v>44</v>
      </c>
      <c r="O103" s="7">
        <v>838.07</v>
      </c>
      <c r="P103" s="5" t="s">
        <v>45</v>
      </c>
      <c r="Q103" s="7">
        <v>838.07</v>
      </c>
      <c r="R103" s="5" t="s">
        <v>45</v>
      </c>
      <c r="S103" s="7">
        <v>246.64</v>
      </c>
      <c r="T103" s="5" t="s">
        <v>46</v>
      </c>
      <c r="U103" s="5" t="s">
        <v>47</v>
      </c>
      <c r="V103" s="5" t="s">
        <v>47</v>
      </c>
      <c r="W103" s="5" t="s">
        <v>47</v>
      </c>
      <c r="X103" s="5" t="s">
        <v>47</v>
      </c>
    </row>
    <row r="104" spans="1:24" x14ac:dyDescent="0.25">
      <c r="A104" s="5" t="s">
        <v>34</v>
      </c>
      <c r="B104" s="5" t="s">
        <v>126</v>
      </c>
      <c r="C104" s="5" t="s">
        <v>127</v>
      </c>
      <c r="D104" s="5" t="s">
        <v>37</v>
      </c>
      <c r="E104" s="5" t="s">
        <v>48</v>
      </c>
      <c r="F104" s="5" t="s">
        <v>49</v>
      </c>
      <c r="G104" s="5" t="s">
        <v>40</v>
      </c>
      <c r="H104" s="6">
        <v>45961</v>
      </c>
      <c r="I104" s="6">
        <v>45961</v>
      </c>
      <c r="J104" s="6">
        <v>45964</v>
      </c>
      <c r="K104" s="5" t="s">
        <v>41</v>
      </c>
      <c r="L104" s="5" t="s">
        <v>42</v>
      </c>
      <c r="M104" s="5" t="s">
        <v>43</v>
      </c>
      <c r="N104" s="5" t="s">
        <v>44</v>
      </c>
      <c r="O104" s="7">
        <v>1066.83</v>
      </c>
      <c r="P104" s="5" t="s">
        <v>45</v>
      </c>
      <c r="Q104" s="7">
        <v>1066.83</v>
      </c>
      <c r="R104" s="5" t="s">
        <v>45</v>
      </c>
      <c r="S104" s="7">
        <v>313.95999999999998</v>
      </c>
      <c r="T104" s="5" t="s">
        <v>46</v>
      </c>
      <c r="U104" s="5" t="s">
        <v>47</v>
      </c>
      <c r="V104" s="5" t="s">
        <v>47</v>
      </c>
      <c r="W104" s="5" t="s">
        <v>47</v>
      </c>
      <c r="X104" s="5" t="s">
        <v>47</v>
      </c>
    </row>
    <row r="105" spans="1:24" x14ac:dyDescent="0.25">
      <c r="A105" s="5" t="s">
        <v>34</v>
      </c>
      <c r="B105" s="5" t="s">
        <v>126</v>
      </c>
      <c r="C105" s="5" t="s">
        <v>127</v>
      </c>
      <c r="D105" s="5" t="s">
        <v>37</v>
      </c>
      <c r="E105" s="5" t="s">
        <v>94</v>
      </c>
      <c r="F105" s="5" t="s">
        <v>95</v>
      </c>
      <c r="G105" s="5" t="s">
        <v>40</v>
      </c>
      <c r="H105" s="6">
        <v>45961</v>
      </c>
      <c r="I105" s="6">
        <v>45961</v>
      </c>
      <c r="J105" s="6">
        <v>45964</v>
      </c>
      <c r="K105" s="5" t="s">
        <v>41</v>
      </c>
      <c r="L105" s="5" t="s">
        <v>42</v>
      </c>
      <c r="M105" s="5" t="s">
        <v>43</v>
      </c>
      <c r="N105" s="5" t="s">
        <v>44</v>
      </c>
      <c r="O105" s="7">
        <v>125</v>
      </c>
      <c r="P105" s="5" t="s">
        <v>45</v>
      </c>
      <c r="Q105" s="7">
        <v>125</v>
      </c>
      <c r="R105" s="5" t="s">
        <v>45</v>
      </c>
      <c r="S105" s="7">
        <v>36.79</v>
      </c>
      <c r="T105" s="5" t="s">
        <v>46</v>
      </c>
      <c r="U105" s="5" t="s">
        <v>47</v>
      </c>
      <c r="V105" s="5" t="s">
        <v>47</v>
      </c>
      <c r="W105" s="5" t="s">
        <v>47</v>
      </c>
      <c r="X105" s="5" t="s">
        <v>47</v>
      </c>
    </row>
    <row r="106" spans="1:24" x14ac:dyDescent="0.25">
      <c r="A106" s="5" t="s">
        <v>34</v>
      </c>
      <c r="B106" s="5" t="s">
        <v>126</v>
      </c>
      <c r="C106" s="5" t="s">
        <v>127</v>
      </c>
      <c r="D106" s="5" t="s">
        <v>37</v>
      </c>
      <c r="E106" s="5" t="s">
        <v>54</v>
      </c>
      <c r="F106" s="5" t="s">
        <v>55</v>
      </c>
      <c r="G106" s="5" t="s">
        <v>40</v>
      </c>
      <c r="H106" s="6">
        <v>45961</v>
      </c>
      <c r="I106" s="6">
        <v>45961</v>
      </c>
      <c r="J106" s="6">
        <v>45964</v>
      </c>
      <c r="K106" s="5" t="s">
        <v>41</v>
      </c>
      <c r="L106" s="5" t="s">
        <v>42</v>
      </c>
      <c r="M106" s="5" t="s">
        <v>43</v>
      </c>
      <c r="N106" s="5" t="s">
        <v>44</v>
      </c>
      <c r="O106" s="7">
        <v>245.77</v>
      </c>
      <c r="P106" s="5" t="s">
        <v>45</v>
      </c>
      <c r="Q106" s="7">
        <v>245.77</v>
      </c>
      <c r="R106" s="5" t="s">
        <v>45</v>
      </c>
      <c r="S106" s="7">
        <v>72.33</v>
      </c>
      <c r="T106" s="5" t="s">
        <v>46</v>
      </c>
      <c r="U106" s="5" t="s">
        <v>47</v>
      </c>
      <c r="V106" s="5" t="s">
        <v>47</v>
      </c>
      <c r="W106" s="5" t="s">
        <v>47</v>
      </c>
      <c r="X106" s="5" t="s">
        <v>47</v>
      </c>
    </row>
    <row r="107" spans="1:24" x14ac:dyDescent="0.25">
      <c r="A107" s="5" t="s">
        <v>34</v>
      </c>
      <c r="B107" s="5" t="s">
        <v>126</v>
      </c>
      <c r="C107" s="5" t="s">
        <v>127</v>
      </c>
      <c r="D107" s="5" t="s">
        <v>37</v>
      </c>
      <c r="E107" s="5" t="s">
        <v>96</v>
      </c>
      <c r="F107" s="5" t="s">
        <v>97</v>
      </c>
      <c r="G107" s="5" t="s">
        <v>40</v>
      </c>
      <c r="H107" s="6">
        <v>45961</v>
      </c>
      <c r="I107" s="6">
        <v>45961</v>
      </c>
      <c r="J107" s="6">
        <v>45964</v>
      </c>
      <c r="K107" s="5" t="s">
        <v>41</v>
      </c>
      <c r="L107" s="5" t="s">
        <v>42</v>
      </c>
      <c r="M107" s="5" t="s">
        <v>43</v>
      </c>
      <c r="N107" s="5" t="s">
        <v>44</v>
      </c>
      <c r="O107" s="7">
        <v>1957.34</v>
      </c>
      <c r="P107" s="5" t="s">
        <v>45</v>
      </c>
      <c r="Q107" s="7">
        <v>1957.34</v>
      </c>
      <c r="R107" s="5" t="s">
        <v>45</v>
      </c>
      <c r="S107" s="7">
        <v>576.03</v>
      </c>
      <c r="T107" s="5" t="s">
        <v>46</v>
      </c>
      <c r="U107" s="5" t="s">
        <v>47</v>
      </c>
      <c r="V107" s="5" t="s">
        <v>47</v>
      </c>
      <c r="W107" s="5" t="s">
        <v>47</v>
      </c>
      <c r="X107" s="5" t="s">
        <v>47</v>
      </c>
    </row>
    <row r="108" spans="1:24" x14ac:dyDescent="0.25">
      <c r="A108" s="5" t="s">
        <v>34</v>
      </c>
      <c r="B108" s="5" t="s">
        <v>126</v>
      </c>
      <c r="C108" s="5" t="s">
        <v>127</v>
      </c>
      <c r="D108" s="5" t="s">
        <v>37</v>
      </c>
      <c r="E108" s="5" t="s">
        <v>86</v>
      </c>
      <c r="F108" s="5" t="s">
        <v>87</v>
      </c>
      <c r="G108" s="5" t="s">
        <v>40</v>
      </c>
      <c r="H108" s="6">
        <v>45961</v>
      </c>
      <c r="I108" s="6">
        <v>45961</v>
      </c>
      <c r="J108" s="6">
        <v>45964</v>
      </c>
      <c r="K108" s="5" t="s">
        <v>41</v>
      </c>
      <c r="L108" s="5" t="s">
        <v>42</v>
      </c>
      <c r="M108" s="5" t="s">
        <v>43</v>
      </c>
      <c r="N108" s="5" t="s">
        <v>44</v>
      </c>
      <c r="O108" s="7">
        <v>1090.4100000000001</v>
      </c>
      <c r="P108" s="5" t="s">
        <v>45</v>
      </c>
      <c r="Q108" s="7">
        <v>1090.4100000000001</v>
      </c>
      <c r="R108" s="5" t="s">
        <v>45</v>
      </c>
      <c r="S108" s="7">
        <v>320.89999999999998</v>
      </c>
      <c r="T108" s="5" t="s">
        <v>46</v>
      </c>
      <c r="U108" s="5" t="s">
        <v>47</v>
      </c>
      <c r="V108" s="5" t="s">
        <v>47</v>
      </c>
      <c r="W108" s="5" t="s">
        <v>47</v>
      </c>
      <c r="X108" s="5" t="s">
        <v>47</v>
      </c>
    </row>
    <row r="109" spans="1:24" x14ac:dyDescent="0.25">
      <c r="A109" s="5" t="s">
        <v>34</v>
      </c>
      <c r="B109" s="5" t="s">
        <v>126</v>
      </c>
      <c r="C109" s="5" t="s">
        <v>127</v>
      </c>
      <c r="D109" s="5" t="s">
        <v>37</v>
      </c>
      <c r="E109" s="5" t="s">
        <v>58</v>
      </c>
      <c r="F109" s="5" t="s">
        <v>59</v>
      </c>
      <c r="G109" s="5" t="s">
        <v>40</v>
      </c>
      <c r="H109" s="6">
        <v>45961</v>
      </c>
      <c r="I109" s="6">
        <v>45961</v>
      </c>
      <c r="J109" s="6">
        <v>45964</v>
      </c>
      <c r="K109" s="5" t="s">
        <v>41</v>
      </c>
      <c r="L109" s="5" t="s">
        <v>42</v>
      </c>
      <c r="M109" s="5" t="s">
        <v>43</v>
      </c>
      <c r="N109" s="5" t="s">
        <v>44</v>
      </c>
      <c r="O109" s="7">
        <v>24.34</v>
      </c>
      <c r="P109" s="5" t="s">
        <v>45</v>
      </c>
      <c r="Q109" s="7">
        <v>24.34</v>
      </c>
      <c r="R109" s="5" t="s">
        <v>45</v>
      </c>
      <c r="S109" s="7">
        <v>7.16</v>
      </c>
      <c r="T109" s="5" t="s">
        <v>46</v>
      </c>
      <c r="U109" s="5" t="s">
        <v>47</v>
      </c>
      <c r="V109" s="5" t="s">
        <v>47</v>
      </c>
      <c r="W109" s="5" t="s">
        <v>47</v>
      </c>
      <c r="X109" s="5" t="s">
        <v>47</v>
      </c>
    </row>
    <row r="110" spans="1:24" x14ac:dyDescent="0.25">
      <c r="A110" s="5" t="s">
        <v>34</v>
      </c>
      <c r="B110" s="5" t="s">
        <v>126</v>
      </c>
      <c r="C110" s="5" t="s">
        <v>127</v>
      </c>
      <c r="D110" s="5" t="s">
        <v>37</v>
      </c>
      <c r="E110" s="5" t="s">
        <v>62</v>
      </c>
      <c r="F110" s="5" t="s">
        <v>63</v>
      </c>
      <c r="G110" s="5" t="s">
        <v>40</v>
      </c>
      <c r="H110" s="6">
        <v>45961</v>
      </c>
      <c r="I110" s="6">
        <v>45961</v>
      </c>
      <c r="J110" s="6">
        <v>45964</v>
      </c>
      <c r="K110" s="5" t="s">
        <v>41</v>
      </c>
      <c r="L110" s="5" t="s">
        <v>42</v>
      </c>
      <c r="M110" s="5" t="s">
        <v>43</v>
      </c>
      <c r="N110" s="5" t="s">
        <v>44</v>
      </c>
      <c r="O110" s="7">
        <v>644.71</v>
      </c>
      <c r="P110" s="5" t="s">
        <v>45</v>
      </c>
      <c r="Q110" s="7">
        <v>644.71</v>
      </c>
      <c r="R110" s="5" t="s">
        <v>45</v>
      </c>
      <c r="S110" s="7">
        <v>189.73</v>
      </c>
      <c r="T110" s="5" t="s">
        <v>46</v>
      </c>
      <c r="U110" s="5" t="s">
        <v>47</v>
      </c>
      <c r="V110" s="5" t="s">
        <v>47</v>
      </c>
      <c r="W110" s="5" t="s">
        <v>47</v>
      </c>
      <c r="X110" s="5" t="s">
        <v>47</v>
      </c>
    </row>
    <row r="111" spans="1:24" x14ac:dyDescent="0.25">
      <c r="A111" s="5" t="s">
        <v>34</v>
      </c>
      <c r="B111" s="5" t="s">
        <v>126</v>
      </c>
      <c r="C111" s="5" t="s">
        <v>127</v>
      </c>
      <c r="D111" s="5" t="s">
        <v>37</v>
      </c>
      <c r="E111" s="5" t="s">
        <v>118</v>
      </c>
      <c r="F111" s="5" t="s">
        <v>119</v>
      </c>
      <c r="G111" s="5" t="s">
        <v>40</v>
      </c>
      <c r="H111" s="6">
        <v>45961</v>
      </c>
      <c r="I111" s="6">
        <v>45961</v>
      </c>
      <c r="J111" s="6">
        <v>45964</v>
      </c>
      <c r="K111" s="5" t="s">
        <v>41</v>
      </c>
      <c r="L111" s="5" t="s">
        <v>42</v>
      </c>
      <c r="M111" s="5" t="s">
        <v>43</v>
      </c>
      <c r="N111" s="5" t="s">
        <v>44</v>
      </c>
      <c r="O111" s="7">
        <v>421.89</v>
      </c>
      <c r="P111" s="5" t="s">
        <v>45</v>
      </c>
      <c r="Q111" s="7">
        <v>421.89</v>
      </c>
      <c r="R111" s="5" t="s">
        <v>45</v>
      </c>
      <c r="S111" s="7">
        <v>124.16</v>
      </c>
      <c r="T111" s="5" t="s">
        <v>46</v>
      </c>
      <c r="U111" s="5" t="s">
        <v>47</v>
      </c>
      <c r="V111" s="5" t="s">
        <v>47</v>
      </c>
      <c r="W111" s="5" t="s">
        <v>47</v>
      </c>
      <c r="X111" s="5" t="s">
        <v>47</v>
      </c>
    </row>
    <row r="112" spans="1:24" x14ac:dyDescent="0.25">
      <c r="A112" s="5" t="s">
        <v>34</v>
      </c>
      <c r="B112" s="5" t="s">
        <v>126</v>
      </c>
      <c r="C112" s="5" t="s">
        <v>127</v>
      </c>
      <c r="D112" s="5" t="s">
        <v>37</v>
      </c>
      <c r="E112" s="5" t="s">
        <v>98</v>
      </c>
      <c r="F112" s="5" t="s">
        <v>99</v>
      </c>
      <c r="G112" s="5" t="s">
        <v>40</v>
      </c>
      <c r="H112" s="6">
        <v>45961</v>
      </c>
      <c r="I112" s="6">
        <v>45961</v>
      </c>
      <c r="J112" s="6">
        <v>45964</v>
      </c>
      <c r="K112" s="5" t="s">
        <v>41</v>
      </c>
      <c r="L112" s="5" t="s">
        <v>42</v>
      </c>
      <c r="M112" s="5" t="s">
        <v>43</v>
      </c>
      <c r="N112" s="5" t="s">
        <v>44</v>
      </c>
      <c r="O112" s="7">
        <v>319.77</v>
      </c>
      <c r="P112" s="5" t="s">
        <v>45</v>
      </c>
      <c r="Q112" s="7">
        <v>319.77</v>
      </c>
      <c r="R112" s="5" t="s">
        <v>45</v>
      </c>
      <c r="S112" s="7">
        <v>94.11</v>
      </c>
      <c r="T112" s="5" t="s">
        <v>46</v>
      </c>
      <c r="U112" s="5" t="s">
        <v>47</v>
      </c>
      <c r="V112" s="5" t="s">
        <v>47</v>
      </c>
      <c r="W112" s="5" t="s">
        <v>47</v>
      </c>
      <c r="X112" s="5" t="s">
        <v>47</v>
      </c>
    </row>
    <row r="113" spans="1:24" x14ac:dyDescent="0.25">
      <c r="A113" s="5" t="s">
        <v>34</v>
      </c>
      <c r="B113" s="5" t="s">
        <v>126</v>
      </c>
      <c r="C113" s="5" t="s">
        <v>127</v>
      </c>
      <c r="D113" s="5" t="s">
        <v>37</v>
      </c>
      <c r="E113" s="5" t="s">
        <v>102</v>
      </c>
      <c r="F113" s="5" t="s">
        <v>103</v>
      </c>
      <c r="G113" s="5" t="s">
        <v>40</v>
      </c>
      <c r="H113" s="6">
        <v>45961</v>
      </c>
      <c r="I113" s="6">
        <v>45961</v>
      </c>
      <c r="J113" s="6">
        <v>45964</v>
      </c>
      <c r="K113" s="5" t="s">
        <v>41</v>
      </c>
      <c r="L113" s="5" t="s">
        <v>42</v>
      </c>
      <c r="M113" s="5" t="s">
        <v>43</v>
      </c>
      <c r="N113" s="5" t="s">
        <v>44</v>
      </c>
      <c r="O113" s="7">
        <v>991.02</v>
      </c>
      <c r="P113" s="5" t="s">
        <v>45</v>
      </c>
      <c r="Q113" s="7">
        <v>991.02</v>
      </c>
      <c r="R113" s="5" t="s">
        <v>45</v>
      </c>
      <c r="S113" s="7">
        <v>291.64999999999998</v>
      </c>
      <c r="T113" s="5" t="s">
        <v>46</v>
      </c>
      <c r="U113" s="5" t="s">
        <v>47</v>
      </c>
      <c r="V113" s="5" t="s">
        <v>47</v>
      </c>
      <c r="W113" s="5" t="s">
        <v>47</v>
      </c>
      <c r="X113" s="5" t="s">
        <v>47</v>
      </c>
    </row>
    <row r="114" spans="1:24" x14ac:dyDescent="0.25">
      <c r="A114" s="5" t="s">
        <v>34</v>
      </c>
      <c r="B114" s="5" t="s">
        <v>126</v>
      </c>
      <c r="C114" s="5" t="s">
        <v>127</v>
      </c>
      <c r="D114" s="5" t="s">
        <v>37</v>
      </c>
      <c r="E114" s="5" t="s">
        <v>56</v>
      </c>
      <c r="F114" s="5" t="s">
        <v>57</v>
      </c>
      <c r="G114" s="5" t="s">
        <v>40</v>
      </c>
      <c r="H114" s="6">
        <v>45961</v>
      </c>
      <c r="I114" s="6">
        <v>45961</v>
      </c>
      <c r="J114" s="6">
        <v>45964</v>
      </c>
      <c r="K114" s="5" t="s">
        <v>41</v>
      </c>
      <c r="L114" s="5" t="s">
        <v>42</v>
      </c>
      <c r="M114" s="5" t="s">
        <v>43</v>
      </c>
      <c r="N114" s="5" t="s">
        <v>44</v>
      </c>
      <c r="O114" s="7">
        <v>646.27</v>
      </c>
      <c r="P114" s="5" t="s">
        <v>45</v>
      </c>
      <c r="Q114" s="7">
        <v>646.27</v>
      </c>
      <c r="R114" s="5" t="s">
        <v>45</v>
      </c>
      <c r="S114" s="7">
        <v>190.19</v>
      </c>
      <c r="T114" s="5" t="s">
        <v>46</v>
      </c>
      <c r="U114" s="5" t="s">
        <v>47</v>
      </c>
      <c r="V114" s="5" t="s">
        <v>47</v>
      </c>
      <c r="W114" s="5" t="s">
        <v>47</v>
      </c>
      <c r="X114" s="5" t="s">
        <v>47</v>
      </c>
    </row>
    <row r="115" spans="1:24" x14ac:dyDescent="0.25">
      <c r="A115" s="5" t="s">
        <v>34</v>
      </c>
      <c r="B115" s="5" t="s">
        <v>126</v>
      </c>
      <c r="C115" s="5" t="s">
        <v>127</v>
      </c>
      <c r="D115" s="5" t="s">
        <v>37</v>
      </c>
      <c r="E115" s="5" t="s">
        <v>112</v>
      </c>
      <c r="F115" s="5" t="s">
        <v>113</v>
      </c>
      <c r="G115" s="5" t="s">
        <v>40</v>
      </c>
      <c r="H115" s="6">
        <v>45961</v>
      </c>
      <c r="I115" s="6">
        <v>45961</v>
      </c>
      <c r="J115" s="6">
        <v>45964</v>
      </c>
      <c r="K115" s="5" t="s">
        <v>41</v>
      </c>
      <c r="L115" s="5" t="s">
        <v>42</v>
      </c>
      <c r="M115" s="5" t="s">
        <v>43</v>
      </c>
      <c r="N115" s="5" t="s">
        <v>44</v>
      </c>
      <c r="O115" s="7">
        <v>22.21</v>
      </c>
      <c r="P115" s="5" t="s">
        <v>45</v>
      </c>
      <c r="Q115" s="7">
        <v>22.21</v>
      </c>
      <c r="R115" s="5" t="s">
        <v>45</v>
      </c>
      <c r="S115" s="7">
        <v>6.54</v>
      </c>
      <c r="T115" s="5" t="s">
        <v>46</v>
      </c>
      <c r="U115" s="5" t="s">
        <v>47</v>
      </c>
      <c r="V115" s="5" t="s">
        <v>47</v>
      </c>
      <c r="W115" s="5" t="s">
        <v>47</v>
      </c>
      <c r="X115" s="5" t="s">
        <v>47</v>
      </c>
    </row>
    <row r="116" spans="1:24" x14ac:dyDescent="0.25">
      <c r="A116" s="5" t="s">
        <v>34</v>
      </c>
      <c r="B116" s="5" t="s">
        <v>126</v>
      </c>
      <c r="C116" s="5" t="s">
        <v>127</v>
      </c>
      <c r="D116" s="5" t="s">
        <v>37</v>
      </c>
      <c r="E116" s="5" t="s">
        <v>114</v>
      </c>
      <c r="F116" s="5" t="s">
        <v>115</v>
      </c>
      <c r="G116" s="5" t="s">
        <v>40</v>
      </c>
      <c r="H116" s="6">
        <v>45961</v>
      </c>
      <c r="I116" s="6">
        <v>45961</v>
      </c>
      <c r="J116" s="6">
        <v>45964</v>
      </c>
      <c r="K116" s="5" t="s">
        <v>41</v>
      </c>
      <c r="L116" s="5" t="s">
        <v>42</v>
      </c>
      <c r="M116" s="5" t="s">
        <v>43</v>
      </c>
      <c r="N116" s="5" t="s">
        <v>44</v>
      </c>
      <c r="O116" s="7">
        <v>582.27</v>
      </c>
      <c r="P116" s="5" t="s">
        <v>45</v>
      </c>
      <c r="Q116" s="7">
        <v>582.27</v>
      </c>
      <c r="R116" s="5" t="s">
        <v>45</v>
      </c>
      <c r="S116" s="7">
        <v>171.36</v>
      </c>
      <c r="T116" s="5" t="s">
        <v>46</v>
      </c>
      <c r="U116" s="5" t="s">
        <v>47</v>
      </c>
      <c r="V116" s="5" t="s">
        <v>47</v>
      </c>
      <c r="W116" s="5" t="s">
        <v>47</v>
      </c>
      <c r="X116" s="5" t="s">
        <v>47</v>
      </c>
    </row>
    <row r="117" spans="1:24" x14ac:dyDescent="0.25">
      <c r="A117" s="5" t="s">
        <v>34</v>
      </c>
      <c r="B117" s="5" t="s">
        <v>126</v>
      </c>
      <c r="C117" s="5" t="s">
        <v>127</v>
      </c>
      <c r="D117" s="5" t="s">
        <v>37</v>
      </c>
      <c r="E117" s="5" t="s">
        <v>84</v>
      </c>
      <c r="F117" s="5" t="s">
        <v>85</v>
      </c>
      <c r="G117" s="5" t="s">
        <v>40</v>
      </c>
      <c r="H117" s="6">
        <v>45961</v>
      </c>
      <c r="I117" s="6">
        <v>45961</v>
      </c>
      <c r="J117" s="6">
        <v>45964</v>
      </c>
      <c r="K117" s="5" t="s">
        <v>41</v>
      </c>
      <c r="L117" s="5" t="s">
        <v>42</v>
      </c>
      <c r="M117" s="5" t="s">
        <v>43</v>
      </c>
      <c r="N117" s="5" t="s">
        <v>44</v>
      </c>
      <c r="O117" s="7">
        <v>46.66</v>
      </c>
      <c r="P117" s="5" t="s">
        <v>45</v>
      </c>
      <c r="Q117" s="7">
        <v>46.66</v>
      </c>
      <c r="R117" s="5" t="s">
        <v>45</v>
      </c>
      <c r="S117" s="7">
        <v>13.73</v>
      </c>
      <c r="T117" s="5" t="s">
        <v>46</v>
      </c>
      <c r="U117" s="5" t="s">
        <v>47</v>
      </c>
      <c r="V117" s="5" t="s">
        <v>47</v>
      </c>
      <c r="W117" s="5" t="s">
        <v>47</v>
      </c>
      <c r="X117" s="5" t="s">
        <v>47</v>
      </c>
    </row>
    <row r="118" spans="1:24" x14ac:dyDescent="0.25">
      <c r="A118" s="5" t="s">
        <v>34</v>
      </c>
      <c r="B118" s="5" t="s">
        <v>126</v>
      </c>
      <c r="C118" s="5" t="s">
        <v>127</v>
      </c>
      <c r="D118" s="5" t="s">
        <v>37</v>
      </c>
      <c r="E118" s="5" t="s">
        <v>60</v>
      </c>
      <c r="F118" s="5" t="s">
        <v>61</v>
      </c>
      <c r="G118" s="5" t="s">
        <v>40</v>
      </c>
      <c r="H118" s="6">
        <v>45961</v>
      </c>
      <c r="I118" s="6">
        <v>45961</v>
      </c>
      <c r="J118" s="6">
        <v>45964</v>
      </c>
      <c r="K118" s="5" t="s">
        <v>41</v>
      </c>
      <c r="L118" s="5" t="s">
        <v>42</v>
      </c>
      <c r="M118" s="5" t="s">
        <v>43</v>
      </c>
      <c r="N118" s="5" t="s">
        <v>44</v>
      </c>
      <c r="O118" s="7">
        <v>1198.4100000000001</v>
      </c>
      <c r="P118" s="5" t="s">
        <v>45</v>
      </c>
      <c r="Q118" s="7">
        <v>1198.4100000000001</v>
      </c>
      <c r="R118" s="5" t="s">
        <v>45</v>
      </c>
      <c r="S118" s="7">
        <v>352.68</v>
      </c>
      <c r="T118" s="5" t="s">
        <v>46</v>
      </c>
      <c r="U118" s="5" t="s">
        <v>47</v>
      </c>
      <c r="V118" s="5" t="s">
        <v>47</v>
      </c>
      <c r="W118" s="5" t="s">
        <v>47</v>
      </c>
      <c r="X118" s="5" t="s">
        <v>47</v>
      </c>
    </row>
    <row r="119" spans="1:24" x14ac:dyDescent="0.25">
      <c r="A119" s="5" t="s">
        <v>34</v>
      </c>
      <c r="B119" s="5" t="s">
        <v>126</v>
      </c>
      <c r="C119" s="5" t="s">
        <v>127</v>
      </c>
      <c r="D119" s="5" t="s">
        <v>37</v>
      </c>
      <c r="E119" s="5" t="s">
        <v>88</v>
      </c>
      <c r="F119" s="5" t="s">
        <v>89</v>
      </c>
      <c r="G119" s="5" t="s">
        <v>40</v>
      </c>
      <c r="H119" s="6">
        <v>45961</v>
      </c>
      <c r="I119" s="6">
        <v>45961</v>
      </c>
      <c r="J119" s="6">
        <v>45964</v>
      </c>
      <c r="K119" s="5" t="s">
        <v>41</v>
      </c>
      <c r="L119" s="5" t="s">
        <v>42</v>
      </c>
      <c r="M119" s="5" t="s">
        <v>43</v>
      </c>
      <c r="N119" s="5" t="s">
        <v>44</v>
      </c>
      <c r="O119" s="7">
        <v>618.64</v>
      </c>
      <c r="P119" s="5" t="s">
        <v>45</v>
      </c>
      <c r="Q119" s="7">
        <v>618.64</v>
      </c>
      <c r="R119" s="5" t="s">
        <v>45</v>
      </c>
      <c r="S119" s="7">
        <v>182.06</v>
      </c>
      <c r="T119" s="5" t="s">
        <v>46</v>
      </c>
      <c r="U119" s="5" t="s">
        <v>47</v>
      </c>
      <c r="V119" s="5" t="s">
        <v>47</v>
      </c>
      <c r="W119" s="5" t="s">
        <v>47</v>
      </c>
      <c r="X119" s="5" t="s">
        <v>47</v>
      </c>
    </row>
    <row r="120" spans="1:24" x14ac:dyDescent="0.25">
      <c r="A120" s="5" t="s">
        <v>34</v>
      </c>
      <c r="B120" s="5" t="s">
        <v>126</v>
      </c>
      <c r="C120" s="5" t="s">
        <v>127</v>
      </c>
      <c r="D120" s="5" t="s">
        <v>37</v>
      </c>
      <c r="E120" s="5" t="s">
        <v>74</v>
      </c>
      <c r="F120" s="5" t="s">
        <v>75</v>
      </c>
      <c r="G120" s="5" t="s">
        <v>40</v>
      </c>
      <c r="H120" s="6">
        <v>45961</v>
      </c>
      <c r="I120" s="6">
        <v>45961</v>
      </c>
      <c r="J120" s="6">
        <v>45964</v>
      </c>
      <c r="K120" s="5" t="s">
        <v>41</v>
      </c>
      <c r="L120" s="5" t="s">
        <v>42</v>
      </c>
      <c r="M120" s="5" t="s">
        <v>43</v>
      </c>
      <c r="N120" s="5" t="s">
        <v>44</v>
      </c>
      <c r="O120" s="7">
        <v>854.47</v>
      </c>
      <c r="P120" s="5" t="s">
        <v>45</v>
      </c>
      <c r="Q120" s="7">
        <v>854.47</v>
      </c>
      <c r="R120" s="5" t="s">
        <v>45</v>
      </c>
      <c r="S120" s="7">
        <v>251.46</v>
      </c>
      <c r="T120" s="5" t="s">
        <v>46</v>
      </c>
      <c r="U120" s="5" t="s">
        <v>47</v>
      </c>
      <c r="V120" s="5" t="s">
        <v>47</v>
      </c>
      <c r="W120" s="5" t="s">
        <v>47</v>
      </c>
      <c r="X120" s="5" t="s">
        <v>47</v>
      </c>
    </row>
    <row r="121" spans="1:24" x14ac:dyDescent="0.25">
      <c r="A121" s="5" t="s">
        <v>34</v>
      </c>
      <c r="B121" s="5" t="s">
        <v>126</v>
      </c>
      <c r="C121" s="5" t="s">
        <v>127</v>
      </c>
      <c r="D121" s="5" t="s">
        <v>37</v>
      </c>
      <c r="E121" s="5" t="s">
        <v>72</v>
      </c>
      <c r="F121" s="5" t="s">
        <v>73</v>
      </c>
      <c r="G121" s="5" t="s">
        <v>40</v>
      </c>
      <c r="H121" s="6">
        <v>45961</v>
      </c>
      <c r="I121" s="6">
        <v>45961</v>
      </c>
      <c r="J121" s="6">
        <v>45964</v>
      </c>
      <c r="K121" s="5" t="s">
        <v>41</v>
      </c>
      <c r="L121" s="5" t="s">
        <v>42</v>
      </c>
      <c r="M121" s="5" t="s">
        <v>43</v>
      </c>
      <c r="N121" s="5" t="s">
        <v>44</v>
      </c>
      <c r="O121" s="7">
        <v>409.49</v>
      </c>
      <c r="P121" s="5" t="s">
        <v>45</v>
      </c>
      <c r="Q121" s="7">
        <v>409.49</v>
      </c>
      <c r="R121" s="5" t="s">
        <v>45</v>
      </c>
      <c r="S121" s="7">
        <v>120.51</v>
      </c>
      <c r="T121" s="5" t="s">
        <v>46</v>
      </c>
      <c r="U121" s="5" t="s">
        <v>47</v>
      </c>
      <c r="V121" s="5" t="s">
        <v>47</v>
      </c>
      <c r="W121" s="5" t="s">
        <v>47</v>
      </c>
      <c r="X121" s="5" t="s">
        <v>47</v>
      </c>
    </row>
    <row r="122" spans="1:24" x14ac:dyDescent="0.25">
      <c r="A122" s="5" t="s">
        <v>34</v>
      </c>
      <c r="B122" s="5" t="s">
        <v>126</v>
      </c>
      <c r="C122" s="5" t="s">
        <v>127</v>
      </c>
      <c r="D122" s="5" t="s">
        <v>37</v>
      </c>
      <c r="E122" s="5" t="s">
        <v>90</v>
      </c>
      <c r="F122" s="5" t="s">
        <v>91</v>
      </c>
      <c r="G122" s="5" t="s">
        <v>40</v>
      </c>
      <c r="H122" s="6">
        <v>45961</v>
      </c>
      <c r="I122" s="6">
        <v>45961</v>
      </c>
      <c r="J122" s="6">
        <v>45964</v>
      </c>
      <c r="K122" s="5" t="s">
        <v>41</v>
      </c>
      <c r="L122" s="5" t="s">
        <v>42</v>
      </c>
      <c r="M122" s="5" t="s">
        <v>43</v>
      </c>
      <c r="N122" s="5" t="s">
        <v>44</v>
      </c>
      <c r="O122" s="7">
        <v>66.62</v>
      </c>
      <c r="P122" s="5" t="s">
        <v>45</v>
      </c>
      <c r="Q122" s="7">
        <v>66.62</v>
      </c>
      <c r="R122" s="5" t="s">
        <v>45</v>
      </c>
      <c r="S122" s="7">
        <v>19.61</v>
      </c>
      <c r="T122" s="5" t="s">
        <v>46</v>
      </c>
      <c r="U122" s="5" t="s">
        <v>47</v>
      </c>
      <c r="V122" s="5" t="s">
        <v>47</v>
      </c>
      <c r="W122" s="5" t="s">
        <v>47</v>
      </c>
      <c r="X122" s="5" t="s">
        <v>47</v>
      </c>
    </row>
    <row r="123" spans="1:24" x14ac:dyDescent="0.25">
      <c r="A123" s="5" t="s">
        <v>34</v>
      </c>
      <c r="B123" s="5" t="s">
        <v>128</v>
      </c>
      <c r="C123" s="5" t="s">
        <v>129</v>
      </c>
      <c r="D123" s="5" t="s">
        <v>37</v>
      </c>
      <c r="E123" s="5" t="s">
        <v>54</v>
      </c>
      <c r="F123" s="5" t="s">
        <v>55</v>
      </c>
      <c r="G123" s="5" t="s">
        <v>40</v>
      </c>
      <c r="H123" s="6">
        <v>45961</v>
      </c>
      <c r="I123" s="6">
        <v>45961</v>
      </c>
      <c r="J123" s="6">
        <v>45964</v>
      </c>
      <c r="K123" s="5" t="s">
        <v>41</v>
      </c>
      <c r="L123" s="5" t="s">
        <v>42</v>
      </c>
      <c r="M123" s="5" t="s">
        <v>43</v>
      </c>
      <c r="N123" s="5" t="s">
        <v>44</v>
      </c>
      <c r="O123" s="7">
        <v>86.26</v>
      </c>
      <c r="P123" s="5" t="s">
        <v>45</v>
      </c>
      <c r="Q123" s="7">
        <v>86.26</v>
      </c>
      <c r="R123" s="5" t="s">
        <v>45</v>
      </c>
      <c r="S123" s="7">
        <v>25.39</v>
      </c>
      <c r="T123" s="5" t="s">
        <v>46</v>
      </c>
      <c r="U123" s="5" t="s">
        <v>47</v>
      </c>
      <c r="V123" s="5" t="s">
        <v>47</v>
      </c>
      <c r="W123" s="5" t="s">
        <v>47</v>
      </c>
      <c r="X123" s="5" t="s">
        <v>47</v>
      </c>
    </row>
    <row r="124" spans="1:24" x14ac:dyDescent="0.25">
      <c r="A124" s="5" t="s">
        <v>34</v>
      </c>
      <c r="B124" s="5" t="s">
        <v>128</v>
      </c>
      <c r="C124" s="5" t="s">
        <v>129</v>
      </c>
      <c r="D124" s="5" t="s">
        <v>37</v>
      </c>
      <c r="E124" s="5" t="s">
        <v>114</v>
      </c>
      <c r="F124" s="5" t="s">
        <v>115</v>
      </c>
      <c r="G124" s="5" t="s">
        <v>40</v>
      </c>
      <c r="H124" s="6">
        <v>45961</v>
      </c>
      <c r="I124" s="6">
        <v>45961</v>
      </c>
      <c r="J124" s="6">
        <v>45964</v>
      </c>
      <c r="K124" s="5" t="s">
        <v>41</v>
      </c>
      <c r="L124" s="5" t="s">
        <v>42</v>
      </c>
      <c r="M124" s="5" t="s">
        <v>43</v>
      </c>
      <c r="N124" s="5" t="s">
        <v>44</v>
      </c>
      <c r="O124" s="7">
        <v>217.44</v>
      </c>
      <c r="P124" s="5" t="s">
        <v>45</v>
      </c>
      <c r="Q124" s="7">
        <v>217.44</v>
      </c>
      <c r="R124" s="5" t="s">
        <v>45</v>
      </c>
      <c r="S124" s="7">
        <v>63.99</v>
      </c>
      <c r="T124" s="5" t="s">
        <v>46</v>
      </c>
      <c r="U124" s="5" t="s">
        <v>47</v>
      </c>
      <c r="V124" s="5" t="s">
        <v>47</v>
      </c>
      <c r="W124" s="5" t="s">
        <v>47</v>
      </c>
      <c r="X124" s="5" t="s">
        <v>47</v>
      </c>
    </row>
    <row r="125" spans="1:24" x14ac:dyDescent="0.25">
      <c r="A125" s="5" t="s">
        <v>34</v>
      </c>
      <c r="B125" s="5" t="s">
        <v>128</v>
      </c>
      <c r="C125" s="5" t="s">
        <v>129</v>
      </c>
      <c r="D125" s="5" t="s">
        <v>37</v>
      </c>
      <c r="E125" s="5" t="s">
        <v>122</v>
      </c>
      <c r="F125" s="5" t="s">
        <v>123</v>
      </c>
      <c r="G125" s="5" t="s">
        <v>40</v>
      </c>
      <c r="H125" s="6">
        <v>45961</v>
      </c>
      <c r="I125" s="6">
        <v>45961</v>
      </c>
      <c r="J125" s="6">
        <v>45964</v>
      </c>
      <c r="K125" s="5" t="s">
        <v>41</v>
      </c>
      <c r="L125" s="5" t="s">
        <v>42</v>
      </c>
      <c r="M125" s="5" t="s">
        <v>43</v>
      </c>
      <c r="N125" s="5" t="s">
        <v>44</v>
      </c>
      <c r="O125" s="7">
        <v>41.14</v>
      </c>
      <c r="P125" s="5" t="s">
        <v>45</v>
      </c>
      <c r="Q125" s="7">
        <v>41.14</v>
      </c>
      <c r="R125" s="5" t="s">
        <v>45</v>
      </c>
      <c r="S125" s="7">
        <v>12.11</v>
      </c>
      <c r="T125" s="5" t="s">
        <v>46</v>
      </c>
      <c r="U125" s="5" t="s">
        <v>47</v>
      </c>
      <c r="V125" s="5" t="s">
        <v>47</v>
      </c>
      <c r="W125" s="5" t="s">
        <v>47</v>
      </c>
      <c r="X125" s="5" t="s">
        <v>47</v>
      </c>
    </row>
    <row r="126" spans="1:24" x14ac:dyDescent="0.25">
      <c r="A126" s="5" t="s">
        <v>34</v>
      </c>
      <c r="B126" s="5" t="s">
        <v>128</v>
      </c>
      <c r="C126" s="5" t="s">
        <v>129</v>
      </c>
      <c r="D126" s="5" t="s">
        <v>37</v>
      </c>
      <c r="E126" s="5" t="s">
        <v>80</v>
      </c>
      <c r="F126" s="5" t="s">
        <v>81</v>
      </c>
      <c r="G126" s="5" t="s">
        <v>40</v>
      </c>
      <c r="H126" s="6">
        <v>45961</v>
      </c>
      <c r="I126" s="6">
        <v>45961</v>
      </c>
      <c r="J126" s="6">
        <v>45964</v>
      </c>
      <c r="K126" s="5" t="s">
        <v>41</v>
      </c>
      <c r="L126" s="5" t="s">
        <v>42</v>
      </c>
      <c r="M126" s="5" t="s">
        <v>43</v>
      </c>
      <c r="N126" s="5" t="s">
        <v>44</v>
      </c>
      <c r="O126" s="7">
        <v>141.96</v>
      </c>
      <c r="P126" s="5" t="s">
        <v>45</v>
      </c>
      <c r="Q126" s="7">
        <v>141.96</v>
      </c>
      <c r="R126" s="5" t="s">
        <v>45</v>
      </c>
      <c r="S126" s="7">
        <v>41.78</v>
      </c>
      <c r="T126" s="5" t="s">
        <v>46</v>
      </c>
      <c r="U126" s="5" t="s">
        <v>47</v>
      </c>
      <c r="V126" s="5" t="s">
        <v>47</v>
      </c>
      <c r="W126" s="5" t="s">
        <v>47</v>
      </c>
      <c r="X126" s="5" t="s">
        <v>47</v>
      </c>
    </row>
    <row r="127" spans="1:24" x14ac:dyDescent="0.25">
      <c r="A127" s="5" t="s">
        <v>34</v>
      </c>
      <c r="B127" s="5" t="s">
        <v>128</v>
      </c>
      <c r="C127" s="5" t="s">
        <v>129</v>
      </c>
      <c r="D127" s="5" t="s">
        <v>37</v>
      </c>
      <c r="E127" s="5" t="s">
        <v>112</v>
      </c>
      <c r="F127" s="5" t="s">
        <v>113</v>
      </c>
      <c r="G127" s="5" t="s">
        <v>40</v>
      </c>
      <c r="H127" s="6">
        <v>45961</v>
      </c>
      <c r="I127" s="6">
        <v>45961</v>
      </c>
      <c r="J127" s="6">
        <v>45964</v>
      </c>
      <c r="K127" s="5" t="s">
        <v>41</v>
      </c>
      <c r="L127" s="5" t="s">
        <v>42</v>
      </c>
      <c r="M127" s="5" t="s">
        <v>43</v>
      </c>
      <c r="N127" s="5" t="s">
        <v>44</v>
      </c>
      <c r="O127" s="7">
        <v>26.98</v>
      </c>
      <c r="P127" s="5" t="s">
        <v>45</v>
      </c>
      <c r="Q127" s="7">
        <v>26.98</v>
      </c>
      <c r="R127" s="5" t="s">
        <v>45</v>
      </c>
      <c r="S127" s="7">
        <v>7.94</v>
      </c>
      <c r="T127" s="5" t="s">
        <v>46</v>
      </c>
      <c r="U127" s="5" t="s">
        <v>47</v>
      </c>
      <c r="V127" s="5" t="s">
        <v>47</v>
      </c>
      <c r="W127" s="5" t="s">
        <v>47</v>
      </c>
      <c r="X127" s="5" t="s">
        <v>47</v>
      </c>
    </row>
    <row r="128" spans="1:24" x14ac:dyDescent="0.25">
      <c r="A128" s="5" t="s">
        <v>34</v>
      </c>
      <c r="B128" s="5" t="s">
        <v>128</v>
      </c>
      <c r="C128" s="5" t="s">
        <v>129</v>
      </c>
      <c r="D128" s="5" t="s">
        <v>37</v>
      </c>
      <c r="E128" s="5" t="s">
        <v>56</v>
      </c>
      <c r="F128" s="5" t="s">
        <v>57</v>
      </c>
      <c r="G128" s="5" t="s">
        <v>40</v>
      </c>
      <c r="H128" s="6">
        <v>45961</v>
      </c>
      <c r="I128" s="6">
        <v>45961</v>
      </c>
      <c r="J128" s="6">
        <v>45964</v>
      </c>
      <c r="K128" s="5" t="s">
        <v>41</v>
      </c>
      <c r="L128" s="5" t="s">
        <v>42</v>
      </c>
      <c r="M128" s="5" t="s">
        <v>43</v>
      </c>
      <c r="N128" s="5" t="s">
        <v>44</v>
      </c>
      <c r="O128" s="7">
        <v>343.73</v>
      </c>
      <c r="P128" s="5" t="s">
        <v>45</v>
      </c>
      <c r="Q128" s="7">
        <v>343.73</v>
      </c>
      <c r="R128" s="5" t="s">
        <v>45</v>
      </c>
      <c r="S128" s="7">
        <v>101.16</v>
      </c>
      <c r="T128" s="5" t="s">
        <v>46</v>
      </c>
      <c r="U128" s="5" t="s">
        <v>47</v>
      </c>
      <c r="V128" s="5" t="s">
        <v>47</v>
      </c>
      <c r="W128" s="5" t="s">
        <v>47</v>
      </c>
      <c r="X128" s="5" t="s">
        <v>47</v>
      </c>
    </row>
    <row r="129" spans="1:24" x14ac:dyDescent="0.25">
      <c r="A129" s="5" t="s">
        <v>34</v>
      </c>
      <c r="B129" s="5" t="s">
        <v>128</v>
      </c>
      <c r="C129" s="5" t="s">
        <v>129</v>
      </c>
      <c r="D129" s="5" t="s">
        <v>37</v>
      </c>
      <c r="E129" s="5" t="s">
        <v>94</v>
      </c>
      <c r="F129" s="5" t="s">
        <v>95</v>
      </c>
      <c r="G129" s="5" t="s">
        <v>40</v>
      </c>
      <c r="H129" s="6">
        <v>45961</v>
      </c>
      <c r="I129" s="6">
        <v>45961</v>
      </c>
      <c r="J129" s="6">
        <v>45964</v>
      </c>
      <c r="K129" s="5" t="s">
        <v>41</v>
      </c>
      <c r="L129" s="5" t="s">
        <v>42</v>
      </c>
      <c r="M129" s="5" t="s">
        <v>43</v>
      </c>
      <c r="N129" s="5" t="s">
        <v>44</v>
      </c>
      <c r="O129" s="7">
        <v>166.57</v>
      </c>
      <c r="P129" s="5" t="s">
        <v>45</v>
      </c>
      <c r="Q129" s="7">
        <v>166.57</v>
      </c>
      <c r="R129" s="5" t="s">
        <v>45</v>
      </c>
      <c r="S129" s="7">
        <v>49.02</v>
      </c>
      <c r="T129" s="5" t="s">
        <v>46</v>
      </c>
      <c r="U129" s="5" t="s">
        <v>47</v>
      </c>
      <c r="V129" s="5" t="s">
        <v>47</v>
      </c>
      <c r="W129" s="5" t="s">
        <v>47</v>
      </c>
      <c r="X129" s="5" t="s">
        <v>47</v>
      </c>
    </row>
    <row r="130" spans="1:24" x14ac:dyDescent="0.25">
      <c r="A130" s="5" t="s">
        <v>34</v>
      </c>
      <c r="B130" s="5" t="s">
        <v>128</v>
      </c>
      <c r="C130" s="5" t="s">
        <v>129</v>
      </c>
      <c r="D130" s="5" t="s">
        <v>37</v>
      </c>
      <c r="E130" s="5" t="s">
        <v>90</v>
      </c>
      <c r="F130" s="5" t="s">
        <v>91</v>
      </c>
      <c r="G130" s="5" t="s">
        <v>40</v>
      </c>
      <c r="H130" s="6">
        <v>45961</v>
      </c>
      <c r="I130" s="6">
        <v>45961</v>
      </c>
      <c r="J130" s="6">
        <v>45964</v>
      </c>
      <c r="K130" s="5" t="s">
        <v>41</v>
      </c>
      <c r="L130" s="5" t="s">
        <v>42</v>
      </c>
      <c r="M130" s="5" t="s">
        <v>43</v>
      </c>
      <c r="N130" s="5" t="s">
        <v>44</v>
      </c>
      <c r="O130" s="7">
        <v>50.97</v>
      </c>
      <c r="P130" s="5" t="s">
        <v>45</v>
      </c>
      <c r="Q130" s="7">
        <v>50.97</v>
      </c>
      <c r="R130" s="5" t="s">
        <v>45</v>
      </c>
      <c r="S130" s="7">
        <v>15</v>
      </c>
      <c r="T130" s="5" t="s">
        <v>46</v>
      </c>
      <c r="U130" s="5" t="s">
        <v>47</v>
      </c>
      <c r="V130" s="5" t="s">
        <v>47</v>
      </c>
      <c r="W130" s="5" t="s">
        <v>47</v>
      </c>
      <c r="X130" s="5" t="s">
        <v>47</v>
      </c>
    </row>
    <row r="131" spans="1:24" x14ac:dyDescent="0.25">
      <c r="A131" s="5" t="s">
        <v>34</v>
      </c>
      <c r="B131" s="5" t="s">
        <v>128</v>
      </c>
      <c r="C131" s="5" t="s">
        <v>129</v>
      </c>
      <c r="D131" s="5" t="s">
        <v>37</v>
      </c>
      <c r="E131" s="5" t="s">
        <v>60</v>
      </c>
      <c r="F131" s="5" t="s">
        <v>61</v>
      </c>
      <c r="G131" s="5" t="s">
        <v>40</v>
      </c>
      <c r="H131" s="6">
        <v>45961</v>
      </c>
      <c r="I131" s="6">
        <v>45961</v>
      </c>
      <c r="J131" s="6">
        <v>45964</v>
      </c>
      <c r="K131" s="5" t="s">
        <v>41</v>
      </c>
      <c r="L131" s="5" t="s">
        <v>42</v>
      </c>
      <c r="M131" s="5" t="s">
        <v>43</v>
      </c>
      <c r="N131" s="5" t="s">
        <v>44</v>
      </c>
      <c r="O131" s="7">
        <v>1329.46</v>
      </c>
      <c r="P131" s="5" t="s">
        <v>45</v>
      </c>
      <c r="Q131" s="7">
        <v>1329.46</v>
      </c>
      <c r="R131" s="5" t="s">
        <v>45</v>
      </c>
      <c r="S131" s="7">
        <v>391.25</v>
      </c>
      <c r="T131" s="5" t="s">
        <v>46</v>
      </c>
      <c r="U131" s="5" t="s">
        <v>47</v>
      </c>
      <c r="V131" s="5" t="s">
        <v>47</v>
      </c>
      <c r="W131" s="5" t="s">
        <v>47</v>
      </c>
      <c r="X131" s="5" t="s">
        <v>47</v>
      </c>
    </row>
    <row r="132" spans="1:24" x14ac:dyDescent="0.25">
      <c r="A132" s="5" t="s">
        <v>34</v>
      </c>
      <c r="B132" s="5" t="s">
        <v>128</v>
      </c>
      <c r="C132" s="5" t="s">
        <v>129</v>
      </c>
      <c r="D132" s="5" t="s">
        <v>37</v>
      </c>
      <c r="E132" s="5" t="s">
        <v>102</v>
      </c>
      <c r="F132" s="5" t="s">
        <v>103</v>
      </c>
      <c r="G132" s="5" t="s">
        <v>40</v>
      </c>
      <c r="H132" s="6">
        <v>45961</v>
      </c>
      <c r="I132" s="6">
        <v>45961</v>
      </c>
      <c r="J132" s="6">
        <v>45964</v>
      </c>
      <c r="K132" s="5" t="s">
        <v>41</v>
      </c>
      <c r="L132" s="5" t="s">
        <v>42</v>
      </c>
      <c r="M132" s="5" t="s">
        <v>43</v>
      </c>
      <c r="N132" s="5" t="s">
        <v>44</v>
      </c>
      <c r="O132" s="7">
        <v>203.43</v>
      </c>
      <c r="P132" s="5" t="s">
        <v>45</v>
      </c>
      <c r="Q132" s="7">
        <v>203.43</v>
      </c>
      <c r="R132" s="5" t="s">
        <v>45</v>
      </c>
      <c r="S132" s="7">
        <v>59.87</v>
      </c>
      <c r="T132" s="5" t="s">
        <v>46</v>
      </c>
      <c r="U132" s="5" t="s">
        <v>47</v>
      </c>
      <c r="V132" s="5" t="s">
        <v>47</v>
      </c>
      <c r="W132" s="5" t="s">
        <v>47</v>
      </c>
      <c r="X132" s="5" t="s">
        <v>47</v>
      </c>
    </row>
    <row r="133" spans="1:24" x14ac:dyDescent="0.25">
      <c r="A133" s="5" t="s">
        <v>34</v>
      </c>
      <c r="B133" s="5" t="s">
        <v>128</v>
      </c>
      <c r="C133" s="5" t="s">
        <v>129</v>
      </c>
      <c r="D133" s="5" t="s">
        <v>37</v>
      </c>
      <c r="E133" s="5" t="s">
        <v>96</v>
      </c>
      <c r="F133" s="5" t="s">
        <v>97</v>
      </c>
      <c r="G133" s="5" t="s">
        <v>40</v>
      </c>
      <c r="H133" s="6">
        <v>45961</v>
      </c>
      <c r="I133" s="6">
        <v>45961</v>
      </c>
      <c r="J133" s="6">
        <v>45964</v>
      </c>
      <c r="K133" s="5" t="s">
        <v>41</v>
      </c>
      <c r="L133" s="5" t="s">
        <v>42</v>
      </c>
      <c r="M133" s="5" t="s">
        <v>43</v>
      </c>
      <c r="N133" s="5" t="s">
        <v>44</v>
      </c>
      <c r="O133" s="7">
        <v>749.42</v>
      </c>
      <c r="P133" s="5" t="s">
        <v>45</v>
      </c>
      <c r="Q133" s="7">
        <v>749.42</v>
      </c>
      <c r="R133" s="5" t="s">
        <v>45</v>
      </c>
      <c r="S133" s="7">
        <v>220.55</v>
      </c>
      <c r="T133" s="5" t="s">
        <v>46</v>
      </c>
      <c r="U133" s="5" t="s">
        <v>47</v>
      </c>
      <c r="V133" s="5" t="s">
        <v>47</v>
      </c>
      <c r="W133" s="5" t="s">
        <v>47</v>
      </c>
      <c r="X133" s="5" t="s">
        <v>47</v>
      </c>
    </row>
    <row r="134" spans="1:24" x14ac:dyDescent="0.25">
      <c r="A134" s="5" t="s">
        <v>34</v>
      </c>
      <c r="B134" s="5" t="s">
        <v>128</v>
      </c>
      <c r="C134" s="5" t="s">
        <v>129</v>
      </c>
      <c r="D134" s="5" t="s">
        <v>37</v>
      </c>
      <c r="E134" s="5" t="s">
        <v>62</v>
      </c>
      <c r="F134" s="5" t="s">
        <v>63</v>
      </c>
      <c r="G134" s="5" t="s">
        <v>40</v>
      </c>
      <c r="H134" s="6">
        <v>45961</v>
      </c>
      <c r="I134" s="6">
        <v>45961</v>
      </c>
      <c r="J134" s="6">
        <v>45964</v>
      </c>
      <c r="K134" s="5" t="s">
        <v>41</v>
      </c>
      <c r="L134" s="5" t="s">
        <v>42</v>
      </c>
      <c r="M134" s="5" t="s">
        <v>43</v>
      </c>
      <c r="N134" s="5" t="s">
        <v>44</v>
      </c>
      <c r="O134" s="7">
        <v>83.55</v>
      </c>
      <c r="P134" s="5" t="s">
        <v>45</v>
      </c>
      <c r="Q134" s="7">
        <v>83.55</v>
      </c>
      <c r="R134" s="5" t="s">
        <v>45</v>
      </c>
      <c r="S134" s="7">
        <v>24.59</v>
      </c>
      <c r="T134" s="5" t="s">
        <v>46</v>
      </c>
      <c r="U134" s="5" t="s">
        <v>47</v>
      </c>
      <c r="V134" s="5" t="s">
        <v>47</v>
      </c>
      <c r="W134" s="5" t="s">
        <v>47</v>
      </c>
      <c r="X134" s="5" t="s">
        <v>47</v>
      </c>
    </row>
    <row r="135" spans="1:24" x14ac:dyDescent="0.25">
      <c r="A135" s="5" t="s">
        <v>34</v>
      </c>
      <c r="B135" s="5" t="s">
        <v>128</v>
      </c>
      <c r="C135" s="5" t="s">
        <v>129</v>
      </c>
      <c r="D135" s="5" t="s">
        <v>37</v>
      </c>
      <c r="E135" s="5" t="s">
        <v>84</v>
      </c>
      <c r="F135" s="5" t="s">
        <v>85</v>
      </c>
      <c r="G135" s="5" t="s">
        <v>40</v>
      </c>
      <c r="H135" s="6">
        <v>45961</v>
      </c>
      <c r="I135" s="6">
        <v>45961</v>
      </c>
      <c r="J135" s="6">
        <v>45964</v>
      </c>
      <c r="K135" s="5" t="s">
        <v>41</v>
      </c>
      <c r="L135" s="5" t="s">
        <v>42</v>
      </c>
      <c r="M135" s="5" t="s">
        <v>43</v>
      </c>
      <c r="N135" s="5" t="s">
        <v>44</v>
      </c>
      <c r="O135" s="7">
        <v>25.2</v>
      </c>
      <c r="P135" s="5" t="s">
        <v>45</v>
      </c>
      <c r="Q135" s="7">
        <v>25.2</v>
      </c>
      <c r="R135" s="5" t="s">
        <v>45</v>
      </c>
      <c r="S135" s="7">
        <v>7.42</v>
      </c>
      <c r="T135" s="5" t="s">
        <v>46</v>
      </c>
      <c r="U135" s="5" t="s">
        <v>47</v>
      </c>
      <c r="V135" s="5" t="s">
        <v>47</v>
      </c>
      <c r="W135" s="5" t="s">
        <v>47</v>
      </c>
      <c r="X135" s="5" t="s">
        <v>47</v>
      </c>
    </row>
    <row r="136" spans="1:24" x14ac:dyDescent="0.25">
      <c r="A136" s="5" t="s">
        <v>34</v>
      </c>
      <c r="B136" s="5" t="s">
        <v>128</v>
      </c>
      <c r="C136" s="5" t="s">
        <v>129</v>
      </c>
      <c r="D136" s="5" t="s">
        <v>37</v>
      </c>
      <c r="E136" s="5" t="s">
        <v>50</v>
      </c>
      <c r="F136" s="5" t="s">
        <v>51</v>
      </c>
      <c r="G136" s="5" t="s">
        <v>40</v>
      </c>
      <c r="H136" s="6">
        <v>45961</v>
      </c>
      <c r="I136" s="6">
        <v>45961</v>
      </c>
      <c r="J136" s="6">
        <v>45964</v>
      </c>
      <c r="K136" s="5" t="s">
        <v>41</v>
      </c>
      <c r="L136" s="5" t="s">
        <v>42</v>
      </c>
      <c r="M136" s="5" t="s">
        <v>43</v>
      </c>
      <c r="N136" s="5" t="s">
        <v>44</v>
      </c>
      <c r="O136" s="7">
        <v>233.13</v>
      </c>
      <c r="P136" s="5" t="s">
        <v>45</v>
      </c>
      <c r="Q136" s="7">
        <v>233.13</v>
      </c>
      <c r="R136" s="5" t="s">
        <v>45</v>
      </c>
      <c r="S136" s="7">
        <v>68.61</v>
      </c>
      <c r="T136" s="5" t="s">
        <v>46</v>
      </c>
      <c r="U136" s="5" t="s">
        <v>47</v>
      </c>
      <c r="V136" s="5" t="s">
        <v>47</v>
      </c>
      <c r="W136" s="5" t="s">
        <v>47</v>
      </c>
      <c r="X136" s="5" t="s">
        <v>47</v>
      </c>
    </row>
    <row r="137" spans="1:24" x14ac:dyDescent="0.25">
      <c r="A137" s="5" t="s">
        <v>34</v>
      </c>
      <c r="B137" s="5" t="s">
        <v>128</v>
      </c>
      <c r="C137" s="5" t="s">
        <v>129</v>
      </c>
      <c r="D137" s="5" t="s">
        <v>37</v>
      </c>
      <c r="E137" s="5" t="s">
        <v>58</v>
      </c>
      <c r="F137" s="5" t="s">
        <v>59</v>
      </c>
      <c r="G137" s="5" t="s">
        <v>40</v>
      </c>
      <c r="H137" s="6">
        <v>45961</v>
      </c>
      <c r="I137" s="6">
        <v>45961</v>
      </c>
      <c r="J137" s="6">
        <v>45964</v>
      </c>
      <c r="K137" s="5" t="s">
        <v>41</v>
      </c>
      <c r="L137" s="5" t="s">
        <v>42</v>
      </c>
      <c r="M137" s="5" t="s">
        <v>43</v>
      </c>
      <c r="N137" s="5" t="s">
        <v>44</v>
      </c>
      <c r="O137" s="7">
        <v>8.81</v>
      </c>
      <c r="P137" s="5" t="s">
        <v>45</v>
      </c>
      <c r="Q137" s="7">
        <v>8.81</v>
      </c>
      <c r="R137" s="5" t="s">
        <v>45</v>
      </c>
      <c r="S137" s="7">
        <v>2.59</v>
      </c>
      <c r="T137" s="5" t="s">
        <v>46</v>
      </c>
      <c r="U137" s="5" t="s">
        <v>47</v>
      </c>
      <c r="V137" s="5" t="s">
        <v>47</v>
      </c>
      <c r="W137" s="5" t="s">
        <v>47</v>
      </c>
      <c r="X137" s="5" t="s">
        <v>47</v>
      </c>
    </row>
    <row r="138" spans="1:24" x14ac:dyDescent="0.25">
      <c r="A138" s="5" t="s">
        <v>34</v>
      </c>
      <c r="B138" s="5" t="s">
        <v>128</v>
      </c>
      <c r="C138" s="5" t="s">
        <v>129</v>
      </c>
      <c r="D138" s="5" t="s">
        <v>37</v>
      </c>
      <c r="E138" s="5" t="s">
        <v>72</v>
      </c>
      <c r="F138" s="5" t="s">
        <v>73</v>
      </c>
      <c r="G138" s="5" t="s">
        <v>40</v>
      </c>
      <c r="H138" s="6">
        <v>45961</v>
      </c>
      <c r="I138" s="6">
        <v>45961</v>
      </c>
      <c r="J138" s="6">
        <v>45964</v>
      </c>
      <c r="K138" s="5" t="s">
        <v>41</v>
      </c>
      <c r="L138" s="5" t="s">
        <v>42</v>
      </c>
      <c r="M138" s="5" t="s">
        <v>43</v>
      </c>
      <c r="N138" s="5" t="s">
        <v>44</v>
      </c>
      <c r="O138" s="7">
        <v>186.21</v>
      </c>
      <c r="P138" s="5" t="s">
        <v>45</v>
      </c>
      <c r="Q138" s="7">
        <v>186.21</v>
      </c>
      <c r="R138" s="5" t="s">
        <v>45</v>
      </c>
      <c r="S138" s="7">
        <v>54.8</v>
      </c>
      <c r="T138" s="5" t="s">
        <v>46</v>
      </c>
      <c r="U138" s="5" t="s">
        <v>47</v>
      </c>
      <c r="V138" s="5" t="s">
        <v>47</v>
      </c>
      <c r="W138" s="5" t="s">
        <v>47</v>
      </c>
      <c r="X138" s="5" t="s">
        <v>47</v>
      </c>
    </row>
    <row r="139" spans="1:24" x14ac:dyDescent="0.25">
      <c r="A139" s="5" t="s">
        <v>34</v>
      </c>
      <c r="B139" s="5" t="s">
        <v>128</v>
      </c>
      <c r="C139" s="5" t="s">
        <v>129</v>
      </c>
      <c r="D139" s="5" t="s">
        <v>37</v>
      </c>
      <c r="E139" s="5" t="s">
        <v>100</v>
      </c>
      <c r="F139" s="5" t="s">
        <v>101</v>
      </c>
      <c r="G139" s="5" t="s">
        <v>40</v>
      </c>
      <c r="H139" s="6">
        <v>45961</v>
      </c>
      <c r="I139" s="6">
        <v>45961</v>
      </c>
      <c r="J139" s="6">
        <v>45964</v>
      </c>
      <c r="K139" s="5" t="s">
        <v>41</v>
      </c>
      <c r="L139" s="5" t="s">
        <v>42</v>
      </c>
      <c r="M139" s="5" t="s">
        <v>43</v>
      </c>
      <c r="N139" s="5" t="s">
        <v>44</v>
      </c>
      <c r="O139" s="7">
        <v>331.45</v>
      </c>
      <c r="P139" s="5" t="s">
        <v>45</v>
      </c>
      <c r="Q139" s="7">
        <v>331.45</v>
      </c>
      <c r="R139" s="5" t="s">
        <v>45</v>
      </c>
      <c r="S139" s="7">
        <v>97.54</v>
      </c>
      <c r="T139" s="5" t="s">
        <v>46</v>
      </c>
      <c r="U139" s="5" t="s">
        <v>47</v>
      </c>
      <c r="V139" s="5" t="s">
        <v>47</v>
      </c>
      <c r="W139" s="5" t="s">
        <v>47</v>
      </c>
      <c r="X139" s="5" t="s">
        <v>47</v>
      </c>
    </row>
    <row r="140" spans="1:24" x14ac:dyDescent="0.25">
      <c r="A140" s="5" t="s">
        <v>34</v>
      </c>
      <c r="B140" s="5" t="s">
        <v>128</v>
      </c>
      <c r="C140" s="5" t="s">
        <v>129</v>
      </c>
      <c r="D140" s="5" t="s">
        <v>37</v>
      </c>
      <c r="E140" s="5" t="s">
        <v>98</v>
      </c>
      <c r="F140" s="5" t="s">
        <v>99</v>
      </c>
      <c r="G140" s="5" t="s">
        <v>40</v>
      </c>
      <c r="H140" s="6">
        <v>45961</v>
      </c>
      <c r="I140" s="6">
        <v>45961</v>
      </c>
      <c r="J140" s="6">
        <v>45964</v>
      </c>
      <c r="K140" s="5" t="s">
        <v>41</v>
      </c>
      <c r="L140" s="5" t="s">
        <v>42</v>
      </c>
      <c r="M140" s="5" t="s">
        <v>43</v>
      </c>
      <c r="N140" s="5" t="s">
        <v>44</v>
      </c>
      <c r="O140" s="7">
        <v>186.49</v>
      </c>
      <c r="P140" s="5" t="s">
        <v>45</v>
      </c>
      <c r="Q140" s="7">
        <v>186.49</v>
      </c>
      <c r="R140" s="5" t="s">
        <v>45</v>
      </c>
      <c r="S140" s="7">
        <v>54.88</v>
      </c>
      <c r="T140" s="5" t="s">
        <v>46</v>
      </c>
      <c r="U140" s="5" t="s">
        <v>47</v>
      </c>
      <c r="V140" s="5" t="s">
        <v>47</v>
      </c>
      <c r="W140" s="5" t="s">
        <v>47</v>
      </c>
      <c r="X140" s="5" t="s">
        <v>47</v>
      </c>
    </row>
    <row r="141" spans="1:24" x14ac:dyDescent="0.25">
      <c r="A141" s="5" t="s">
        <v>34</v>
      </c>
      <c r="B141" s="5" t="s">
        <v>128</v>
      </c>
      <c r="C141" s="5" t="s">
        <v>129</v>
      </c>
      <c r="D141" s="5" t="s">
        <v>37</v>
      </c>
      <c r="E141" s="5" t="s">
        <v>88</v>
      </c>
      <c r="F141" s="5" t="s">
        <v>89</v>
      </c>
      <c r="G141" s="5" t="s">
        <v>40</v>
      </c>
      <c r="H141" s="6">
        <v>45961</v>
      </c>
      <c r="I141" s="6">
        <v>45961</v>
      </c>
      <c r="J141" s="6">
        <v>45964</v>
      </c>
      <c r="K141" s="5" t="s">
        <v>41</v>
      </c>
      <c r="L141" s="5" t="s">
        <v>42</v>
      </c>
      <c r="M141" s="5" t="s">
        <v>43</v>
      </c>
      <c r="N141" s="5" t="s">
        <v>44</v>
      </c>
      <c r="O141" s="7">
        <v>400.88</v>
      </c>
      <c r="P141" s="5" t="s">
        <v>45</v>
      </c>
      <c r="Q141" s="7">
        <v>400.88</v>
      </c>
      <c r="R141" s="5" t="s">
        <v>45</v>
      </c>
      <c r="S141" s="7">
        <v>117.98</v>
      </c>
      <c r="T141" s="5" t="s">
        <v>46</v>
      </c>
      <c r="U141" s="5" t="s">
        <v>47</v>
      </c>
      <c r="V141" s="5" t="s">
        <v>47</v>
      </c>
      <c r="W141" s="5" t="s">
        <v>47</v>
      </c>
      <c r="X141" s="5" t="s">
        <v>47</v>
      </c>
    </row>
    <row r="142" spans="1:24" x14ac:dyDescent="0.25">
      <c r="A142" s="5" t="s">
        <v>34</v>
      </c>
      <c r="B142" s="5" t="s">
        <v>128</v>
      </c>
      <c r="C142" s="5" t="s">
        <v>129</v>
      </c>
      <c r="D142" s="5" t="s">
        <v>37</v>
      </c>
      <c r="E142" s="5" t="s">
        <v>104</v>
      </c>
      <c r="F142" s="5" t="s">
        <v>105</v>
      </c>
      <c r="G142" s="5" t="s">
        <v>40</v>
      </c>
      <c r="H142" s="6">
        <v>45961</v>
      </c>
      <c r="I142" s="6">
        <v>45961</v>
      </c>
      <c r="J142" s="6">
        <v>45964</v>
      </c>
      <c r="K142" s="5" t="s">
        <v>41</v>
      </c>
      <c r="L142" s="5" t="s">
        <v>42</v>
      </c>
      <c r="M142" s="5" t="s">
        <v>43</v>
      </c>
      <c r="N142" s="5" t="s">
        <v>44</v>
      </c>
      <c r="O142" s="7">
        <v>42.78</v>
      </c>
      <c r="P142" s="5" t="s">
        <v>45</v>
      </c>
      <c r="Q142" s="7">
        <v>42.78</v>
      </c>
      <c r="R142" s="5" t="s">
        <v>45</v>
      </c>
      <c r="S142" s="7">
        <v>12.59</v>
      </c>
      <c r="T142" s="5" t="s">
        <v>46</v>
      </c>
      <c r="U142" s="5" t="s">
        <v>47</v>
      </c>
      <c r="V142" s="5" t="s">
        <v>47</v>
      </c>
      <c r="W142" s="5" t="s">
        <v>47</v>
      </c>
      <c r="X142" s="5" t="s">
        <v>47</v>
      </c>
    </row>
    <row r="143" spans="1:24" x14ac:dyDescent="0.25">
      <c r="A143" s="5" t="s">
        <v>34</v>
      </c>
      <c r="B143" s="5" t="s">
        <v>128</v>
      </c>
      <c r="C143" s="5" t="s">
        <v>129</v>
      </c>
      <c r="D143" s="5" t="s">
        <v>37</v>
      </c>
      <c r="E143" s="5" t="s">
        <v>74</v>
      </c>
      <c r="F143" s="5" t="s">
        <v>75</v>
      </c>
      <c r="G143" s="5" t="s">
        <v>40</v>
      </c>
      <c r="H143" s="6">
        <v>45961</v>
      </c>
      <c r="I143" s="6">
        <v>45961</v>
      </c>
      <c r="J143" s="6">
        <v>45964</v>
      </c>
      <c r="K143" s="5" t="s">
        <v>41</v>
      </c>
      <c r="L143" s="5" t="s">
        <v>42</v>
      </c>
      <c r="M143" s="5" t="s">
        <v>43</v>
      </c>
      <c r="N143" s="5" t="s">
        <v>44</v>
      </c>
      <c r="O143" s="7">
        <v>576.19000000000005</v>
      </c>
      <c r="P143" s="5" t="s">
        <v>45</v>
      </c>
      <c r="Q143" s="7">
        <v>576.19000000000005</v>
      </c>
      <c r="R143" s="5" t="s">
        <v>45</v>
      </c>
      <c r="S143" s="7">
        <v>169.57</v>
      </c>
      <c r="T143" s="5" t="s">
        <v>46</v>
      </c>
      <c r="U143" s="5" t="s">
        <v>47</v>
      </c>
      <c r="V143" s="5" t="s">
        <v>47</v>
      </c>
      <c r="W143" s="5" t="s">
        <v>47</v>
      </c>
      <c r="X143" s="5" t="s">
        <v>47</v>
      </c>
    </row>
    <row r="144" spans="1:24" x14ac:dyDescent="0.25">
      <c r="A144" s="5" t="s">
        <v>34</v>
      </c>
      <c r="B144" s="5" t="s">
        <v>130</v>
      </c>
      <c r="C144" s="5" t="s">
        <v>131</v>
      </c>
      <c r="D144" s="5" t="s">
        <v>37</v>
      </c>
      <c r="E144" s="5" t="s">
        <v>64</v>
      </c>
      <c r="F144" s="5" t="s">
        <v>65</v>
      </c>
      <c r="G144" s="5" t="s">
        <v>40</v>
      </c>
      <c r="H144" s="6">
        <v>45961</v>
      </c>
      <c r="I144" s="6">
        <v>45961</v>
      </c>
      <c r="J144" s="6">
        <v>45950</v>
      </c>
      <c r="K144" s="5" t="s">
        <v>132</v>
      </c>
      <c r="L144" s="5" t="s">
        <v>133</v>
      </c>
      <c r="M144" s="5" t="s">
        <v>43</v>
      </c>
      <c r="N144" s="5" t="s">
        <v>134</v>
      </c>
      <c r="O144" s="7">
        <v>49.39</v>
      </c>
      <c r="P144" s="5" t="s">
        <v>45</v>
      </c>
      <c r="Q144" s="7">
        <v>49.39</v>
      </c>
      <c r="R144" s="5" t="s">
        <v>45</v>
      </c>
      <c r="S144" s="7">
        <v>14.57</v>
      </c>
      <c r="T144" s="5" t="s">
        <v>46</v>
      </c>
      <c r="U144" s="5" t="s">
        <v>47</v>
      </c>
      <c r="V144" s="5" t="s">
        <v>47</v>
      </c>
      <c r="W144" s="5" t="s">
        <v>47</v>
      </c>
      <c r="X144" s="5" t="s">
        <v>47</v>
      </c>
    </row>
    <row r="145" spans="1:24" x14ac:dyDescent="0.25">
      <c r="A145" s="5" t="s">
        <v>34</v>
      </c>
      <c r="B145" s="5" t="s">
        <v>130</v>
      </c>
      <c r="C145" s="5" t="s">
        <v>131</v>
      </c>
      <c r="D145" s="5" t="s">
        <v>37</v>
      </c>
      <c r="E145" s="5" t="s">
        <v>122</v>
      </c>
      <c r="F145" s="5" t="s">
        <v>123</v>
      </c>
      <c r="G145" s="5" t="s">
        <v>40</v>
      </c>
      <c r="H145" s="6">
        <v>45961</v>
      </c>
      <c r="I145" s="6">
        <v>45961</v>
      </c>
      <c r="J145" s="6">
        <v>45964</v>
      </c>
      <c r="K145" s="5" t="s">
        <v>135</v>
      </c>
      <c r="L145" s="5" t="s">
        <v>136</v>
      </c>
      <c r="M145" s="5" t="s">
        <v>43</v>
      </c>
      <c r="N145" s="5" t="s">
        <v>137</v>
      </c>
      <c r="O145" s="7">
        <v>121.33</v>
      </c>
      <c r="P145" s="5" t="s">
        <v>45</v>
      </c>
      <c r="Q145" s="7">
        <v>121.33</v>
      </c>
      <c r="R145" s="5" t="s">
        <v>45</v>
      </c>
      <c r="S145" s="7">
        <v>35.71</v>
      </c>
      <c r="T145" s="5" t="s">
        <v>46</v>
      </c>
      <c r="U145" s="5" t="s">
        <v>47</v>
      </c>
      <c r="V145" s="5" t="s">
        <v>47</v>
      </c>
      <c r="W145" s="5" t="s">
        <v>47</v>
      </c>
      <c r="X145" s="5" t="s">
        <v>47</v>
      </c>
    </row>
    <row r="146" spans="1:24" x14ac:dyDescent="0.25">
      <c r="A146" s="5" t="s">
        <v>34</v>
      </c>
      <c r="B146" s="5" t="s">
        <v>130</v>
      </c>
      <c r="C146" s="5" t="s">
        <v>131</v>
      </c>
      <c r="D146" s="5" t="s">
        <v>37</v>
      </c>
      <c r="E146" s="5" t="s">
        <v>62</v>
      </c>
      <c r="F146" s="5" t="s">
        <v>63</v>
      </c>
      <c r="G146" s="5" t="s">
        <v>40</v>
      </c>
      <c r="H146" s="6">
        <v>45961</v>
      </c>
      <c r="I146" s="6">
        <v>45961</v>
      </c>
      <c r="J146" s="6">
        <v>45964</v>
      </c>
      <c r="K146" s="5" t="s">
        <v>135</v>
      </c>
      <c r="L146" s="5" t="s">
        <v>136</v>
      </c>
      <c r="M146" s="5" t="s">
        <v>43</v>
      </c>
      <c r="N146" s="5" t="s">
        <v>137</v>
      </c>
      <c r="O146" s="7">
        <v>5263.2</v>
      </c>
      <c r="P146" s="5" t="s">
        <v>45</v>
      </c>
      <c r="Q146" s="7">
        <v>5263.2</v>
      </c>
      <c r="R146" s="5" t="s">
        <v>45</v>
      </c>
      <c r="S146" s="7">
        <v>1548.91</v>
      </c>
      <c r="T146" s="5" t="s">
        <v>46</v>
      </c>
      <c r="U146" s="5" t="s">
        <v>47</v>
      </c>
      <c r="V146" s="5" t="s">
        <v>47</v>
      </c>
      <c r="W146" s="5" t="s">
        <v>47</v>
      </c>
      <c r="X146" s="5" t="s">
        <v>47</v>
      </c>
    </row>
    <row r="147" spans="1:24" x14ac:dyDescent="0.25">
      <c r="A147" s="5" t="s">
        <v>34</v>
      </c>
      <c r="B147" s="5" t="s">
        <v>130</v>
      </c>
      <c r="C147" s="5" t="s">
        <v>131</v>
      </c>
      <c r="D147" s="5" t="s">
        <v>37</v>
      </c>
      <c r="E147" s="5" t="s">
        <v>50</v>
      </c>
      <c r="F147" s="5" t="s">
        <v>51</v>
      </c>
      <c r="G147" s="5" t="s">
        <v>40</v>
      </c>
      <c r="H147" s="6">
        <v>45961</v>
      </c>
      <c r="I147" s="6">
        <v>45961</v>
      </c>
      <c r="J147" s="6">
        <v>45964</v>
      </c>
      <c r="K147" s="5" t="s">
        <v>135</v>
      </c>
      <c r="L147" s="5" t="s">
        <v>136</v>
      </c>
      <c r="M147" s="5" t="s">
        <v>43</v>
      </c>
      <c r="N147" s="5" t="s">
        <v>137</v>
      </c>
      <c r="O147" s="7">
        <v>6538.72</v>
      </c>
      <c r="P147" s="5" t="s">
        <v>45</v>
      </c>
      <c r="Q147" s="7">
        <v>6538.72</v>
      </c>
      <c r="R147" s="5" t="s">
        <v>45</v>
      </c>
      <c r="S147" s="7">
        <v>1924.28</v>
      </c>
      <c r="T147" s="5" t="s">
        <v>46</v>
      </c>
      <c r="U147" s="5" t="s">
        <v>47</v>
      </c>
      <c r="V147" s="5" t="s">
        <v>47</v>
      </c>
      <c r="W147" s="5" t="s">
        <v>47</v>
      </c>
      <c r="X147" s="5" t="s">
        <v>47</v>
      </c>
    </row>
    <row r="148" spans="1:24" x14ac:dyDescent="0.25">
      <c r="A148" s="5" t="s">
        <v>34</v>
      </c>
      <c r="B148" s="5" t="s">
        <v>130</v>
      </c>
      <c r="C148" s="5" t="s">
        <v>131</v>
      </c>
      <c r="D148" s="5" t="s">
        <v>37</v>
      </c>
      <c r="E148" s="5" t="s">
        <v>68</v>
      </c>
      <c r="F148" s="5" t="s">
        <v>69</v>
      </c>
      <c r="G148" s="5" t="s">
        <v>40</v>
      </c>
      <c r="H148" s="6">
        <v>45961</v>
      </c>
      <c r="I148" s="6">
        <v>45961</v>
      </c>
      <c r="J148" s="6">
        <v>45964</v>
      </c>
      <c r="K148" s="5" t="s">
        <v>135</v>
      </c>
      <c r="L148" s="5" t="s">
        <v>136</v>
      </c>
      <c r="M148" s="5" t="s">
        <v>43</v>
      </c>
      <c r="N148" s="5" t="s">
        <v>137</v>
      </c>
      <c r="O148" s="7">
        <v>3038.92</v>
      </c>
      <c r="P148" s="5" t="s">
        <v>45</v>
      </c>
      <c r="Q148" s="7">
        <v>3038.92</v>
      </c>
      <c r="R148" s="5" t="s">
        <v>45</v>
      </c>
      <c r="S148" s="7">
        <v>894.33</v>
      </c>
      <c r="T148" s="5" t="s">
        <v>46</v>
      </c>
      <c r="U148" s="5" t="s">
        <v>47</v>
      </c>
      <c r="V148" s="5" t="s">
        <v>47</v>
      </c>
      <c r="W148" s="5" t="s">
        <v>47</v>
      </c>
      <c r="X148" s="5" t="s">
        <v>47</v>
      </c>
    </row>
    <row r="149" spans="1:24" x14ac:dyDescent="0.25">
      <c r="A149" s="5" t="s">
        <v>34</v>
      </c>
      <c r="B149" s="5" t="s">
        <v>130</v>
      </c>
      <c r="C149" s="5" t="s">
        <v>131</v>
      </c>
      <c r="D149" s="5" t="s">
        <v>37</v>
      </c>
      <c r="E149" s="5" t="s">
        <v>110</v>
      </c>
      <c r="F149" s="5" t="s">
        <v>111</v>
      </c>
      <c r="G149" s="5" t="s">
        <v>40</v>
      </c>
      <c r="H149" s="6">
        <v>45961</v>
      </c>
      <c r="I149" s="6">
        <v>45961</v>
      </c>
      <c r="J149" s="6">
        <v>45964</v>
      </c>
      <c r="K149" s="5" t="s">
        <v>135</v>
      </c>
      <c r="L149" s="5" t="s">
        <v>136</v>
      </c>
      <c r="M149" s="5" t="s">
        <v>43</v>
      </c>
      <c r="N149" s="5" t="s">
        <v>137</v>
      </c>
      <c r="O149" s="7">
        <v>9722.32</v>
      </c>
      <c r="P149" s="5" t="s">
        <v>45</v>
      </c>
      <c r="Q149" s="7">
        <v>9722.32</v>
      </c>
      <c r="R149" s="5" t="s">
        <v>45</v>
      </c>
      <c r="S149" s="7">
        <v>2861.19</v>
      </c>
      <c r="T149" s="5" t="s">
        <v>46</v>
      </c>
      <c r="U149" s="5" t="s">
        <v>47</v>
      </c>
      <c r="V149" s="5" t="s">
        <v>47</v>
      </c>
      <c r="W149" s="5" t="s">
        <v>47</v>
      </c>
      <c r="X149" s="5" t="s">
        <v>47</v>
      </c>
    </row>
    <row r="150" spans="1:24" x14ac:dyDescent="0.25">
      <c r="A150" s="5" t="s">
        <v>34</v>
      </c>
      <c r="B150" s="5" t="s">
        <v>130</v>
      </c>
      <c r="C150" s="5" t="s">
        <v>131</v>
      </c>
      <c r="D150" s="5" t="s">
        <v>37</v>
      </c>
      <c r="E150" s="5" t="s">
        <v>70</v>
      </c>
      <c r="F150" s="5" t="s">
        <v>71</v>
      </c>
      <c r="G150" s="5" t="s">
        <v>40</v>
      </c>
      <c r="H150" s="6">
        <v>45961</v>
      </c>
      <c r="I150" s="6">
        <v>45961</v>
      </c>
      <c r="J150" s="6">
        <v>45964</v>
      </c>
      <c r="K150" s="5" t="s">
        <v>135</v>
      </c>
      <c r="L150" s="5" t="s">
        <v>136</v>
      </c>
      <c r="M150" s="5" t="s">
        <v>43</v>
      </c>
      <c r="N150" s="5" t="s">
        <v>137</v>
      </c>
      <c r="O150" s="7">
        <v>461.41</v>
      </c>
      <c r="P150" s="5" t="s">
        <v>45</v>
      </c>
      <c r="Q150" s="7">
        <v>461.41</v>
      </c>
      <c r="R150" s="5" t="s">
        <v>45</v>
      </c>
      <c r="S150" s="7">
        <v>135.79</v>
      </c>
      <c r="T150" s="5" t="s">
        <v>46</v>
      </c>
      <c r="U150" s="5" t="s">
        <v>47</v>
      </c>
      <c r="V150" s="5" t="s">
        <v>47</v>
      </c>
      <c r="W150" s="5" t="s">
        <v>47</v>
      </c>
      <c r="X150" s="5" t="s">
        <v>47</v>
      </c>
    </row>
    <row r="151" spans="1:24" x14ac:dyDescent="0.25">
      <c r="A151" s="5" t="s">
        <v>34</v>
      </c>
      <c r="B151" s="5" t="s">
        <v>130</v>
      </c>
      <c r="C151" s="5" t="s">
        <v>131</v>
      </c>
      <c r="D151" s="5" t="s">
        <v>37</v>
      </c>
      <c r="E151" s="5" t="s">
        <v>54</v>
      </c>
      <c r="F151" s="5" t="s">
        <v>55</v>
      </c>
      <c r="G151" s="5" t="s">
        <v>40</v>
      </c>
      <c r="H151" s="6">
        <v>45961</v>
      </c>
      <c r="I151" s="6">
        <v>45961</v>
      </c>
      <c r="J151" s="6">
        <v>45964</v>
      </c>
      <c r="K151" s="5" t="s">
        <v>135</v>
      </c>
      <c r="L151" s="5" t="s">
        <v>136</v>
      </c>
      <c r="M151" s="5" t="s">
        <v>43</v>
      </c>
      <c r="N151" s="5" t="s">
        <v>137</v>
      </c>
      <c r="O151" s="7">
        <v>380.76</v>
      </c>
      <c r="P151" s="5" t="s">
        <v>45</v>
      </c>
      <c r="Q151" s="7">
        <v>380.76</v>
      </c>
      <c r="R151" s="5" t="s">
        <v>45</v>
      </c>
      <c r="S151" s="7">
        <v>112.05</v>
      </c>
      <c r="T151" s="5" t="s">
        <v>46</v>
      </c>
      <c r="U151" s="5" t="s">
        <v>47</v>
      </c>
      <c r="V151" s="5" t="s">
        <v>47</v>
      </c>
      <c r="W151" s="5" t="s">
        <v>47</v>
      </c>
      <c r="X151" s="5" t="s">
        <v>47</v>
      </c>
    </row>
    <row r="152" spans="1:24" x14ac:dyDescent="0.25">
      <c r="A152" s="5" t="s">
        <v>34</v>
      </c>
      <c r="B152" s="5" t="s">
        <v>130</v>
      </c>
      <c r="C152" s="5" t="s">
        <v>131</v>
      </c>
      <c r="D152" s="5" t="s">
        <v>37</v>
      </c>
      <c r="E152" s="5" t="s">
        <v>104</v>
      </c>
      <c r="F152" s="5" t="s">
        <v>105</v>
      </c>
      <c r="G152" s="5" t="s">
        <v>40</v>
      </c>
      <c r="H152" s="6">
        <v>45961</v>
      </c>
      <c r="I152" s="6">
        <v>45961</v>
      </c>
      <c r="J152" s="6">
        <v>45964</v>
      </c>
      <c r="K152" s="5" t="s">
        <v>135</v>
      </c>
      <c r="L152" s="5" t="s">
        <v>136</v>
      </c>
      <c r="M152" s="5" t="s">
        <v>43</v>
      </c>
      <c r="N152" s="5" t="s">
        <v>137</v>
      </c>
      <c r="O152" s="7">
        <v>2509.86</v>
      </c>
      <c r="P152" s="5" t="s">
        <v>45</v>
      </c>
      <c r="Q152" s="7">
        <v>2509.86</v>
      </c>
      <c r="R152" s="5" t="s">
        <v>45</v>
      </c>
      <c r="S152" s="7">
        <v>738.63</v>
      </c>
      <c r="T152" s="5" t="s">
        <v>46</v>
      </c>
      <c r="U152" s="5" t="s">
        <v>47</v>
      </c>
      <c r="V152" s="5" t="s">
        <v>47</v>
      </c>
      <c r="W152" s="5" t="s">
        <v>47</v>
      </c>
      <c r="X152" s="5" t="s">
        <v>47</v>
      </c>
    </row>
    <row r="153" spans="1:24" x14ac:dyDescent="0.25">
      <c r="A153" s="5" t="s">
        <v>34</v>
      </c>
      <c r="B153" s="5" t="s">
        <v>130</v>
      </c>
      <c r="C153" s="5" t="s">
        <v>131</v>
      </c>
      <c r="D153" s="5" t="s">
        <v>37</v>
      </c>
      <c r="E153" s="5" t="s">
        <v>118</v>
      </c>
      <c r="F153" s="5" t="s">
        <v>119</v>
      </c>
      <c r="G153" s="5" t="s">
        <v>40</v>
      </c>
      <c r="H153" s="6">
        <v>45961</v>
      </c>
      <c r="I153" s="6">
        <v>45961</v>
      </c>
      <c r="J153" s="6">
        <v>45964</v>
      </c>
      <c r="K153" s="5" t="s">
        <v>135</v>
      </c>
      <c r="L153" s="5" t="s">
        <v>136</v>
      </c>
      <c r="M153" s="5" t="s">
        <v>43</v>
      </c>
      <c r="N153" s="5" t="s">
        <v>137</v>
      </c>
      <c r="O153" s="7">
        <v>331.63</v>
      </c>
      <c r="P153" s="5" t="s">
        <v>45</v>
      </c>
      <c r="Q153" s="7">
        <v>331.63</v>
      </c>
      <c r="R153" s="5" t="s">
        <v>45</v>
      </c>
      <c r="S153" s="7">
        <v>97.6</v>
      </c>
      <c r="T153" s="5" t="s">
        <v>46</v>
      </c>
      <c r="U153" s="5" t="s">
        <v>47</v>
      </c>
      <c r="V153" s="5" t="s">
        <v>47</v>
      </c>
      <c r="W153" s="5" t="s">
        <v>47</v>
      </c>
      <c r="X153" s="5" t="s">
        <v>47</v>
      </c>
    </row>
    <row r="154" spans="1:24" x14ac:dyDescent="0.25">
      <c r="A154" s="5" t="s">
        <v>34</v>
      </c>
      <c r="B154" s="5" t="s">
        <v>130</v>
      </c>
      <c r="C154" s="5" t="s">
        <v>131</v>
      </c>
      <c r="D154" s="5" t="s">
        <v>37</v>
      </c>
      <c r="E154" s="5" t="s">
        <v>116</v>
      </c>
      <c r="F154" s="5" t="s">
        <v>117</v>
      </c>
      <c r="G154" s="5" t="s">
        <v>40</v>
      </c>
      <c r="H154" s="6">
        <v>45961</v>
      </c>
      <c r="I154" s="6">
        <v>45961</v>
      </c>
      <c r="J154" s="6">
        <v>45964</v>
      </c>
      <c r="K154" s="5" t="s">
        <v>135</v>
      </c>
      <c r="L154" s="5" t="s">
        <v>136</v>
      </c>
      <c r="M154" s="5" t="s">
        <v>43</v>
      </c>
      <c r="N154" s="5" t="s">
        <v>137</v>
      </c>
      <c r="O154" s="7">
        <v>3764.83</v>
      </c>
      <c r="P154" s="5" t="s">
        <v>45</v>
      </c>
      <c r="Q154" s="7">
        <v>3764.83</v>
      </c>
      <c r="R154" s="5" t="s">
        <v>45</v>
      </c>
      <c r="S154" s="7">
        <v>1107.95</v>
      </c>
      <c r="T154" s="5" t="s">
        <v>46</v>
      </c>
      <c r="U154" s="5" t="s">
        <v>47</v>
      </c>
      <c r="V154" s="5" t="s">
        <v>47</v>
      </c>
      <c r="W154" s="5" t="s">
        <v>47</v>
      </c>
      <c r="X154" s="5" t="s">
        <v>47</v>
      </c>
    </row>
    <row r="155" spans="1:24" x14ac:dyDescent="0.25">
      <c r="A155" s="5" t="s">
        <v>34</v>
      </c>
      <c r="B155" s="5" t="s">
        <v>130</v>
      </c>
      <c r="C155" s="5" t="s">
        <v>131</v>
      </c>
      <c r="D155" s="5" t="s">
        <v>37</v>
      </c>
      <c r="E155" s="5" t="s">
        <v>96</v>
      </c>
      <c r="F155" s="5" t="s">
        <v>97</v>
      </c>
      <c r="G155" s="5" t="s">
        <v>40</v>
      </c>
      <c r="H155" s="6">
        <v>45961</v>
      </c>
      <c r="I155" s="6">
        <v>45961</v>
      </c>
      <c r="J155" s="6">
        <v>45964</v>
      </c>
      <c r="K155" s="5" t="s">
        <v>135</v>
      </c>
      <c r="L155" s="5" t="s">
        <v>136</v>
      </c>
      <c r="M155" s="5" t="s">
        <v>43</v>
      </c>
      <c r="N155" s="5" t="s">
        <v>137</v>
      </c>
      <c r="O155" s="7">
        <v>12998.56</v>
      </c>
      <c r="P155" s="5" t="s">
        <v>45</v>
      </c>
      <c r="Q155" s="7">
        <v>12998.56</v>
      </c>
      <c r="R155" s="5" t="s">
        <v>45</v>
      </c>
      <c r="S155" s="7">
        <v>3825.36</v>
      </c>
      <c r="T155" s="5" t="s">
        <v>46</v>
      </c>
      <c r="U155" s="5" t="s">
        <v>47</v>
      </c>
      <c r="V155" s="5" t="s">
        <v>47</v>
      </c>
      <c r="W155" s="5" t="s">
        <v>47</v>
      </c>
      <c r="X155" s="5" t="s">
        <v>47</v>
      </c>
    </row>
    <row r="156" spans="1:24" x14ac:dyDescent="0.25">
      <c r="A156" s="5" t="s">
        <v>34</v>
      </c>
      <c r="B156" s="5" t="s">
        <v>130</v>
      </c>
      <c r="C156" s="5" t="s">
        <v>131</v>
      </c>
      <c r="D156" s="5" t="s">
        <v>37</v>
      </c>
      <c r="E156" s="5" t="s">
        <v>84</v>
      </c>
      <c r="F156" s="5" t="s">
        <v>85</v>
      </c>
      <c r="G156" s="5" t="s">
        <v>40</v>
      </c>
      <c r="H156" s="6">
        <v>45961</v>
      </c>
      <c r="I156" s="6">
        <v>45961</v>
      </c>
      <c r="J156" s="6">
        <v>45964</v>
      </c>
      <c r="K156" s="5" t="s">
        <v>135</v>
      </c>
      <c r="L156" s="5" t="s">
        <v>136</v>
      </c>
      <c r="M156" s="5" t="s">
        <v>43</v>
      </c>
      <c r="N156" s="5" t="s">
        <v>137</v>
      </c>
      <c r="O156" s="7">
        <v>1601.78</v>
      </c>
      <c r="P156" s="5" t="s">
        <v>45</v>
      </c>
      <c r="Q156" s="7">
        <v>1601.78</v>
      </c>
      <c r="R156" s="5" t="s">
        <v>45</v>
      </c>
      <c r="S156" s="7">
        <v>471.39</v>
      </c>
      <c r="T156" s="5" t="s">
        <v>46</v>
      </c>
      <c r="U156" s="5" t="s">
        <v>47</v>
      </c>
      <c r="V156" s="5" t="s">
        <v>47</v>
      </c>
      <c r="W156" s="5" t="s">
        <v>47</v>
      </c>
      <c r="X156" s="5" t="s">
        <v>47</v>
      </c>
    </row>
    <row r="157" spans="1:24" x14ac:dyDescent="0.25">
      <c r="A157" s="5" t="s">
        <v>34</v>
      </c>
      <c r="B157" s="5" t="s">
        <v>130</v>
      </c>
      <c r="C157" s="5" t="s">
        <v>131</v>
      </c>
      <c r="D157" s="5" t="s">
        <v>37</v>
      </c>
      <c r="E157" s="5" t="s">
        <v>138</v>
      </c>
      <c r="F157" s="5" t="s">
        <v>139</v>
      </c>
      <c r="G157" s="5" t="s">
        <v>40</v>
      </c>
      <c r="H157" s="6">
        <v>45961</v>
      </c>
      <c r="I157" s="6">
        <v>45961</v>
      </c>
      <c r="J157" s="6">
        <v>45964</v>
      </c>
      <c r="K157" s="5" t="s">
        <v>135</v>
      </c>
      <c r="L157" s="5" t="s">
        <v>136</v>
      </c>
      <c r="M157" s="5" t="s">
        <v>43</v>
      </c>
      <c r="N157" s="5" t="s">
        <v>137</v>
      </c>
      <c r="O157" s="7">
        <v>2155.1799999999998</v>
      </c>
      <c r="P157" s="5" t="s">
        <v>45</v>
      </c>
      <c r="Q157" s="7">
        <v>2155.1799999999998</v>
      </c>
      <c r="R157" s="5" t="s">
        <v>45</v>
      </c>
      <c r="S157" s="7">
        <v>634.25</v>
      </c>
      <c r="T157" s="5" t="s">
        <v>46</v>
      </c>
      <c r="U157" s="5" t="s">
        <v>47</v>
      </c>
      <c r="V157" s="5" t="s">
        <v>47</v>
      </c>
      <c r="W157" s="5" t="s">
        <v>47</v>
      </c>
      <c r="X157" s="5" t="s">
        <v>47</v>
      </c>
    </row>
    <row r="158" spans="1:24" x14ac:dyDescent="0.25">
      <c r="A158" s="5" t="s">
        <v>34</v>
      </c>
      <c r="B158" s="5" t="s">
        <v>130</v>
      </c>
      <c r="C158" s="5" t="s">
        <v>131</v>
      </c>
      <c r="D158" s="5" t="s">
        <v>37</v>
      </c>
      <c r="E158" s="5" t="s">
        <v>74</v>
      </c>
      <c r="F158" s="5" t="s">
        <v>75</v>
      </c>
      <c r="G158" s="5" t="s">
        <v>40</v>
      </c>
      <c r="H158" s="6">
        <v>45961</v>
      </c>
      <c r="I158" s="6">
        <v>45961</v>
      </c>
      <c r="J158" s="6">
        <v>45964</v>
      </c>
      <c r="K158" s="5" t="s">
        <v>135</v>
      </c>
      <c r="L158" s="5" t="s">
        <v>136</v>
      </c>
      <c r="M158" s="5" t="s">
        <v>43</v>
      </c>
      <c r="N158" s="5" t="s">
        <v>137</v>
      </c>
      <c r="O158" s="7">
        <v>46991.91</v>
      </c>
      <c r="P158" s="5" t="s">
        <v>45</v>
      </c>
      <c r="Q158" s="7">
        <v>46991.91</v>
      </c>
      <c r="R158" s="5" t="s">
        <v>45</v>
      </c>
      <c r="S158" s="7">
        <v>13829.28</v>
      </c>
      <c r="T158" s="5" t="s">
        <v>46</v>
      </c>
      <c r="U158" s="5" t="s">
        <v>47</v>
      </c>
      <c r="V158" s="5" t="s">
        <v>47</v>
      </c>
      <c r="W158" s="5" t="s">
        <v>47</v>
      </c>
      <c r="X158" s="5" t="s">
        <v>47</v>
      </c>
    </row>
    <row r="159" spans="1:24" x14ac:dyDescent="0.25">
      <c r="A159" s="5" t="s">
        <v>34</v>
      </c>
      <c r="B159" s="5" t="s">
        <v>130</v>
      </c>
      <c r="C159" s="5" t="s">
        <v>131</v>
      </c>
      <c r="D159" s="5" t="s">
        <v>37</v>
      </c>
      <c r="E159" s="5" t="s">
        <v>78</v>
      </c>
      <c r="F159" s="5" t="s">
        <v>79</v>
      </c>
      <c r="G159" s="5" t="s">
        <v>40</v>
      </c>
      <c r="H159" s="6">
        <v>45961</v>
      </c>
      <c r="I159" s="6">
        <v>45961</v>
      </c>
      <c r="J159" s="6">
        <v>45964</v>
      </c>
      <c r="K159" s="5" t="s">
        <v>135</v>
      </c>
      <c r="L159" s="5" t="s">
        <v>136</v>
      </c>
      <c r="M159" s="5" t="s">
        <v>43</v>
      </c>
      <c r="N159" s="5" t="s">
        <v>137</v>
      </c>
      <c r="O159" s="7">
        <v>2327</v>
      </c>
      <c r="P159" s="5" t="s">
        <v>45</v>
      </c>
      <c r="Q159" s="7">
        <v>2327</v>
      </c>
      <c r="R159" s="5" t="s">
        <v>45</v>
      </c>
      <c r="S159" s="7">
        <v>684.81</v>
      </c>
      <c r="T159" s="5" t="s">
        <v>46</v>
      </c>
      <c r="U159" s="5" t="s">
        <v>47</v>
      </c>
      <c r="V159" s="5" t="s">
        <v>47</v>
      </c>
      <c r="W159" s="5" t="s">
        <v>47</v>
      </c>
      <c r="X159" s="5" t="s">
        <v>47</v>
      </c>
    </row>
    <row r="160" spans="1:24" x14ac:dyDescent="0.25">
      <c r="A160" s="5" t="s">
        <v>34</v>
      </c>
      <c r="B160" s="5" t="s">
        <v>130</v>
      </c>
      <c r="C160" s="5" t="s">
        <v>131</v>
      </c>
      <c r="D160" s="5" t="s">
        <v>37</v>
      </c>
      <c r="E160" s="5" t="s">
        <v>98</v>
      </c>
      <c r="F160" s="5" t="s">
        <v>99</v>
      </c>
      <c r="G160" s="5" t="s">
        <v>40</v>
      </c>
      <c r="H160" s="6">
        <v>45961</v>
      </c>
      <c r="I160" s="6">
        <v>45961</v>
      </c>
      <c r="J160" s="6">
        <v>45964</v>
      </c>
      <c r="K160" s="5" t="s">
        <v>135</v>
      </c>
      <c r="L160" s="5" t="s">
        <v>136</v>
      </c>
      <c r="M160" s="5" t="s">
        <v>43</v>
      </c>
      <c r="N160" s="5" t="s">
        <v>137</v>
      </c>
      <c r="O160" s="7">
        <v>98.52</v>
      </c>
      <c r="P160" s="5" t="s">
        <v>45</v>
      </c>
      <c r="Q160" s="7">
        <v>98.52</v>
      </c>
      <c r="R160" s="5" t="s">
        <v>45</v>
      </c>
      <c r="S160" s="7">
        <v>28.99</v>
      </c>
      <c r="T160" s="5" t="s">
        <v>46</v>
      </c>
      <c r="U160" s="5" t="s">
        <v>47</v>
      </c>
      <c r="V160" s="5" t="s">
        <v>47</v>
      </c>
      <c r="W160" s="5" t="s">
        <v>47</v>
      </c>
      <c r="X160" s="5" t="s">
        <v>47</v>
      </c>
    </row>
    <row r="161" spans="1:24" x14ac:dyDescent="0.25">
      <c r="A161" s="5" t="s">
        <v>34</v>
      </c>
      <c r="B161" s="5" t="s">
        <v>130</v>
      </c>
      <c r="C161" s="5" t="s">
        <v>131</v>
      </c>
      <c r="D161" s="5" t="s">
        <v>37</v>
      </c>
      <c r="E161" s="5" t="s">
        <v>64</v>
      </c>
      <c r="F161" s="5" t="s">
        <v>65</v>
      </c>
      <c r="G161" s="5" t="s">
        <v>40</v>
      </c>
      <c r="H161" s="6">
        <v>45961</v>
      </c>
      <c r="I161" s="6">
        <v>45961</v>
      </c>
      <c r="J161" s="6">
        <v>45964</v>
      </c>
      <c r="K161" s="5" t="s">
        <v>135</v>
      </c>
      <c r="L161" s="5" t="s">
        <v>136</v>
      </c>
      <c r="M161" s="5" t="s">
        <v>43</v>
      </c>
      <c r="N161" s="5" t="s">
        <v>137</v>
      </c>
      <c r="O161" s="7">
        <v>804.01</v>
      </c>
      <c r="P161" s="5" t="s">
        <v>45</v>
      </c>
      <c r="Q161" s="7">
        <v>804.01</v>
      </c>
      <c r="R161" s="5" t="s">
        <v>45</v>
      </c>
      <c r="S161" s="7">
        <v>236.61</v>
      </c>
      <c r="T161" s="5" t="s">
        <v>46</v>
      </c>
      <c r="U161" s="5" t="s">
        <v>47</v>
      </c>
      <c r="V161" s="5" t="s">
        <v>47</v>
      </c>
      <c r="W161" s="5" t="s">
        <v>47</v>
      </c>
      <c r="X161" s="5" t="s">
        <v>47</v>
      </c>
    </row>
    <row r="162" spans="1:24" x14ac:dyDescent="0.25">
      <c r="A162" s="5" t="s">
        <v>34</v>
      </c>
      <c r="B162" s="5" t="s">
        <v>130</v>
      </c>
      <c r="C162" s="5" t="s">
        <v>131</v>
      </c>
      <c r="D162" s="5" t="s">
        <v>37</v>
      </c>
      <c r="E162" s="5" t="s">
        <v>48</v>
      </c>
      <c r="F162" s="5" t="s">
        <v>49</v>
      </c>
      <c r="G162" s="5" t="s">
        <v>40</v>
      </c>
      <c r="H162" s="6">
        <v>45961</v>
      </c>
      <c r="I162" s="6">
        <v>45961</v>
      </c>
      <c r="J162" s="6">
        <v>45964</v>
      </c>
      <c r="K162" s="5" t="s">
        <v>135</v>
      </c>
      <c r="L162" s="5" t="s">
        <v>136</v>
      </c>
      <c r="M162" s="5" t="s">
        <v>43</v>
      </c>
      <c r="N162" s="5" t="s">
        <v>137</v>
      </c>
      <c r="O162" s="7">
        <v>5977.86</v>
      </c>
      <c r="P162" s="5" t="s">
        <v>45</v>
      </c>
      <c r="Q162" s="7">
        <v>5977.86</v>
      </c>
      <c r="R162" s="5" t="s">
        <v>45</v>
      </c>
      <c r="S162" s="7">
        <v>1759.23</v>
      </c>
      <c r="T162" s="5" t="s">
        <v>46</v>
      </c>
      <c r="U162" s="5" t="s">
        <v>47</v>
      </c>
      <c r="V162" s="5" t="s">
        <v>47</v>
      </c>
      <c r="W162" s="5" t="s">
        <v>47</v>
      </c>
      <c r="X162" s="5" t="s">
        <v>47</v>
      </c>
    </row>
    <row r="163" spans="1:24" x14ac:dyDescent="0.25">
      <c r="A163" s="5" t="s">
        <v>34</v>
      </c>
      <c r="B163" s="5" t="s">
        <v>130</v>
      </c>
      <c r="C163" s="5" t="s">
        <v>131</v>
      </c>
      <c r="D163" s="5" t="s">
        <v>37</v>
      </c>
      <c r="E163" s="5" t="s">
        <v>82</v>
      </c>
      <c r="F163" s="5" t="s">
        <v>83</v>
      </c>
      <c r="G163" s="5" t="s">
        <v>40</v>
      </c>
      <c r="H163" s="6">
        <v>45961</v>
      </c>
      <c r="I163" s="6">
        <v>45961</v>
      </c>
      <c r="J163" s="6">
        <v>45964</v>
      </c>
      <c r="K163" s="5" t="s">
        <v>135</v>
      </c>
      <c r="L163" s="5" t="s">
        <v>136</v>
      </c>
      <c r="M163" s="5" t="s">
        <v>43</v>
      </c>
      <c r="N163" s="5" t="s">
        <v>137</v>
      </c>
      <c r="O163" s="7">
        <v>1001.7</v>
      </c>
      <c r="P163" s="5" t="s">
        <v>45</v>
      </c>
      <c r="Q163" s="7">
        <v>1001.7</v>
      </c>
      <c r="R163" s="5" t="s">
        <v>45</v>
      </c>
      <c r="S163" s="7">
        <v>294.79000000000002</v>
      </c>
      <c r="T163" s="5" t="s">
        <v>46</v>
      </c>
      <c r="U163" s="5" t="s">
        <v>47</v>
      </c>
      <c r="V163" s="5" t="s">
        <v>47</v>
      </c>
      <c r="W163" s="5" t="s">
        <v>47</v>
      </c>
      <c r="X163" s="5" t="s">
        <v>47</v>
      </c>
    </row>
    <row r="164" spans="1:24" x14ac:dyDescent="0.25">
      <c r="A164" s="5" t="s">
        <v>34</v>
      </c>
      <c r="B164" s="5" t="s">
        <v>130</v>
      </c>
      <c r="C164" s="5" t="s">
        <v>131</v>
      </c>
      <c r="D164" s="5" t="s">
        <v>37</v>
      </c>
      <c r="E164" s="5" t="s">
        <v>102</v>
      </c>
      <c r="F164" s="5" t="s">
        <v>103</v>
      </c>
      <c r="G164" s="5" t="s">
        <v>40</v>
      </c>
      <c r="H164" s="6">
        <v>45961</v>
      </c>
      <c r="I164" s="6">
        <v>45961</v>
      </c>
      <c r="J164" s="6">
        <v>45964</v>
      </c>
      <c r="K164" s="5" t="s">
        <v>135</v>
      </c>
      <c r="L164" s="5" t="s">
        <v>136</v>
      </c>
      <c r="M164" s="5" t="s">
        <v>43</v>
      </c>
      <c r="N164" s="5" t="s">
        <v>137</v>
      </c>
      <c r="O164" s="7">
        <v>70.209999999999994</v>
      </c>
      <c r="P164" s="5" t="s">
        <v>45</v>
      </c>
      <c r="Q164" s="7">
        <v>70.209999999999994</v>
      </c>
      <c r="R164" s="5" t="s">
        <v>45</v>
      </c>
      <c r="S164" s="7">
        <v>20.66</v>
      </c>
      <c r="T164" s="5" t="s">
        <v>46</v>
      </c>
      <c r="U164" s="5" t="s">
        <v>47</v>
      </c>
      <c r="V164" s="5" t="s">
        <v>47</v>
      </c>
      <c r="W164" s="5" t="s">
        <v>47</v>
      </c>
      <c r="X164" s="5" t="s">
        <v>47</v>
      </c>
    </row>
    <row r="165" spans="1:24" x14ac:dyDescent="0.25">
      <c r="A165" s="5" t="s">
        <v>34</v>
      </c>
      <c r="B165" s="5" t="s">
        <v>130</v>
      </c>
      <c r="C165" s="5" t="s">
        <v>131</v>
      </c>
      <c r="D165" s="5" t="s">
        <v>37</v>
      </c>
      <c r="E165" s="5" t="s">
        <v>86</v>
      </c>
      <c r="F165" s="5" t="s">
        <v>87</v>
      </c>
      <c r="G165" s="5" t="s">
        <v>40</v>
      </c>
      <c r="H165" s="6">
        <v>45961</v>
      </c>
      <c r="I165" s="6">
        <v>45961</v>
      </c>
      <c r="J165" s="6">
        <v>45964</v>
      </c>
      <c r="K165" s="5" t="s">
        <v>135</v>
      </c>
      <c r="L165" s="5" t="s">
        <v>136</v>
      </c>
      <c r="M165" s="5" t="s">
        <v>43</v>
      </c>
      <c r="N165" s="5" t="s">
        <v>137</v>
      </c>
      <c r="O165" s="7">
        <v>10694.72</v>
      </c>
      <c r="P165" s="5" t="s">
        <v>45</v>
      </c>
      <c r="Q165" s="7">
        <v>10694.72</v>
      </c>
      <c r="R165" s="5" t="s">
        <v>45</v>
      </c>
      <c r="S165" s="7">
        <v>3147.36</v>
      </c>
      <c r="T165" s="5" t="s">
        <v>46</v>
      </c>
      <c r="U165" s="5" t="s">
        <v>47</v>
      </c>
      <c r="V165" s="5" t="s">
        <v>47</v>
      </c>
      <c r="W165" s="5" t="s">
        <v>47</v>
      </c>
      <c r="X165" s="5" t="s">
        <v>47</v>
      </c>
    </row>
    <row r="166" spans="1:24" x14ac:dyDescent="0.25">
      <c r="A166" s="5" t="s">
        <v>34</v>
      </c>
      <c r="B166" s="5" t="s">
        <v>130</v>
      </c>
      <c r="C166" s="5" t="s">
        <v>131</v>
      </c>
      <c r="D166" s="5" t="s">
        <v>37</v>
      </c>
      <c r="E166" s="5" t="s">
        <v>100</v>
      </c>
      <c r="F166" s="5" t="s">
        <v>101</v>
      </c>
      <c r="G166" s="5" t="s">
        <v>40</v>
      </c>
      <c r="H166" s="6">
        <v>45961</v>
      </c>
      <c r="I166" s="6">
        <v>45961</v>
      </c>
      <c r="J166" s="6">
        <v>45964</v>
      </c>
      <c r="K166" s="5" t="s">
        <v>135</v>
      </c>
      <c r="L166" s="5" t="s">
        <v>136</v>
      </c>
      <c r="M166" s="5" t="s">
        <v>43</v>
      </c>
      <c r="N166" s="5" t="s">
        <v>137</v>
      </c>
      <c r="O166" s="7">
        <v>2013.01</v>
      </c>
      <c r="P166" s="5" t="s">
        <v>45</v>
      </c>
      <c r="Q166" s="7">
        <v>2013.01</v>
      </c>
      <c r="R166" s="5" t="s">
        <v>45</v>
      </c>
      <c r="S166" s="7">
        <v>592.41</v>
      </c>
      <c r="T166" s="5" t="s">
        <v>46</v>
      </c>
      <c r="U166" s="5" t="s">
        <v>47</v>
      </c>
      <c r="V166" s="5" t="s">
        <v>47</v>
      </c>
      <c r="W166" s="5" t="s">
        <v>47</v>
      </c>
      <c r="X166" s="5" t="s">
        <v>47</v>
      </c>
    </row>
    <row r="167" spans="1:24" x14ac:dyDescent="0.25">
      <c r="A167" s="5" t="s">
        <v>34</v>
      </c>
      <c r="B167" s="5" t="s">
        <v>130</v>
      </c>
      <c r="C167" s="5" t="s">
        <v>131</v>
      </c>
      <c r="D167" s="5" t="s">
        <v>37</v>
      </c>
      <c r="E167" s="5" t="s">
        <v>60</v>
      </c>
      <c r="F167" s="5" t="s">
        <v>61</v>
      </c>
      <c r="G167" s="5" t="s">
        <v>40</v>
      </c>
      <c r="H167" s="6">
        <v>45961</v>
      </c>
      <c r="I167" s="6">
        <v>45961</v>
      </c>
      <c r="J167" s="6">
        <v>45964</v>
      </c>
      <c r="K167" s="5" t="s">
        <v>135</v>
      </c>
      <c r="L167" s="5" t="s">
        <v>136</v>
      </c>
      <c r="M167" s="5" t="s">
        <v>43</v>
      </c>
      <c r="N167" s="5" t="s">
        <v>137</v>
      </c>
      <c r="O167" s="7">
        <v>6151.91</v>
      </c>
      <c r="P167" s="5" t="s">
        <v>45</v>
      </c>
      <c r="Q167" s="7">
        <v>6151.91</v>
      </c>
      <c r="R167" s="5" t="s">
        <v>45</v>
      </c>
      <c r="S167" s="7">
        <v>1810.45</v>
      </c>
      <c r="T167" s="5" t="s">
        <v>46</v>
      </c>
      <c r="U167" s="5" t="s">
        <v>47</v>
      </c>
      <c r="V167" s="5" t="s">
        <v>47</v>
      </c>
      <c r="W167" s="5" t="s">
        <v>47</v>
      </c>
      <c r="X167" s="5" t="s">
        <v>47</v>
      </c>
    </row>
    <row r="168" spans="1:24" x14ac:dyDescent="0.25">
      <c r="A168" s="5" t="s">
        <v>34</v>
      </c>
      <c r="B168" s="5" t="s">
        <v>140</v>
      </c>
      <c r="C168" s="5" t="s">
        <v>141</v>
      </c>
      <c r="D168" s="5" t="s">
        <v>37</v>
      </c>
      <c r="E168" s="5" t="s">
        <v>64</v>
      </c>
      <c r="F168" s="5" t="s">
        <v>65</v>
      </c>
      <c r="G168" s="5" t="s">
        <v>40</v>
      </c>
      <c r="H168" s="6">
        <v>45961</v>
      </c>
      <c r="I168" s="6">
        <v>45961</v>
      </c>
      <c r="J168" s="6">
        <v>45950</v>
      </c>
      <c r="K168" s="5" t="s">
        <v>132</v>
      </c>
      <c r="L168" s="5" t="s">
        <v>133</v>
      </c>
      <c r="M168" s="5" t="s">
        <v>43</v>
      </c>
      <c r="N168" s="5" t="s">
        <v>134</v>
      </c>
      <c r="O168" s="7">
        <v>-43.6</v>
      </c>
      <c r="P168" s="5" t="s">
        <v>45</v>
      </c>
      <c r="Q168" s="7">
        <v>-43.6</v>
      </c>
      <c r="R168" s="5" t="s">
        <v>45</v>
      </c>
      <c r="S168" s="7">
        <v>-12.87</v>
      </c>
      <c r="T168" s="5" t="s">
        <v>46</v>
      </c>
      <c r="U168" s="5" t="s">
        <v>47</v>
      </c>
      <c r="V168" s="5" t="s">
        <v>47</v>
      </c>
      <c r="W168" s="5" t="s">
        <v>47</v>
      </c>
      <c r="X168" s="5" t="s">
        <v>47</v>
      </c>
    </row>
    <row r="169" spans="1:24" x14ac:dyDescent="0.25">
      <c r="A169" s="5" t="s">
        <v>34</v>
      </c>
      <c r="B169" s="5" t="s">
        <v>140</v>
      </c>
      <c r="C169" s="5" t="s">
        <v>141</v>
      </c>
      <c r="D169" s="5" t="s">
        <v>37</v>
      </c>
      <c r="E169" s="5" t="s">
        <v>110</v>
      </c>
      <c r="F169" s="5" t="s">
        <v>111</v>
      </c>
      <c r="G169" s="5" t="s">
        <v>40</v>
      </c>
      <c r="H169" s="6">
        <v>45961</v>
      </c>
      <c r="I169" s="6">
        <v>45961</v>
      </c>
      <c r="J169" s="6">
        <v>45964</v>
      </c>
      <c r="K169" s="5" t="s">
        <v>135</v>
      </c>
      <c r="L169" s="5" t="s">
        <v>136</v>
      </c>
      <c r="M169" s="5" t="s">
        <v>43</v>
      </c>
      <c r="N169" s="5" t="s">
        <v>137</v>
      </c>
      <c r="O169" s="7">
        <v>63538.44</v>
      </c>
      <c r="P169" s="5" t="s">
        <v>45</v>
      </c>
      <c r="Q169" s="7">
        <v>63538.44</v>
      </c>
      <c r="R169" s="5" t="s">
        <v>45</v>
      </c>
      <c r="S169" s="7">
        <v>18698.78</v>
      </c>
      <c r="T169" s="5" t="s">
        <v>46</v>
      </c>
      <c r="U169" s="5" t="s">
        <v>47</v>
      </c>
      <c r="V169" s="5" t="s">
        <v>47</v>
      </c>
      <c r="W169" s="5" t="s">
        <v>47</v>
      </c>
      <c r="X169" s="5" t="s">
        <v>47</v>
      </c>
    </row>
    <row r="170" spans="1:24" x14ac:dyDescent="0.25">
      <c r="A170" s="5" t="s">
        <v>34</v>
      </c>
      <c r="B170" s="5" t="s">
        <v>140</v>
      </c>
      <c r="C170" s="5" t="s">
        <v>141</v>
      </c>
      <c r="D170" s="5" t="s">
        <v>37</v>
      </c>
      <c r="E170" s="5" t="s">
        <v>84</v>
      </c>
      <c r="F170" s="5" t="s">
        <v>85</v>
      </c>
      <c r="G170" s="5" t="s">
        <v>40</v>
      </c>
      <c r="H170" s="6">
        <v>45961</v>
      </c>
      <c r="I170" s="6">
        <v>45961</v>
      </c>
      <c r="J170" s="6">
        <v>45964</v>
      </c>
      <c r="K170" s="5" t="s">
        <v>135</v>
      </c>
      <c r="L170" s="5" t="s">
        <v>136</v>
      </c>
      <c r="M170" s="5" t="s">
        <v>43</v>
      </c>
      <c r="N170" s="5" t="s">
        <v>137</v>
      </c>
      <c r="O170" s="7">
        <v>13150</v>
      </c>
      <c r="P170" s="5" t="s">
        <v>45</v>
      </c>
      <c r="Q170" s="7">
        <v>13150</v>
      </c>
      <c r="R170" s="5" t="s">
        <v>45</v>
      </c>
      <c r="S170" s="7">
        <v>3869.92</v>
      </c>
      <c r="T170" s="5" t="s">
        <v>46</v>
      </c>
      <c r="U170" s="5" t="s">
        <v>47</v>
      </c>
      <c r="V170" s="5" t="s">
        <v>47</v>
      </c>
      <c r="W170" s="5" t="s">
        <v>47</v>
      </c>
      <c r="X170" s="5" t="s">
        <v>47</v>
      </c>
    </row>
    <row r="171" spans="1:24" x14ac:dyDescent="0.25">
      <c r="A171" s="5" t="s">
        <v>34</v>
      </c>
      <c r="B171" s="5" t="s">
        <v>140</v>
      </c>
      <c r="C171" s="5" t="s">
        <v>141</v>
      </c>
      <c r="D171" s="5" t="s">
        <v>37</v>
      </c>
      <c r="E171" s="5" t="s">
        <v>60</v>
      </c>
      <c r="F171" s="5" t="s">
        <v>61</v>
      </c>
      <c r="G171" s="5" t="s">
        <v>40</v>
      </c>
      <c r="H171" s="6">
        <v>45961</v>
      </c>
      <c r="I171" s="6">
        <v>45961</v>
      </c>
      <c r="J171" s="6">
        <v>45964</v>
      </c>
      <c r="K171" s="5" t="s">
        <v>135</v>
      </c>
      <c r="L171" s="5" t="s">
        <v>136</v>
      </c>
      <c r="M171" s="5" t="s">
        <v>43</v>
      </c>
      <c r="N171" s="5" t="s">
        <v>137</v>
      </c>
      <c r="O171" s="7">
        <v>76871.7</v>
      </c>
      <c r="P171" s="5" t="s">
        <v>45</v>
      </c>
      <c r="Q171" s="7">
        <v>76871.7</v>
      </c>
      <c r="R171" s="5" t="s">
        <v>45</v>
      </c>
      <c r="S171" s="7">
        <v>22622.63</v>
      </c>
      <c r="T171" s="5" t="s">
        <v>46</v>
      </c>
      <c r="U171" s="5" t="s">
        <v>47</v>
      </c>
      <c r="V171" s="5" t="s">
        <v>47</v>
      </c>
      <c r="W171" s="5" t="s">
        <v>47</v>
      </c>
      <c r="X171" s="5" t="s">
        <v>47</v>
      </c>
    </row>
    <row r="172" spans="1:24" x14ac:dyDescent="0.25">
      <c r="A172" s="5" t="s">
        <v>34</v>
      </c>
      <c r="B172" s="5" t="s">
        <v>140</v>
      </c>
      <c r="C172" s="5" t="s">
        <v>141</v>
      </c>
      <c r="D172" s="5" t="s">
        <v>37</v>
      </c>
      <c r="E172" s="5" t="s">
        <v>104</v>
      </c>
      <c r="F172" s="5" t="s">
        <v>105</v>
      </c>
      <c r="G172" s="5" t="s">
        <v>40</v>
      </c>
      <c r="H172" s="6">
        <v>45961</v>
      </c>
      <c r="I172" s="6">
        <v>45961</v>
      </c>
      <c r="J172" s="6">
        <v>45964</v>
      </c>
      <c r="K172" s="5" t="s">
        <v>135</v>
      </c>
      <c r="L172" s="5" t="s">
        <v>136</v>
      </c>
      <c r="M172" s="5" t="s">
        <v>43</v>
      </c>
      <c r="N172" s="5" t="s">
        <v>137</v>
      </c>
      <c r="O172" s="7">
        <v>37981.18</v>
      </c>
      <c r="P172" s="5" t="s">
        <v>45</v>
      </c>
      <c r="Q172" s="7">
        <v>37981.18</v>
      </c>
      <c r="R172" s="5" t="s">
        <v>45</v>
      </c>
      <c r="S172" s="7">
        <v>11177.51</v>
      </c>
      <c r="T172" s="5" t="s">
        <v>46</v>
      </c>
      <c r="U172" s="5" t="s">
        <v>47</v>
      </c>
      <c r="V172" s="5" t="s">
        <v>47</v>
      </c>
      <c r="W172" s="5" t="s">
        <v>47</v>
      </c>
      <c r="X172" s="5" t="s">
        <v>47</v>
      </c>
    </row>
    <row r="173" spans="1:24" x14ac:dyDescent="0.25">
      <c r="A173" s="5" t="s">
        <v>34</v>
      </c>
      <c r="B173" s="5" t="s">
        <v>140</v>
      </c>
      <c r="C173" s="5" t="s">
        <v>141</v>
      </c>
      <c r="D173" s="5" t="s">
        <v>37</v>
      </c>
      <c r="E173" s="5" t="s">
        <v>116</v>
      </c>
      <c r="F173" s="5" t="s">
        <v>117</v>
      </c>
      <c r="G173" s="5" t="s">
        <v>40</v>
      </c>
      <c r="H173" s="6">
        <v>45961</v>
      </c>
      <c r="I173" s="6">
        <v>45961</v>
      </c>
      <c r="J173" s="6">
        <v>45964</v>
      </c>
      <c r="K173" s="5" t="s">
        <v>135</v>
      </c>
      <c r="L173" s="5" t="s">
        <v>136</v>
      </c>
      <c r="M173" s="5" t="s">
        <v>43</v>
      </c>
      <c r="N173" s="5" t="s">
        <v>137</v>
      </c>
      <c r="O173" s="7">
        <v>31323.5</v>
      </c>
      <c r="P173" s="5" t="s">
        <v>45</v>
      </c>
      <c r="Q173" s="7">
        <v>31323.5</v>
      </c>
      <c r="R173" s="5" t="s">
        <v>45</v>
      </c>
      <c r="S173" s="7">
        <v>9218.2199999999993</v>
      </c>
      <c r="T173" s="5" t="s">
        <v>46</v>
      </c>
      <c r="U173" s="5" t="s">
        <v>47</v>
      </c>
      <c r="V173" s="5" t="s">
        <v>47</v>
      </c>
      <c r="W173" s="5" t="s">
        <v>47</v>
      </c>
      <c r="X173" s="5" t="s">
        <v>47</v>
      </c>
    </row>
    <row r="174" spans="1:24" x14ac:dyDescent="0.25">
      <c r="A174" s="5" t="s">
        <v>34</v>
      </c>
      <c r="B174" s="5" t="s">
        <v>140</v>
      </c>
      <c r="C174" s="5" t="s">
        <v>141</v>
      </c>
      <c r="D174" s="5" t="s">
        <v>37</v>
      </c>
      <c r="E174" s="5" t="s">
        <v>122</v>
      </c>
      <c r="F174" s="5" t="s">
        <v>123</v>
      </c>
      <c r="G174" s="5" t="s">
        <v>40</v>
      </c>
      <c r="H174" s="6">
        <v>45961</v>
      </c>
      <c r="I174" s="6">
        <v>45961</v>
      </c>
      <c r="J174" s="6">
        <v>45964</v>
      </c>
      <c r="K174" s="5" t="s">
        <v>135</v>
      </c>
      <c r="L174" s="5" t="s">
        <v>136</v>
      </c>
      <c r="M174" s="5" t="s">
        <v>43</v>
      </c>
      <c r="N174" s="5" t="s">
        <v>137</v>
      </c>
      <c r="O174" s="7">
        <v>1527.33</v>
      </c>
      <c r="P174" s="5" t="s">
        <v>45</v>
      </c>
      <c r="Q174" s="7">
        <v>1527.33</v>
      </c>
      <c r="R174" s="5" t="s">
        <v>45</v>
      </c>
      <c r="S174" s="7">
        <v>449.48</v>
      </c>
      <c r="T174" s="5" t="s">
        <v>46</v>
      </c>
      <c r="U174" s="5" t="s">
        <v>47</v>
      </c>
      <c r="V174" s="5" t="s">
        <v>47</v>
      </c>
      <c r="W174" s="5" t="s">
        <v>47</v>
      </c>
      <c r="X174" s="5" t="s">
        <v>47</v>
      </c>
    </row>
    <row r="175" spans="1:24" x14ac:dyDescent="0.25">
      <c r="A175" s="5" t="s">
        <v>34</v>
      </c>
      <c r="B175" s="5" t="s">
        <v>140</v>
      </c>
      <c r="C175" s="5" t="s">
        <v>141</v>
      </c>
      <c r="D175" s="5" t="s">
        <v>37</v>
      </c>
      <c r="E175" s="5" t="s">
        <v>92</v>
      </c>
      <c r="F175" s="5" t="s">
        <v>93</v>
      </c>
      <c r="G175" s="5" t="s">
        <v>40</v>
      </c>
      <c r="H175" s="6">
        <v>45961</v>
      </c>
      <c r="I175" s="6">
        <v>45961</v>
      </c>
      <c r="J175" s="6">
        <v>45964</v>
      </c>
      <c r="K175" s="5" t="s">
        <v>135</v>
      </c>
      <c r="L175" s="5" t="s">
        <v>136</v>
      </c>
      <c r="M175" s="5" t="s">
        <v>43</v>
      </c>
      <c r="N175" s="5" t="s">
        <v>137</v>
      </c>
      <c r="O175" s="7">
        <v>4600.3500000000004</v>
      </c>
      <c r="P175" s="5" t="s">
        <v>45</v>
      </c>
      <c r="Q175" s="7">
        <v>4600.3500000000004</v>
      </c>
      <c r="R175" s="5" t="s">
        <v>45</v>
      </c>
      <c r="S175" s="7">
        <v>1353.84</v>
      </c>
      <c r="T175" s="5" t="s">
        <v>46</v>
      </c>
      <c r="U175" s="5" t="s">
        <v>47</v>
      </c>
      <c r="V175" s="5" t="s">
        <v>47</v>
      </c>
      <c r="W175" s="5" t="s">
        <v>47</v>
      </c>
      <c r="X175" s="5" t="s">
        <v>47</v>
      </c>
    </row>
    <row r="176" spans="1:24" x14ac:dyDescent="0.25">
      <c r="A176" s="5" t="s">
        <v>34</v>
      </c>
      <c r="B176" s="5" t="s">
        <v>140</v>
      </c>
      <c r="C176" s="5" t="s">
        <v>141</v>
      </c>
      <c r="D176" s="5" t="s">
        <v>37</v>
      </c>
      <c r="E176" s="5" t="s">
        <v>100</v>
      </c>
      <c r="F176" s="5" t="s">
        <v>101</v>
      </c>
      <c r="G176" s="5" t="s">
        <v>40</v>
      </c>
      <c r="H176" s="6">
        <v>45961</v>
      </c>
      <c r="I176" s="6">
        <v>45961</v>
      </c>
      <c r="J176" s="6">
        <v>45964</v>
      </c>
      <c r="K176" s="5" t="s">
        <v>135</v>
      </c>
      <c r="L176" s="5" t="s">
        <v>136</v>
      </c>
      <c r="M176" s="5" t="s">
        <v>43</v>
      </c>
      <c r="N176" s="5" t="s">
        <v>137</v>
      </c>
      <c r="O176" s="7">
        <v>26090.23</v>
      </c>
      <c r="P176" s="5" t="s">
        <v>45</v>
      </c>
      <c r="Q176" s="7">
        <v>26090.23</v>
      </c>
      <c r="R176" s="5" t="s">
        <v>45</v>
      </c>
      <c r="S176" s="7">
        <v>7678.11</v>
      </c>
      <c r="T176" s="5" t="s">
        <v>46</v>
      </c>
      <c r="U176" s="5" t="s">
        <v>47</v>
      </c>
      <c r="V176" s="5" t="s">
        <v>47</v>
      </c>
      <c r="W176" s="5" t="s">
        <v>47</v>
      </c>
      <c r="X176" s="5" t="s">
        <v>47</v>
      </c>
    </row>
    <row r="177" spans="1:24" x14ac:dyDescent="0.25">
      <c r="A177" s="5" t="s">
        <v>34</v>
      </c>
      <c r="B177" s="5" t="s">
        <v>140</v>
      </c>
      <c r="C177" s="5" t="s">
        <v>141</v>
      </c>
      <c r="D177" s="5" t="s">
        <v>37</v>
      </c>
      <c r="E177" s="5" t="s">
        <v>48</v>
      </c>
      <c r="F177" s="5" t="s">
        <v>49</v>
      </c>
      <c r="G177" s="5" t="s">
        <v>40</v>
      </c>
      <c r="H177" s="6">
        <v>45961</v>
      </c>
      <c r="I177" s="6">
        <v>45961</v>
      </c>
      <c r="J177" s="6">
        <v>45964</v>
      </c>
      <c r="K177" s="5" t="s">
        <v>135</v>
      </c>
      <c r="L177" s="5" t="s">
        <v>136</v>
      </c>
      <c r="M177" s="5" t="s">
        <v>43</v>
      </c>
      <c r="N177" s="5" t="s">
        <v>137</v>
      </c>
      <c r="O177" s="7">
        <v>51806.15</v>
      </c>
      <c r="P177" s="5" t="s">
        <v>45</v>
      </c>
      <c r="Q177" s="7">
        <v>51806.15</v>
      </c>
      <c r="R177" s="5" t="s">
        <v>45</v>
      </c>
      <c r="S177" s="7">
        <v>15246.07</v>
      </c>
      <c r="T177" s="5" t="s">
        <v>46</v>
      </c>
      <c r="U177" s="5" t="s">
        <v>47</v>
      </c>
      <c r="V177" s="5" t="s">
        <v>47</v>
      </c>
      <c r="W177" s="5" t="s">
        <v>47</v>
      </c>
      <c r="X177" s="5" t="s">
        <v>47</v>
      </c>
    </row>
    <row r="178" spans="1:24" x14ac:dyDescent="0.25">
      <c r="A178" s="5" t="s">
        <v>34</v>
      </c>
      <c r="B178" s="5" t="s">
        <v>140</v>
      </c>
      <c r="C178" s="5" t="s">
        <v>141</v>
      </c>
      <c r="D178" s="5" t="s">
        <v>37</v>
      </c>
      <c r="E178" s="5" t="s">
        <v>142</v>
      </c>
      <c r="F178" s="5" t="s">
        <v>143</v>
      </c>
      <c r="G178" s="5" t="s">
        <v>40</v>
      </c>
      <c r="H178" s="6">
        <v>45961</v>
      </c>
      <c r="I178" s="6">
        <v>45961</v>
      </c>
      <c r="J178" s="6">
        <v>45961</v>
      </c>
      <c r="K178" s="5" t="s">
        <v>144</v>
      </c>
      <c r="L178" s="5" t="s">
        <v>145</v>
      </c>
      <c r="M178" s="5" t="s">
        <v>43</v>
      </c>
      <c r="N178" s="5" t="s">
        <v>146</v>
      </c>
      <c r="O178" s="7">
        <v>1310.1300000000001</v>
      </c>
      <c r="P178" s="5" t="s">
        <v>45</v>
      </c>
      <c r="Q178" s="7">
        <v>1310.1300000000001</v>
      </c>
      <c r="R178" s="5" t="s">
        <v>45</v>
      </c>
      <c r="S178" s="7">
        <v>385.56</v>
      </c>
      <c r="T178" s="5" t="s">
        <v>46</v>
      </c>
      <c r="U178" s="5" t="s">
        <v>47</v>
      </c>
      <c r="V178" s="5" t="s">
        <v>47</v>
      </c>
      <c r="W178" s="5" t="s">
        <v>47</v>
      </c>
      <c r="X178" s="5" t="s">
        <v>47</v>
      </c>
    </row>
    <row r="179" spans="1:24" x14ac:dyDescent="0.25">
      <c r="A179" s="5" t="s">
        <v>34</v>
      </c>
      <c r="B179" s="5" t="s">
        <v>140</v>
      </c>
      <c r="C179" s="5" t="s">
        <v>141</v>
      </c>
      <c r="D179" s="5" t="s">
        <v>37</v>
      </c>
      <c r="E179" s="5" t="s">
        <v>96</v>
      </c>
      <c r="F179" s="5" t="s">
        <v>97</v>
      </c>
      <c r="G179" s="5" t="s">
        <v>40</v>
      </c>
      <c r="H179" s="6">
        <v>45961</v>
      </c>
      <c r="I179" s="6">
        <v>45961</v>
      </c>
      <c r="J179" s="6">
        <v>45964</v>
      </c>
      <c r="K179" s="5" t="s">
        <v>147</v>
      </c>
      <c r="L179" s="5" t="s">
        <v>148</v>
      </c>
      <c r="M179" s="5" t="s">
        <v>43</v>
      </c>
      <c r="N179" s="5" t="s">
        <v>149</v>
      </c>
      <c r="O179" s="7">
        <v>659.87</v>
      </c>
      <c r="P179" s="5" t="s">
        <v>45</v>
      </c>
      <c r="Q179" s="7">
        <v>659.87</v>
      </c>
      <c r="R179" s="5" t="s">
        <v>45</v>
      </c>
      <c r="S179" s="7">
        <v>194.2</v>
      </c>
      <c r="T179" s="5" t="s">
        <v>46</v>
      </c>
      <c r="U179" s="5" t="s">
        <v>47</v>
      </c>
      <c r="V179" s="5" t="s">
        <v>47</v>
      </c>
      <c r="W179" s="5" t="s">
        <v>47</v>
      </c>
      <c r="X179" s="5" t="s">
        <v>47</v>
      </c>
    </row>
    <row r="180" spans="1:24" x14ac:dyDescent="0.25">
      <c r="A180" s="5" t="s">
        <v>34</v>
      </c>
      <c r="B180" s="5" t="s">
        <v>140</v>
      </c>
      <c r="C180" s="5" t="s">
        <v>141</v>
      </c>
      <c r="D180" s="5" t="s">
        <v>37</v>
      </c>
      <c r="E180" s="5" t="s">
        <v>70</v>
      </c>
      <c r="F180" s="5" t="s">
        <v>71</v>
      </c>
      <c r="G180" s="5" t="s">
        <v>40</v>
      </c>
      <c r="H180" s="6">
        <v>45961</v>
      </c>
      <c r="I180" s="6">
        <v>45961</v>
      </c>
      <c r="J180" s="6">
        <v>45964</v>
      </c>
      <c r="K180" s="5" t="s">
        <v>135</v>
      </c>
      <c r="L180" s="5" t="s">
        <v>136</v>
      </c>
      <c r="M180" s="5" t="s">
        <v>43</v>
      </c>
      <c r="N180" s="5" t="s">
        <v>137</v>
      </c>
      <c r="O180" s="7">
        <v>9800.4</v>
      </c>
      <c r="P180" s="5" t="s">
        <v>45</v>
      </c>
      <c r="Q180" s="7">
        <v>9800.4</v>
      </c>
      <c r="R180" s="5" t="s">
        <v>45</v>
      </c>
      <c r="S180" s="7">
        <v>2884.17</v>
      </c>
      <c r="T180" s="5" t="s">
        <v>46</v>
      </c>
      <c r="U180" s="5" t="s">
        <v>47</v>
      </c>
      <c r="V180" s="5" t="s">
        <v>47</v>
      </c>
      <c r="W180" s="5" t="s">
        <v>47</v>
      </c>
      <c r="X180" s="5" t="s">
        <v>47</v>
      </c>
    </row>
    <row r="181" spans="1:24" x14ac:dyDescent="0.25">
      <c r="A181" s="5" t="s">
        <v>34</v>
      </c>
      <c r="B181" s="5" t="s">
        <v>140</v>
      </c>
      <c r="C181" s="5" t="s">
        <v>141</v>
      </c>
      <c r="D181" s="5" t="s">
        <v>37</v>
      </c>
      <c r="E181" s="5" t="s">
        <v>62</v>
      </c>
      <c r="F181" s="5" t="s">
        <v>63</v>
      </c>
      <c r="G181" s="5" t="s">
        <v>40</v>
      </c>
      <c r="H181" s="6">
        <v>45961</v>
      </c>
      <c r="I181" s="6">
        <v>45961</v>
      </c>
      <c r="J181" s="6">
        <v>45964</v>
      </c>
      <c r="K181" s="5" t="s">
        <v>135</v>
      </c>
      <c r="L181" s="5" t="s">
        <v>136</v>
      </c>
      <c r="M181" s="5" t="s">
        <v>43</v>
      </c>
      <c r="N181" s="5" t="s">
        <v>137</v>
      </c>
      <c r="O181" s="7">
        <v>32830.559999999998</v>
      </c>
      <c r="P181" s="5" t="s">
        <v>45</v>
      </c>
      <c r="Q181" s="7">
        <v>32830.559999999998</v>
      </c>
      <c r="R181" s="5" t="s">
        <v>45</v>
      </c>
      <c r="S181" s="7">
        <v>9661.73</v>
      </c>
      <c r="T181" s="5" t="s">
        <v>46</v>
      </c>
      <c r="U181" s="5" t="s">
        <v>47</v>
      </c>
      <c r="V181" s="5" t="s">
        <v>47</v>
      </c>
      <c r="W181" s="5" t="s">
        <v>47</v>
      </c>
      <c r="X181" s="5" t="s">
        <v>47</v>
      </c>
    </row>
    <row r="182" spans="1:24" x14ac:dyDescent="0.25">
      <c r="A182" s="5" t="s">
        <v>34</v>
      </c>
      <c r="B182" s="5" t="s">
        <v>140</v>
      </c>
      <c r="C182" s="5" t="s">
        <v>141</v>
      </c>
      <c r="D182" s="5" t="s">
        <v>37</v>
      </c>
      <c r="E182" s="5" t="s">
        <v>80</v>
      </c>
      <c r="F182" s="5" t="s">
        <v>81</v>
      </c>
      <c r="G182" s="5" t="s">
        <v>40</v>
      </c>
      <c r="H182" s="6">
        <v>45961</v>
      </c>
      <c r="I182" s="6">
        <v>45961</v>
      </c>
      <c r="J182" s="6">
        <v>45964</v>
      </c>
      <c r="K182" s="5" t="s">
        <v>135</v>
      </c>
      <c r="L182" s="5" t="s">
        <v>136</v>
      </c>
      <c r="M182" s="5" t="s">
        <v>43</v>
      </c>
      <c r="N182" s="5" t="s">
        <v>137</v>
      </c>
      <c r="O182" s="7">
        <v>18205.61</v>
      </c>
      <c r="P182" s="5" t="s">
        <v>45</v>
      </c>
      <c r="Q182" s="7">
        <v>18205.61</v>
      </c>
      <c r="R182" s="5" t="s">
        <v>45</v>
      </c>
      <c r="S182" s="7">
        <v>5357.74</v>
      </c>
      <c r="T182" s="5" t="s">
        <v>46</v>
      </c>
      <c r="U182" s="5" t="s">
        <v>47</v>
      </c>
      <c r="V182" s="5" t="s">
        <v>47</v>
      </c>
      <c r="W182" s="5" t="s">
        <v>47</v>
      </c>
      <c r="X182" s="5" t="s">
        <v>47</v>
      </c>
    </row>
    <row r="183" spans="1:24" x14ac:dyDescent="0.25">
      <c r="A183" s="5" t="s">
        <v>34</v>
      </c>
      <c r="B183" s="5" t="s">
        <v>140</v>
      </c>
      <c r="C183" s="5" t="s">
        <v>141</v>
      </c>
      <c r="D183" s="5" t="s">
        <v>37</v>
      </c>
      <c r="E183" s="5" t="s">
        <v>118</v>
      </c>
      <c r="F183" s="5" t="s">
        <v>119</v>
      </c>
      <c r="G183" s="5" t="s">
        <v>40</v>
      </c>
      <c r="H183" s="6">
        <v>45961</v>
      </c>
      <c r="I183" s="6">
        <v>45961</v>
      </c>
      <c r="J183" s="6">
        <v>45964</v>
      </c>
      <c r="K183" s="5" t="s">
        <v>135</v>
      </c>
      <c r="L183" s="5" t="s">
        <v>136</v>
      </c>
      <c r="M183" s="5" t="s">
        <v>43</v>
      </c>
      <c r="N183" s="5" t="s">
        <v>137</v>
      </c>
      <c r="O183" s="7">
        <v>51221.599999999999</v>
      </c>
      <c r="P183" s="5" t="s">
        <v>45</v>
      </c>
      <c r="Q183" s="7">
        <v>51221.599999999999</v>
      </c>
      <c r="R183" s="5" t="s">
        <v>45</v>
      </c>
      <c r="S183" s="7">
        <v>15074.04</v>
      </c>
      <c r="T183" s="5" t="s">
        <v>46</v>
      </c>
      <c r="U183" s="5" t="s">
        <v>47</v>
      </c>
      <c r="V183" s="5" t="s">
        <v>47</v>
      </c>
      <c r="W183" s="5" t="s">
        <v>47</v>
      </c>
      <c r="X183" s="5" t="s">
        <v>47</v>
      </c>
    </row>
    <row r="184" spans="1:24" x14ac:dyDescent="0.25">
      <c r="A184" s="5" t="s">
        <v>34</v>
      </c>
      <c r="B184" s="5" t="s">
        <v>140</v>
      </c>
      <c r="C184" s="5" t="s">
        <v>141</v>
      </c>
      <c r="D184" s="5" t="s">
        <v>37</v>
      </c>
      <c r="E184" s="5" t="s">
        <v>68</v>
      </c>
      <c r="F184" s="5" t="s">
        <v>69</v>
      </c>
      <c r="G184" s="5" t="s">
        <v>40</v>
      </c>
      <c r="H184" s="6">
        <v>45961</v>
      </c>
      <c r="I184" s="6">
        <v>45961</v>
      </c>
      <c r="J184" s="6">
        <v>45964</v>
      </c>
      <c r="K184" s="5" t="s">
        <v>135</v>
      </c>
      <c r="L184" s="5" t="s">
        <v>136</v>
      </c>
      <c r="M184" s="5" t="s">
        <v>43</v>
      </c>
      <c r="N184" s="5" t="s">
        <v>137</v>
      </c>
      <c r="O184" s="7">
        <v>20343.8</v>
      </c>
      <c r="P184" s="5" t="s">
        <v>45</v>
      </c>
      <c r="Q184" s="7">
        <v>20343.8</v>
      </c>
      <c r="R184" s="5" t="s">
        <v>45</v>
      </c>
      <c r="S184" s="7">
        <v>5986.99</v>
      </c>
      <c r="T184" s="5" t="s">
        <v>46</v>
      </c>
      <c r="U184" s="5" t="s">
        <v>47</v>
      </c>
      <c r="V184" s="5" t="s">
        <v>47</v>
      </c>
      <c r="W184" s="5" t="s">
        <v>47</v>
      </c>
      <c r="X184" s="5" t="s">
        <v>47</v>
      </c>
    </row>
    <row r="185" spans="1:24" x14ac:dyDescent="0.25">
      <c r="A185" s="5" t="s">
        <v>34</v>
      </c>
      <c r="B185" s="5" t="s">
        <v>140</v>
      </c>
      <c r="C185" s="5" t="s">
        <v>141</v>
      </c>
      <c r="D185" s="5" t="s">
        <v>37</v>
      </c>
      <c r="E185" s="5" t="s">
        <v>74</v>
      </c>
      <c r="F185" s="5" t="s">
        <v>75</v>
      </c>
      <c r="G185" s="5" t="s">
        <v>40</v>
      </c>
      <c r="H185" s="6">
        <v>45961</v>
      </c>
      <c r="I185" s="6">
        <v>45961</v>
      </c>
      <c r="J185" s="6">
        <v>45964</v>
      </c>
      <c r="K185" s="5" t="s">
        <v>135</v>
      </c>
      <c r="L185" s="5" t="s">
        <v>136</v>
      </c>
      <c r="M185" s="5" t="s">
        <v>43</v>
      </c>
      <c r="N185" s="5" t="s">
        <v>137</v>
      </c>
      <c r="O185" s="7">
        <v>360428.34</v>
      </c>
      <c r="P185" s="5" t="s">
        <v>45</v>
      </c>
      <c r="Q185" s="7">
        <v>360428.34</v>
      </c>
      <c r="R185" s="5" t="s">
        <v>45</v>
      </c>
      <c r="S185" s="7">
        <v>106070.73</v>
      </c>
      <c r="T185" s="5" t="s">
        <v>46</v>
      </c>
      <c r="U185" s="5" t="s">
        <v>47</v>
      </c>
      <c r="V185" s="5" t="s">
        <v>47</v>
      </c>
      <c r="W185" s="5" t="s">
        <v>47</v>
      </c>
      <c r="X185" s="5" t="s">
        <v>47</v>
      </c>
    </row>
    <row r="186" spans="1:24" x14ac:dyDescent="0.25">
      <c r="A186" s="5" t="s">
        <v>34</v>
      </c>
      <c r="B186" s="5" t="s">
        <v>140</v>
      </c>
      <c r="C186" s="5" t="s">
        <v>141</v>
      </c>
      <c r="D186" s="5" t="s">
        <v>37</v>
      </c>
      <c r="E186" s="5" t="s">
        <v>106</v>
      </c>
      <c r="F186" s="5" t="s">
        <v>107</v>
      </c>
      <c r="G186" s="5" t="s">
        <v>40</v>
      </c>
      <c r="H186" s="6">
        <v>45961</v>
      </c>
      <c r="I186" s="6">
        <v>45961</v>
      </c>
      <c r="J186" s="6">
        <v>45964</v>
      </c>
      <c r="K186" s="5" t="s">
        <v>135</v>
      </c>
      <c r="L186" s="5" t="s">
        <v>136</v>
      </c>
      <c r="M186" s="5" t="s">
        <v>43</v>
      </c>
      <c r="N186" s="5" t="s">
        <v>137</v>
      </c>
      <c r="O186" s="7">
        <v>9951.27</v>
      </c>
      <c r="P186" s="5" t="s">
        <v>45</v>
      </c>
      <c r="Q186" s="7">
        <v>9951.27</v>
      </c>
      <c r="R186" s="5" t="s">
        <v>45</v>
      </c>
      <c r="S186" s="7">
        <v>2928.57</v>
      </c>
      <c r="T186" s="5" t="s">
        <v>46</v>
      </c>
      <c r="U186" s="5" t="s">
        <v>47</v>
      </c>
      <c r="V186" s="5" t="s">
        <v>47</v>
      </c>
      <c r="W186" s="5" t="s">
        <v>47</v>
      </c>
      <c r="X186" s="5" t="s">
        <v>47</v>
      </c>
    </row>
    <row r="187" spans="1:24" x14ac:dyDescent="0.25">
      <c r="A187" s="5" t="s">
        <v>34</v>
      </c>
      <c r="B187" s="5" t="s">
        <v>140</v>
      </c>
      <c r="C187" s="5" t="s">
        <v>141</v>
      </c>
      <c r="D187" s="5" t="s">
        <v>37</v>
      </c>
      <c r="E187" s="5" t="s">
        <v>98</v>
      </c>
      <c r="F187" s="5" t="s">
        <v>99</v>
      </c>
      <c r="G187" s="5" t="s">
        <v>40</v>
      </c>
      <c r="H187" s="6">
        <v>45961</v>
      </c>
      <c r="I187" s="6">
        <v>45961</v>
      </c>
      <c r="J187" s="6">
        <v>45964</v>
      </c>
      <c r="K187" s="5" t="s">
        <v>135</v>
      </c>
      <c r="L187" s="5" t="s">
        <v>136</v>
      </c>
      <c r="M187" s="5" t="s">
        <v>43</v>
      </c>
      <c r="N187" s="5" t="s">
        <v>137</v>
      </c>
      <c r="O187" s="7">
        <v>3440</v>
      </c>
      <c r="P187" s="5" t="s">
        <v>45</v>
      </c>
      <c r="Q187" s="7">
        <v>3440</v>
      </c>
      <c r="R187" s="5" t="s">
        <v>45</v>
      </c>
      <c r="S187" s="7">
        <v>1012.36</v>
      </c>
      <c r="T187" s="5" t="s">
        <v>46</v>
      </c>
      <c r="U187" s="5" t="s">
        <v>47</v>
      </c>
      <c r="V187" s="5" t="s">
        <v>47</v>
      </c>
      <c r="W187" s="5" t="s">
        <v>47</v>
      </c>
      <c r="X187" s="5" t="s">
        <v>47</v>
      </c>
    </row>
    <row r="188" spans="1:24" x14ac:dyDescent="0.25">
      <c r="A188" s="5" t="s">
        <v>34</v>
      </c>
      <c r="B188" s="5" t="s">
        <v>140</v>
      </c>
      <c r="C188" s="5" t="s">
        <v>141</v>
      </c>
      <c r="D188" s="5" t="s">
        <v>37</v>
      </c>
      <c r="E188" s="5" t="s">
        <v>72</v>
      </c>
      <c r="F188" s="5" t="s">
        <v>73</v>
      </c>
      <c r="G188" s="5" t="s">
        <v>40</v>
      </c>
      <c r="H188" s="6">
        <v>45961</v>
      </c>
      <c r="I188" s="6">
        <v>45961</v>
      </c>
      <c r="J188" s="6">
        <v>45964</v>
      </c>
      <c r="K188" s="5" t="s">
        <v>135</v>
      </c>
      <c r="L188" s="5" t="s">
        <v>136</v>
      </c>
      <c r="M188" s="5" t="s">
        <v>43</v>
      </c>
      <c r="N188" s="5" t="s">
        <v>137</v>
      </c>
      <c r="O188" s="7">
        <v>9195.82</v>
      </c>
      <c r="P188" s="5" t="s">
        <v>45</v>
      </c>
      <c r="Q188" s="7">
        <v>9195.82</v>
      </c>
      <c r="R188" s="5" t="s">
        <v>45</v>
      </c>
      <c r="S188" s="7">
        <v>2706.24</v>
      </c>
      <c r="T188" s="5" t="s">
        <v>46</v>
      </c>
      <c r="U188" s="5" t="s">
        <v>47</v>
      </c>
      <c r="V188" s="5" t="s">
        <v>47</v>
      </c>
      <c r="W188" s="5" t="s">
        <v>47</v>
      </c>
      <c r="X188" s="5" t="s">
        <v>47</v>
      </c>
    </row>
    <row r="189" spans="1:24" x14ac:dyDescent="0.25">
      <c r="A189" s="5" t="s">
        <v>34</v>
      </c>
      <c r="B189" s="5" t="s">
        <v>140</v>
      </c>
      <c r="C189" s="5" t="s">
        <v>141</v>
      </c>
      <c r="D189" s="5" t="s">
        <v>37</v>
      </c>
      <c r="E189" s="5" t="s">
        <v>54</v>
      </c>
      <c r="F189" s="5" t="s">
        <v>55</v>
      </c>
      <c r="G189" s="5" t="s">
        <v>40</v>
      </c>
      <c r="H189" s="6">
        <v>45961</v>
      </c>
      <c r="I189" s="6">
        <v>45961</v>
      </c>
      <c r="J189" s="6">
        <v>45964</v>
      </c>
      <c r="K189" s="5" t="s">
        <v>135</v>
      </c>
      <c r="L189" s="5" t="s">
        <v>136</v>
      </c>
      <c r="M189" s="5" t="s">
        <v>43</v>
      </c>
      <c r="N189" s="5" t="s">
        <v>137</v>
      </c>
      <c r="O189" s="7">
        <v>10499.8</v>
      </c>
      <c r="P189" s="5" t="s">
        <v>45</v>
      </c>
      <c r="Q189" s="7">
        <v>10499.8</v>
      </c>
      <c r="R189" s="5" t="s">
        <v>45</v>
      </c>
      <c r="S189" s="7">
        <v>3089.99</v>
      </c>
      <c r="T189" s="5" t="s">
        <v>46</v>
      </c>
      <c r="U189" s="5" t="s">
        <v>47</v>
      </c>
      <c r="V189" s="5" t="s">
        <v>47</v>
      </c>
      <c r="W189" s="5" t="s">
        <v>47</v>
      </c>
      <c r="X189" s="5" t="s">
        <v>47</v>
      </c>
    </row>
    <row r="190" spans="1:24" x14ac:dyDescent="0.25">
      <c r="A190" s="5" t="s">
        <v>34</v>
      </c>
      <c r="B190" s="5" t="s">
        <v>140</v>
      </c>
      <c r="C190" s="5" t="s">
        <v>141</v>
      </c>
      <c r="D190" s="5" t="s">
        <v>37</v>
      </c>
      <c r="E190" s="5" t="s">
        <v>52</v>
      </c>
      <c r="F190" s="5" t="s">
        <v>53</v>
      </c>
      <c r="G190" s="5" t="s">
        <v>40</v>
      </c>
      <c r="H190" s="6">
        <v>45961</v>
      </c>
      <c r="I190" s="6">
        <v>45961</v>
      </c>
      <c r="J190" s="6">
        <v>45964</v>
      </c>
      <c r="K190" s="5" t="s">
        <v>135</v>
      </c>
      <c r="L190" s="5" t="s">
        <v>136</v>
      </c>
      <c r="M190" s="5" t="s">
        <v>43</v>
      </c>
      <c r="N190" s="5" t="s">
        <v>137</v>
      </c>
      <c r="O190" s="7">
        <v>4829.67</v>
      </c>
      <c r="P190" s="5" t="s">
        <v>45</v>
      </c>
      <c r="Q190" s="7">
        <v>4829.67</v>
      </c>
      <c r="R190" s="5" t="s">
        <v>45</v>
      </c>
      <c r="S190" s="7">
        <v>1421.33</v>
      </c>
      <c r="T190" s="5" t="s">
        <v>46</v>
      </c>
      <c r="U190" s="5" t="s">
        <v>47</v>
      </c>
      <c r="V190" s="5" t="s">
        <v>47</v>
      </c>
      <c r="W190" s="5" t="s">
        <v>47</v>
      </c>
      <c r="X190" s="5" t="s">
        <v>47</v>
      </c>
    </row>
    <row r="191" spans="1:24" x14ac:dyDescent="0.25">
      <c r="A191" s="5" t="s">
        <v>34</v>
      </c>
      <c r="B191" s="5" t="s">
        <v>140</v>
      </c>
      <c r="C191" s="5" t="s">
        <v>141</v>
      </c>
      <c r="D191" s="5" t="s">
        <v>37</v>
      </c>
      <c r="E191" s="5" t="s">
        <v>58</v>
      </c>
      <c r="F191" s="5" t="s">
        <v>59</v>
      </c>
      <c r="G191" s="5" t="s">
        <v>40</v>
      </c>
      <c r="H191" s="6">
        <v>45961</v>
      </c>
      <c r="I191" s="6">
        <v>45961</v>
      </c>
      <c r="J191" s="6">
        <v>45964</v>
      </c>
      <c r="K191" s="5" t="s">
        <v>135</v>
      </c>
      <c r="L191" s="5" t="s">
        <v>136</v>
      </c>
      <c r="M191" s="5" t="s">
        <v>43</v>
      </c>
      <c r="N191" s="5" t="s">
        <v>137</v>
      </c>
      <c r="O191" s="7">
        <v>3440</v>
      </c>
      <c r="P191" s="5" t="s">
        <v>45</v>
      </c>
      <c r="Q191" s="7">
        <v>3440</v>
      </c>
      <c r="R191" s="5" t="s">
        <v>45</v>
      </c>
      <c r="S191" s="7">
        <v>1012.36</v>
      </c>
      <c r="T191" s="5" t="s">
        <v>46</v>
      </c>
      <c r="U191" s="5" t="s">
        <v>47</v>
      </c>
      <c r="V191" s="5" t="s">
        <v>47</v>
      </c>
      <c r="W191" s="5" t="s">
        <v>47</v>
      </c>
      <c r="X191" s="5" t="s">
        <v>47</v>
      </c>
    </row>
    <row r="192" spans="1:24" x14ac:dyDescent="0.25">
      <c r="A192" s="5" t="s">
        <v>34</v>
      </c>
      <c r="B192" s="5" t="s">
        <v>140</v>
      </c>
      <c r="C192" s="5" t="s">
        <v>141</v>
      </c>
      <c r="D192" s="5" t="s">
        <v>37</v>
      </c>
      <c r="E192" s="5" t="s">
        <v>138</v>
      </c>
      <c r="F192" s="5" t="s">
        <v>139</v>
      </c>
      <c r="G192" s="5" t="s">
        <v>40</v>
      </c>
      <c r="H192" s="6">
        <v>45961</v>
      </c>
      <c r="I192" s="6">
        <v>45961</v>
      </c>
      <c r="J192" s="6">
        <v>45964</v>
      </c>
      <c r="K192" s="5" t="s">
        <v>135</v>
      </c>
      <c r="L192" s="5" t="s">
        <v>136</v>
      </c>
      <c r="M192" s="5" t="s">
        <v>43</v>
      </c>
      <c r="N192" s="5" t="s">
        <v>137</v>
      </c>
      <c r="O192" s="7">
        <v>14527.14</v>
      </c>
      <c r="P192" s="5" t="s">
        <v>45</v>
      </c>
      <c r="Q192" s="7">
        <v>14527.14</v>
      </c>
      <c r="R192" s="5" t="s">
        <v>45</v>
      </c>
      <c r="S192" s="7">
        <v>4275.2</v>
      </c>
      <c r="T192" s="5" t="s">
        <v>46</v>
      </c>
      <c r="U192" s="5" t="s">
        <v>47</v>
      </c>
      <c r="V192" s="5" t="s">
        <v>47</v>
      </c>
      <c r="W192" s="5" t="s">
        <v>47</v>
      </c>
      <c r="X192" s="5" t="s">
        <v>47</v>
      </c>
    </row>
    <row r="193" spans="1:24" x14ac:dyDescent="0.25">
      <c r="A193" s="5" t="s">
        <v>34</v>
      </c>
      <c r="B193" s="5" t="s">
        <v>140</v>
      </c>
      <c r="C193" s="5" t="s">
        <v>141</v>
      </c>
      <c r="D193" s="5" t="s">
        <v>37</v>
      </c>
      <c r="E193" s="5" t="s">
        <v>102</v>
      </c>
      <c r="F193" s="5" t="s">
        <v>103</v>
      </c>
      <c r="G193" s="5" t="s">
        <v>40</v>
      </c>
      <c r="H193" s="6">
        <v>45961</v>
      </c>
      <c r="I193" s="6">
        <v>45961</v>
      </c>
      <c r="J193" s="6">
        <v>45964</v>
      </c>
      <c r="K193" s="5" t="s">
        <v>135</v>
      </c>
      <c r="L193" s="5" t="s">
        <v>136</v>
      </c>
      <c r="M193" s="5" t="s">
        <v>43</v>
      </c>
      <c r="N193" s="5" t="s">
        <v>137</v>
      </c>
      <c r="O193" s="7">
        <v>127045.06</v>
      </c>
      <c r="P193" s="5" t="s">
        <v>45</v>
      </c>
      <c r="Q193" s="7">
        <v>127045.06</v>
      </c>
      <c r="R193" s="5" t="s">
        <v>45</v>
      </c>
      <c r="S193" s="7">
        <v>37388.19</v>
      </c>
      <c r="T193" s="5" t="s">
        <v>46</v>
      </c>
      <c r="U193" s="5" t="s">
        <v>47</v>
      </c>
      <c r="V193" s="5" t="s">
        <v>47</v>
      </c>
      <c r="W193" s="5" t="s">
        <v>47</v>
      </c>
      <c r="X193" s="5" t="s">
        <v>47</v>
      </c>
    </row>
    <row r="194" spans="1:24" x14ac:dyDescent="0.25">
      <c r="A194" s="5" t="s">
        <v>34</v>
      </c>
      <c r="B194" s="5" t="s">
        <v>140</v>
      </c>
      <c r="C194" s="5" t="s">
        <v>141</v>
      </c>
      <c r="D194" s="5" t="s">
        <v>37</v>
      </c>
      <c r="E194" s="5" t="s">
        <v>110</v>
      </c>
      <c r="F194" s="5" t="s">
        <v>111</v>
      </c>
      <c r="G194" s="5" t="s">
        <v>40</v>
      </c>
      <c r="H194" s="6">
        <v>45961</v>
      </c>
      <c r="I194" s="6">
        <v>45961</v>
      </c>
      <c r="J194" s="6">
        <v>45960</v>
      </c>
      <c r="K194" s="5" t="s">
        <v>150</v>
      </c>
      <c r="L194" s="5" t="s">
        <v>151</v>
      </c>
      <c r="M194" s="5" t="s">
        <v>43</v>
      </c>
      <c r="N194" s="5" t="s">
        <v>152</v>
      </c>
      <c r="O194" s="7">
        <v>692.68</v>
      </c>
      <c r="P194" s="5" t="s">
        <v>45</v>
      </c>
      <c r="Q194" s="7">
        <v>692.68</v>
      </c>
      <c r="R194" s="5" t="s">
        <v>45</v>
      </c>
      <c r="S194" s="7">
        <v>204.09</v>
      </c>
      <c r="T194" s="5" t="s">
        <v>46</v>
      </c>
      <c r="U194" s="5" t="s">
        <v>47</v>
      </c>
      <c r="V194" s="5" t="s">
        <v>47</v>
      </c>
      <c r="W194" s="5" t="s">
        <v>47</v>
      </c>
      <c r="X194" s="5" t="s">
        <v>47</v>
      </c>
    </row>
    <row r="195" spans="1:24" x14ac:dyDescent="0.25">
      <c r="A195" s="5" t="s">
        <v>34</v>
      </c>
      <c r="B195" s="5" t="s">
        <v>140</v>
      </c>
      <c r="C195" s="5" t="s">
        <v>141</v>
      </c>
      <c r="D195" s="5" t="s">
        <v>37</v>
      </c>
      <c r="E195" s="5" t="s">
        <v>96</v>
      </c>
      <c r="F195" s="5" t="s">
        <v>97</v>
      </c>
      <c r="G195" s="5" t="s">
        <v>40</v>
      </c>
      <c r="H195" s="6">
        <v>45961</v>
      </c>
      <c r="I195" s="6">
        <v>45961</v>
      </c>
      <c r="J195" s="6">
        <v>45964</v>
      </c>
      <c r="K195" s="5" t="s">
        <v>135</v>
      </c>
      <c r="L195" s="5" t="s">
        <v>136</v>
      </c>
      <c r="M195" s="5" t="s">
        <v>43</v>
      </c>
      <c r="N195" s="5" t="s">
        <v>137</v>
      </c>
      <c r="O195" s="7">
        <v>313716.11</v>
      </c>
      <c r="P195" s="5" t="s">
        <v>45</v>
      </c>
      <c r="Q195" s="7">
        <v>313716.11</v>
      </c>
      <c r="R195" s="5" t="s">
        <v>45</v>
      </c>
      <c r="S195" s="7">
        <v>92323.75</v>
      </c>
      <c r="T195" s="5" t="s">
        <v>46</v>
      </c>
      <c r="U195" s="5" t="s">
        <v>47</v>
      </c>
      <c r="V195" s="5" t="s">
        <v>47</v>
      </c>
      <c r="W195" s="5" t="s">
        <v>47</v>
      </c>
      <c r="X195" s="5" t="s">
        <v>47</v>
      </c>
    </row>
    <row r="196" spans="1:24" x14ac:dyDescent="0.25">
      <c r="A196" s="5" t="s">
        <v>34</v>
      </c>
      <c r="B196" s="5" t="s">
        <v>140</v>
      </c>
      <c r="C196" s="5" t="s">
        <v>141</v>
      </c>
      <c r="D196" s="5" t="s">
        <v>37</v>
      </c>
      <c r="E196" s="5" t="s">
        <v>38</v>
      </c>
      <c r="F196" s="5" t="s">
        <v>39</v>
      </c>
      <c r="G196" s="5" t="s">
        <v>40</v>
      </c>
      <c r="H196" s="6">
        <v>45961</v>
      </c>
      <c r="I196" s="6">
        <v>45961</v>
      </c>
      <c r="J196" s="6">
        <v>45964</v>
      </c>
      <c r="K196" s="5" t="s">
        <v>135</v>
      </c>
      <c r="L196" s="5" t="s">
        <v>136</v>
      </c>
      <c r="M196" s="5" t="s">
        <v>43</v>
      </c>
      <c r="N196" s="5" t="s">
        <v>137</v>
      </c>
      <c r="O196" s="7">
        <v>36218.86</v>
      </c>
      <c r="P196" s="5" t="s">
        <v>45</v>
      </c>
      <c r="Q196" s="7">
        <v>36218.86</v>
      </c>
      <c r="R196" s="5" t="s">
        <v>45</v>
      </c>
      <c r="S196" s="7">
        <v>10658.88</v>
      </c>
      <c r="T196" s="5" t="s">
        <v>46</v>
      </c>
      <c r="U196" s="5" t="s">
        <v>47</v>
      </c>
      <c r="V196" s="5" t="s">
        <v>47</v>
      </c>
      <c r="W196" s="5" t="s">
        <v>47</v>
      </c>
      <c r="X196" s="5" t="s">
        <v>47</v>
      </c>
    </row>
    <row r="197" spans="1:24" x14ac:dyDescent="0.25">
      <c r="A197" s="5" t="s">
        <v>34</v>
      </c>
      <c r="B197" s="5" t="s">
        <v>140</v>
      </c>
      <c r="C197" s="5" t="s">
        <v>141</v>
      </c>
      <c r="D197" s="5" t="s">
        <v>37</v>
      </c>
      <c r="E197" s="5" t="s">
        <v>50</v>
      </c>
      <c r="F197" s="5" t="s">
        <v>51</v>
      </c>
      <c r="G197" s="5" t="s">
        <v>40</v>
      </c>
      <c r="H197" s="6">
        <v>45961</v>
      </c>
      <c r="I197" s="6">
        <v>45961</v>
      </c>
      <c r="J197" s="6">
        <v>45964</v>
      </c>
      <c r="K197" s="5" t="s">
        <v>135</v>
      </c>
      <c r="L197" s="5" t="s">
        <v>136</v>
      </c>
      <c r="M197" s="5" t="s">
        <v>43</v>
      </c>
      <c r="N197" s="5" t="s">
        <v>137</v>
      </c>
      <c r="O197" s="7">
        <v>53271.93</v>
      </c>
      <c r="P197" s="5" t="s">
        <v>45</v>
      </c>
      <c r="Q197" s="7">
        <v>53271.93</v>
      </c>
      <c r="R197" s="5" t="s">
        <v>45</v>
      </c>
      <c r="S197" s="7">
        <v>15677.44</v>
      </c>
      <c r="T197" s="5" t="s">
        <v>46</v>
      </c>
      <c r="U197" s="5" t="s">
        <v>47</v>
      </c>
      <c r="V197" s="5" t="s">
        <v>47</v>
      </c>
      <c r="W197" s="5" t="s">
        <v>47</v>
      </c>
      <c r="X197" s="5" t="s">
        <v>47</v>
      </c>
    </row>
    <row r="198" spans="1:24" x14ac:dyDescent="0.25">
      <c r="A198" s="5" t="s">
        <v>34</v>
      </c>
      <c r="B198" s="5" t="s">
        <v>140</v>
      </c>
      <c r="C198" s="5" t="s">
        <v>141</v>
      </c>
      <c r="D198" s="5" t="s">
        <v>37</v>
      </c>
      <c r="E198" s="5" t="s">
        <v>86</v>
      </c>
      <c r="F198" s="5" t="s">
        <v>87</v>
      </c>
      <c r="G198" s="5" t="s">
        <v>40</v>
      </c>
      <c r="H198" s="6">
        <v>45961</v>
      </c>
      <c r="I198" s="6">
        <v>45961</v>
      </c>
      <c r="J198" s="6">
        <v>45964</v>
      </c>
      <c r="K198" s="5" t="s">
        <v>135</v>
      </c>
      <c r="L198" s="5" t="s">
        <v>136</v>
      </c>
      <c r="M198" s="5" t="s">
        <v>43</v>
      </c>
      <c r="N198" s="5" t="s">
        <v>137</v>
      </c>
      <c r="O198" s="7">
        <v>89581.16</v>
      </c>
      <c r="P198" s="5" t="s">
        <v>45</v>
      </c>
      <c r="Q198" s="7">
        <v>89581.16</v>
      </c>
      <c r="R198" s="5" t="s">
        <v>45</v>
      </c>
      <c r="S198" s="7">
        <v>26362.91</v>
      </c>
      <c r="T198" s="5" t="s">
        <v>46</v>
      </c>
      <c r="U198" s="5" t="s">
        <v>47</v>
      </c>
      <c r="V198" s="5" t="s">
        <v>47</v>
      </c>
      <c r="W198" s="5" t="s">
        <v>47</v>
      </c>
      <c r="X198" s="5" t="s">
        <v>47</v>
      </c>
    </row>
    <row r="199" spans="1:24" x14ac:dyDescent="0.25">
      <c r="A199" s="5" t="s">
        <v>34</v>
      </c>
      <c r="B199" s="5" t="s">
        <v>140</v>
      </c>
      <c r="C199" s="5" t="s">
        <v>141</v>
      </c>
      <c r="D199" s="5" t="s">
        <v>37</v>
      </c>
      <c r="E199" s="5" t="s">
        <v>82</v>
      </c>
      <c r="F199" s="5" t="s">
        <v>83</v>
      </c>
      <c r="G199" s="5" t="s">
        <v>40</v>
      </c>
      <c r="H199" s="6">
        <v>45961</v>
      </c>
      <c r="I199" s="6">
        <v>45961</v>
      </c>
      <c r="J199" s="6">
        <v>45964</v>
      </c>
      <c r="K199" s="5" t="s">
        <v>135</v>
      </c>
      <c r="L199" s="5" t="s">
        <v>136</v>
      </c>
      <c r="M199" s="5" t="s">
        <v>43</v>
      </c>
      <c r="N199" s="5" t="s">
        <v>137</v>
      </c>
      <c r="O199" s="7">
        <v>60309.38</v>
      </c>
      <c r="P199" s="5" t="s">
        <v>45</v>
      </c>
      <c r="Q199" s="7">
        <v>60309.38</v>
      </c>
      <c r="R199" s="5" t="s">
        <v>45</v>
      </c>
      <c r="S199" s="7">
        <v>17748.490000000002</v>
      </c>
      <c r="T199" s="5" t="s">
        <v>46</v>
      </c>
      <c r="U199" s="5" t="s">
        <v>47</v>
      </c>
      <c r="V199" s="5" t="s">
        <v>47</v>
      </c>
      <c r="W199" s="5" t="s">
        <v>47</v>
      </c>
      <c r="X199" s="5" t="s">
        <v>47</v>
      </c>
    </row>
    <row r="200" spans="1:24" x14ac:dyDescent="0.25">
      <c r="A200" s="5" t="s">
        <v>34</v>
      </c>
      <c r="B200" s="5" t="s">
        <v>140</v>
      </c>
      <c r="C200" s="5" t="s">
        <v>141</v>
      </c>
      <c r="D200" s="5" t="s">
        <v>37</v>
      </c>
      <c r="E200" s="5" t="s">
        <v>64</v>
      </c>
      <c r="F200" s="5" t="s">
        <v>65</v>
      </c>
      <c r="G200" s="5" t="s">
        <v>40</v>
      </c>
      <c r="H200" s="6">
        <v>45961</v>
      </c>
      <c r="I200" s="6">
        <v>45961</v>
      </c>
      <c r="J200" s="6">
        <v>45964</v>
      </c>
      <c r="K200" s="5" t="s">
        <v>135</v>
      </c>
      <c r="L200" s="5" t="s">
        <v>136</v>
      </c>
      <c r="M200" s="5" t="s">
        <v>43</v>
      </c>
      <c r="N200" s="5" t="s">
        <v>137</v>
      </c>
      <c r="O200" s="7">
        <v>38174.76</v>
      </c>
      <c r="P200" s="5" t="s">
        <v>45</v>
      </c>
      <c r="Q200" s="7">
        <v>38174.76</v>
      </c>
      <c r="R200" s="5" t="s">
        <v>45</v>
      </c>
      <c r="S200" s="7">
        <v>11234.48</v>
      </c>
      <c r="T200" s="5" t="s">
        <v>46</v>
      </c>
      <c r="U200" s="5" t="s">
        <v>47</v>
      </c>
      <c r="V200" s="5" t="s">
        <v>47</v>
      </c>
      <c r="W200" s="5" t="s">
        <v>47</v>
      </c>
      <c r="X200" s="5" t="s">
        <v>47</v>
      </c>
    </row>
    <row r="201" spans="1:24" x14ac:dyDescent="0.25">
      <c r="A201" s="5" t="s">
        <v>34</v>
      </c>
      <c r="B201" s="5" t="s">
        <v>140</v>
      </c>
      <c r="C201" s="5" t="s">
        <v>141</v>
      </c>
      <c r="D201" s="5" t="s">
        <v>37</v>
      </c>
      <c r="E201" s="5" t="s">
        <v>78</v>
      </c>
      <c r="F201" s="5" t="s">
        <v>79</v>
      </c>
      <c r="G201" s="5" t="s">
        <v>40</v>
      </c>
      <c r="H201" s="6">
        <v>45961</v>
      </c>
      <c r="I201" s="6">
        <v>45961</v>
      </c>
      <c r="J201" s="6">
        <v>45964</v>
      </c>
      <c r="K201" s="5" t="s">
        <v>135</v>
      </c>
      <c r="L201" s="5" t="s">
        <v>136</v>
      </c>
      <c r="M201" s="5" t="s">
        <v>43</v>
      </c>
      <c r="N201" s="5" t="s">
        <v>137</v>
      </c>
      <c r="O201" s="7">
        <v>121104.49</v>
      </c>
      <c r="P201" s="5" t="s">
        <v>45</v>
      </c>
      <c r="Q201" s="7">
        <v>121104.49</v>
      </c>
      <c r="R201" s="5" t="s">
        <v>45</v>
      </c>
      <c r="S201" s="7">
        <v>35639.93</v>
      </c>
      <c r="T201" s="5" t="s">
        <v>46</v>
      </c>
      <c r="U201" s="5" t="s">
        <v>47</v>
      </c>
      <c r="V201" s="5" t="s">
        <v>47</v>
      </c>
      <c r="W201" s="5" t="s">
        <v>47</v>
      </c>
      <c r="X201" s="5" t="s">
        <v>47</v>
      </c>
    </row>
    <row r="202" spans="1:24" x14ac:dyDescent="0.25">
      <c r="A202" s="5" t="s">
        <v>34</v>
      </c>
      <c r="B202" s="5" t="s">
        <v>153</v>
      </c>
      <c r="C202" s="5" t="s">
        <v>154</v>
      </c>
      <c r="D202" s="5" t="s">
        <v>37</v>
      </c>
      <c r="E202" s="5" t="s">
        <v>70</v>
      </c>
      <c r="F202" s="5" t="s">
        <v>71</v>
      </c>
      <c r="G202" s="5" t="s">
        <v>40</v>
      </c>
      <c r="H202" s="6">
        <v>45961</v>
      </c>
      <c r="I202" s="6">
        <v>45961</v>
      </c>
      <c r="J202" s="6">
        <v>45964</v>
      </c>
      <c r="K202" s="5" t="s">
        <v>135</v>
      </c>
      <c r="L202" s="5" t="s">
        <v>136</v>
      </c>
      <c r="M202" s="5" t="s">
        <v>43</v>
      </c>
      <c r="N202" s="5" t="s">
        <v>137</v>
      </c>
      <c r="O202" s="7">
        <v>452</v>
      </c>
      <c r="P202" s="5" t="s">
        <v>45</v>
      </c>
      <c r="Q202" s="7">
        <v>452</v>
      </c>
      <c r="R202" s="5" t="s">
        <v>45</v>
      </c>
      <c r="S202" s="7">
        <v>133.02000000000001</v>
      </c>
      <c r="T202" s="5" t="s">
        <v>46</v>
      </c>
      <c r="U202" s="5" t="s">
        <v>47</v>
      </c>
      <c r="V202" s="5" t="s">
        <v>47</v>
      </c>
      <c r="W202" s="5" t="s">
        <v>47</v>
      </c>
      <c r="X202" s="5" t="s">
        <v>47</v>
      </c>
    </row>
    <row r="203" spans="1:24" x14ac:dyDescent="0.25">
      <c r="A203" s="5" t="s">
        <v>34</v>
      </c>
      <c r="B203" s="5" t="s">
        <v>153</v>
      </c>
      <c r="C203" s="5" t="s">
        <v>154</v>
      </c>
      <c r="D203" s="5" t="s">
        <v>37</v>
      </c>
      <c r="E203" s="5" t="s">
        <v>52</v>
      </c>
      <c r="F203" s="5" t="s">
        <v>53</v>
      </c>
      <c r="G203" s="5" t="s">
        <v>40</v>
      </c>
      <c r="H203" s="6">
        <v>45961</v>
      </c>
      <c r="I203" s="6">
        <v>45961</v>
      </c>
      <c r="J203" s="6">
        <v>45964</v>
      </c>
      <c r="K203" s="5" t="s">
        <v>135</v>
      </c>
      <c r="L203" s="5" t="s">
        <v>136</v>
      </c>
      <c r="M203" s="5" t="s">
        <v>43</v>
      </c>
      <c r="N203" s="5" t="s">
        <v>137</v>
      </c>
      <c r="O203" s="7">
        <v>226</v>
      </c>
      <c r="P203" s="5" t="s">
        <v>45</v>
      </c>
      <c r="Q203" s="7">
        <v>226</v>
      </c>
      <c r="R203" s="5" t="s">
        <v>45</v>
      </c>
      <c r="S203" s="7">
        <v>66.510000000000005</v>
      </c>
      <c r="T203" s="5" t="s">
        <v>46</v>
      </c>
      <c r="U203" s="5" t="s">
        <v>47</v>
      </c>
      <c r="V203" s="5" t="s">
        <v>47</v>
      </c>
      <c r="W203" s="5" t="s">
        <v>47</v>
      </c>
      <c r="X203" s="5" t="s">
        <v>47</v>
      </c>
    </row>
    <row r="204" spans="1:24" x14ac:dyDescent="0.25">
      <c r="A204" s="5" t="s">
        <v>34</v>
      </c>
      <c r="B204" s="5" t="s">
        <v>153</v>
      </c>
      <c r="C204" s="5" t="s">
        <v>154</v>
      </c>
      <c r="D204" s="5" t="s">
        <v>37</v>
      </c>
      <c r="E204" s="5" t="s">
        <v>98</v>
      </c>
      <c r="F204" s="5" t="s">
        <v>99</v>
      </c>
      <c r="G204" s="5" t="s">
        <v>40</v>
      </c>
      <c r="H204" s="6">
        <v>45961</v>
      </c>
      <c r="I204" s="6">
        <v>45961</v>
      </c>
      <c r="J204" s="6">
        <v>45964</v>
      </c>
      <c r="K204" s="5" t="s">
        <v>135</v>
      </c>
      <c r="L204" s="5" t="s">
        <v>136</v>
      </c>
      <c r="M204" s="5" t="s">
        <v>43</v>
      </c>
      <c r="N204" s="5" t="s">
        <v>137</v>
      </c>
      <c r="O204" s="7">
        <v>226</v>
      </c>
      <c r="P204" s="5" t="s">
        <v>45</v>
      </c>
      <c r="Q204" s="7">
        <v>226</v>
      </c>
      <c r="R204" s="5" t="s">
        <v>45</v>
      </c>
      <c r="S204" s="7">
        <v>66.510000000000005</v>
      </c>
      <c r="T204" s="5" t="s">
        <v>46</v>
      </c>
      <c r="U204" s="5" t="s">
        <v>47</v>
      </c>
      <c r="V204" s="5" t="s">
        <v>47</v>
      </c>
      <c r="W204" s="5" t="s">
        <v>47</v>
      </c>
      <c r="X204" s="5" t="s">
        <v>47</v>
      </c>
    </row>
    <row r="205" spans="1:24" x14ac:dyDescent="0.25">
      <c r="A205" s="5" t="s">
        <v>34</v>
      </c>
      <c r="B205" s="5" t="s">
        <v>153</v>
      </c>
      <c r="C205" s="5" t="s">
        <v>154</v>
      </c>
      <c r="D205" s="5" t="s">
        <v>37</v>
      </c>
      <c r="E205" s="5" t="s">
        <v>38</v>
      </c>
      <c r="F205" s="5" t="s">
        <v>39</v>
      </c>
      <c r="G205" s="5" t="s">
        <v>40</v>
      </c>
      <c r="H205" s="6">
        <v>45961</v>
      </c>
      <c r="I205" s="6">
        <v>45961</v>
      </c>
      <c r="J205" s="6">
        <v>45964</v>
      </c>
      <c r="K205" s="5" t="s">
        <v>135</v>
      </c>
      <c r="L205" s="5" t="s">
        <v>136</v>
      </c>
      <c r="M205" s="5" t="s">
        <v>43</v>
      </c>
      <c r="N205" s="5" t="s">
        <v>137</v>
      </c>
      <c r="O205" s="7">
        <v>1582</v>
      </c>
      <c r="P205" s="5" t="s">
        <v>45</v>
      </c>
      <c r="Q205" s="7">
        <v>1582</v>
      </c>
      <c r="R205" s="5" t="s">
        <v>45</v>
      </c>
      <c r="S205" s="7">
        <v>465.57</v>
      </c>
      <c r="T205" s="5" t="s">
        <v>46</v>
      </c>
      <c r="U205" s="5" t="s">
        <v>47</v>
      </c>
      <c r="V205" s="5" t="s">
        <v>47</v>
      </c>
      <c r="W205" s="5" t="s">
        <v>47</v>
      </c>
      <c r="X205" s="5" t="s">
        <v>47</v>
      </c>
    </row>
    <row r="206" spans="1:24" x14ac:dyDescent="0.25">
      <c r="A206" s="5" t="s">
        <v>34</v>
      </c>
      <c r="B206" s="5" t="s">
        <v>153</v>
      </c>
      <c r="C206" s="5" t="s">
        <v>154</v>
      </c>
      <c r="D206" s="5" t="s">
        <v>37</v>
      </c>
      <c r="E206" s="5" t="s">
        <v>116</v>
      </c>
      <c r="F206" s="5" t="s">
        <v>117</v>
      </c>
      <c r="G206" s="5" t="s">
        <v>40</v>
      </c>
      <c r="H206" s="6">
        <v>45961</v>
      </c>
      <c r="I206" s="6">
        <v>45961</v>
      </c>
      <c r="J206" s="6">
        <v>45964</v>
      </c>
      <c r="K206" s="5" t="s">
        <v>135</v>
      </c>
      <c r="L206" s="5" t="s">
        <v>136</v>
      </c>
      <c r="M206" s="5" t="s">
        <v>43</v>
      </c>
      <c r="N206" s="5" t="s">
        <v>137</v>
      </c>
      <c r="O206" s="7">
        <v>1921</v>
      </c>
      <c r="P206" s="5" t="s">
        <v>45</v>
      </c>
      <c r="Q206" s="7">
        <v>1921</v>
      </c>
      <c r="R206" s="5" t="s">
        <v>45</v>
      </c>
      <c r="S206" s="7">
        <v>565.33000000000004</v>
      </c>
      <c r="T206" s="5" t="s">
        <v>46</v>
      </c>
      <c r="U206" s="5" t="s">
        <v>47</v>
      </c>
      <c r="V206" s="5" t="s">
        <v>47</v>
      </c>
      <c r="W206" s="5" t="s">
        <v>47</v>
      </c>
      <c r="X206" s="5" t="s">
        <v>47</v>
      </c>
    </row>
    <row r="207" spans="1:24" x14ac:dyDescent="0.25">
      <c r="A207" s="5" t="s">
        <v>34</v>
      </c>
      <c r="B207" s="5" t="s">
        <v>153</v>
      </c>
      <c r="C207" s="5" t="s">
        <v>154</v>
      </c>
      <c r="D207" s="5" t="s">
        <v>37</v>
      </c>
      <c r="E207" s="5" t="s">
        <v>106</v>
      </c>
      <c r="F207" s="5" t="s">
        <v>107</v>
      </c>
      <c r="G207" s="5" t="s">
        <v>40</v>
      </c>
      <c r="H207" s="6">
        <v>45961</v>
      </c>
      <c r="I207" s="6">
        <v>45961</v>
      </c>
      <c r="J207" s="6">
        <v>45964</v>
      </c>
      <c r="K207" s="5" t="s">
        <v>135</v>
      </c>
      <c r="L207" s="5" t="s">
        <v>136</v>
      </c>
      <c r="M207" s="5" t="s">
        <v>43</v>
      </c>
      <c r="N207" s="5" t="s">
        <v>137</v>
      </c>
      <c r="O207" s="7">
        <v>791</v>
      </c>
      <c r="P207" s="5" t="s">
        <v>45</v>
      </c>
      <c r="Q207" s="7">
        <v>791</v>
      </c>
      <c r="R207" s="5" t="s">
        <v>45</v>
      </c>
      <c r="S207" s="7">
        <v>232.78</v>
      </c>
      <c r="T207" s="5" t="s">
        <v>46</v>
      </c>
      <c r="U207" s="5" t="s">
        <v>47</v>
      </c>
      <c r="V207" s="5" t="s">
        <v>47</v>
      </c>
      <c r="W207" s="5" t="s">
        <v>47</v>
      </c>
      <c r="X207" s="5" t="s">
        <v>47</v>
      </c>
    </row>
    <row r="208" spans="1:24" x14ac:dyDescent="0.25">
      <c r="A208" s="5" t="s">
        <v>34</v>
      </c>
      <c r="B208" s="5" t="s">
        <v>153</v>
      </c>
      <c r="C208" s="5" t="s">
        <v>154</v>
      </c>
      <c r="D208" s="5" t="s">
        <v>37</v>
      </c>
      <c r="E208" s="5" t="s">
        <v>60</v>
      </c>
      <c r="F208" s="5" t="s">
        <v>61</v>
      </c>
      <c r="G208" s="5" t="s">
        <v>40</v>
      </c>
      <c r="H208" s="6">
        <v>45961</v>
      </c>
      <c r="I208" s="6">
        <v>45961</v>
      </c>
      <c r="J208" s="6">
        <v>45964</v>
      </c>
      <c r="K208" s="5" t="s">
        <v>135</v>
      </c>
      <c r="L208" s="5" t="s">
        <v>136</v>
      </c>
      <c r="M208" s="5" t="s">
        <v>43</v>
      </c>
      <c r="N208" s="5" t="s">
        <v>137</v>
      </c>
      <c r="O208" s="7">
        <v>3277</v>
      </c>
      <c r="P208" s="5" t="s">
        <v>45</v>
      </c>
      <c r="Q208" s="7">
        <v>3277</v>
      </c>
      <c r="R208" s="5" t="s">
        <v>45</v>
      </c>
      <c r="S208" s="7">
        <v>964.39</v>
      </c>
      <c r="T208" s="5" t="s">
        <v>46</v>
      </c>
      <c r="U208" s="5" t="s">
        <v>47</v>
      </c>
      <c r="V208" s="5" t="s">
        <v>47</v>
      </c>
      <c r="W208" s="5" t="s">
        <v>47</v>
      </c>
      <c r="X208" s="5" t="s">
        <v>47</v>
      </c>
    </row>
    <row r="209" spans="1:24" x14ac:dyDescent="0.25">
      <c r="A209" s="5" t="s">
        <v>34</v>
      </c>
      <c r="B209" s="5" t="s">
        <v>153</v>
      </c>
      <c r="C209" s="5" t="s">
        <v>154</v>
      </c>
      <c r="D209" s="5" t="s">
        <v>37</v>
      </c>
      <c r="E209" s="5" t="s">
        <v>96</v>
      </c>
      <c r="F209" s="5" t="s">
        <v>97</v>
      </c>
      <c r="G209" s="5" t="s">
        <v>40</v>
      </c>
      <c r="H209" s="6">
        <v>45961</v>
      </c>
      <c r="I209" s="6">
        <v>45961</v>
      </c>
      <c r="J209" s="6">
        <v>45964</v>
      </c>
      <c r="K209" s="5" t="s">
        <v>135</v>
      </c>
      <c r="L209" s="5" t="s">
        <v>136</v>
      </c>
      <c r="M209" s="5" t="s">
        <v>43</v>
      </c>
      <c r="N209" s="5" t="s">
        <v>137</v>
      </c>
      <c r="O209" s="7">
        <v>18871</v>
      </c>
      <c r="P209" s="5" t="s">
        <v>45</v>
      </c>
      <c r="Q209" s="7">
        <v>18871</v>
      </c>
      <c r="R209" s="5" t="s">
        <v>45</v>
      </c>
      <c r="S209" s="7">
        <v>5553.56</v>
      </c>
      <c r="T209" s="5" t="s">
        <v>46</v>
      </c>
      <c r="U209" s="5" t="s">
        <v>47</v>
      </c>
      <c r="V209" s="5" t="s">
        <v>47</v>
      </c>
      <c r="W209" s="5" t="s">
        <v>47</v>
      </c>
      <c r="X209" s="5" t="s">
        <v>47</v>
      </c>
    </row>
    <row r="210" spans="1:24" x14ac:dyDescent="0.25">
      <c r="A210" s="5" t="s">
        <v>34</v>
      </c>
      <c r="B210" s="5" t="s">
        <v>153</v>
      </c>
      <c r="C210" s="5" t="s">
        <v>154</v>
      </c>
      <c r="D210" s="5" t="s">
        <v>37</v>
      </c>
      <c r="E210" s="5" t="s">
        <v>102</v>
      </c>
      <c r="F210" s="5" t="s">
        <v>103</v>
      </c>
      <c r="G210" s="5" t="s">
        <v>40</v>
      </c>
      <c r="H210" s="6">
        <v>45961</v>
      </c>
      <c r="I210" s="6">
        <v>45961</v>
      </c>
      <c r="J210" s="6">
        <v>45964</v>
      </c>
      <c r="K210" s="5" t="s">
        <v>135</v>
      </c>
      <c r="L210" s="5" t="s">
        <v>136</v>
      </c>
      <c r="M210" s="5" t="s">
        <v>43</v>
      </c>
      <c r="N210" s="5" t="s">
        <v>137</v>
      </c>
      <c r="O210" s="7">
        <v>7910</v>
      </c>
      <c r="P210" s="5" t="s">
        <v>45</v>
      </c>
      <c r="Q210" s="7">
        <v>7910</v>
      </c>
      <c r="R210" s="5" t="s">
        <v>45</v>
      </c>
      <c r="S210" s="7">
        <v>2327.84</v>
      </c>
      <c r="T210" s="5" t="s">
        <v>46</v>
      </c>
      <c r="U210" s="5" t="s">
        <v>47</v>
      </c>
      <c r="V210" s="5" t="s">
        <v>47</v>
      </c>
      <c r="W210" s="5" t="s">
        <v>47</v>
      </c>
      <c r="X210" s="5" t="s">
        <v>47</v>
      </c>
    </row>
    <row r="211" spans="1:24" x14ac:dyDescent="0.25">
      <c r="A211" s="5" t="s">
        <v>34</v>
      </c>
      <c r="B211" s="5" t="s">
        <v>153</v>
      </c>
      <c r="C211" s="5" t="s">
        <v>154</v>
      </c>
      <c r="D211" s="5" t="s">
        <v>37</v>
      </c>
      <c r="E211" s="5" t="s">
        <v>110</v>
      </c>
      <c r="F211" s="5" t="s">
        <v>111</v>
      </c>
      <c r="G211" s="5" t="s">
        <v>40</v>
      </c>
      <c r="H211" s="6">
        <v>45961</v>
      </c>
      <c r="I211" s="6">
        <v>45961</v>
      </c>
      <c r="J211" s="6">
        <v>45964</v>
      </c>
      <c r="K211" s="5" t="s">
        <v>135</v>
      </c>
      <c r="L211" s="5" t="s">
        <v>136</v>
      </c>
      <c r="M211" s="5" t="s">
        <v>43</v>
      </c>
      <c r="N211" s="5" t="s">
        <v>137</v>
      </c>
      <c r="O211" s="7">
        <v>3616</v>
      </c>
      <c r="P211" s="5" t="s">
        <v>45</v>
      </c>
      <c r="Q211" s="7">
        <v>3616</v>
      </c>
      <c r="R211" s="5" t="s">
        <v>45</v>
      </c>
      <c r="S211" s="7">
        <v>1064.1600000000001</v>
      </c>
      <c r="T211" s="5" t="s">
        <v>46</v>
      </c>
      <c r="U211" s="5" t="s">
        <v>47</v>
      </c>
      <c r="V211" s="5" t="s">
        <v>47</v>
      </c>
      <c r="W211" s="5" t="s">
        <v>47</v>
      </c>
      <c r="X211" s="5" t="s">
        <v>47</v>
      </c>
    </row>
    <row r="212" spans="1:24" x14ac:dyDescent="0.25">
      <c r="A212" s="5" t="s">
        <v>34</v>
      </c>
      <c r="B212" s="5" t="s">
        <v>153</v>
      </c>
      <c r="C212" s="5" t="s">
        <v>154</v>
      </c>
      <c r="D212" s="5" t="s">
        <v>37</v>
      </c>
      <c r="E212" s="5" t="s">
        <v>50</v>
      </c>
      <c r="F212" s="5" t="s">
        <v>51</v>
      </c>
      <c r="G212" s="5" t="s">
        <v>40</v>
      </c>
      <c r="H212" s="6">
        <v>45961</v>
      </c>
      <c r="I212" s="6">
        <v>45961</v>
      </c>
      <c r="J212" s="6">
        <v>45964</v>
      </c>
      <c r="K212" s="5" t="s">
        <v>135</v>
      </c>
      <c r="L212" s="5" t="s">
        <v>136</v>
      </c>
      <c r="M212" s="5" t="s">
        <v>43</v>
      </c>
      <c r="N212" s="5" t="s">
        <v>137</v>
      </c>
      <c r="O212" s="7">
        <v>1695</v>
      </c>
      <c r="P212" s="5" t="s">
        <v>45</v>
      </c>
      <c r="Q212" s="7">
        <v>1695</v>
      </c>
      <c r="R212" s="5" t="s">
        <v>45</v>
      </c>
      <c r="S212" s="7">
        <v>498.82</v>
      </c>
      <c r="T212" s="5" t="s">
        <v>46</v>
      </c>
      <c r="U212" s="5" t="s">
        <v>47</v>
      </c>
      <c r="V212" s="5" t="s">
        <v>47</v>
      </c>
      <c r="W212" s="5" t="s">
        <v>47</v>
      </c>
      <c r="X212" s="5" t="s">
        <v>47</v>
      </c>
    </row>
    <row r="213" spans="1:24" x14ac:dyDescent="0.25">
      <c r="A213" s="5" t="s">
        <v>34</v>
      </c>
      <c r="B213" s="5" t="s">
        <v>153</v>
      </c>
      <c r="C213" s="5" t="s">
        <v>154</v>
      </c>
      <c r="D213" s="5" t="s">
        <v>37</v>
      </c>
      <c r="E213" s="5" t="s">
        <v>48</v>
      </c>
      <c r="F213" s="5" t="s">
        <v>49</v>
      </c>
      <c r="G213" s="5" t="s">
        <v>40</v>
      </c>
      <c r="H213" s="6">
        <v>45961</v>
      </c>
      <c r="I213" s="6">
        <v>45961</v>
      </c>
      <c r="J213" s="6">
        <v>45964</v>
      </c>
      <c r="K213" s="5" t="s">
        <v>135</v>
      </c>
      <c r="L213" s="5" t="s">
        <v>136</v>
      </c>
      <c r="M213" s="5" t="s">
        <v>43</v>
      </c>
      <c r="N213" s="5" t="s">
        <v>137</v>
      </c>
      <c r="O213" s="7">
        <v>3390</v>
      </c>
      <c r="P213" s="5" t="s">
        <v>45</v>
      </c>
      <c r="Q213" s="7">
        <v>3390</v>
      </c>
      <c r="R213" s="5" t="s">
        <v>45</v>
      </c>
      <c r="S213" s="7">
        <v>997.65</v>
      </c>
      <c r="T213" s="5" t="s">
        <v>46</v>
      </c>
      <c r="U213" s="5" t="s">
        <v>47</v>
      </c>
      <c r="V213" s="5" t="s">
        <v>47</v>
      </c>
      <c r="W213" s="5" t="s">
        <v>47</v>
      </c>
      <c r="X213" s="5" t="s">
        <v>47</v>
      </c>
    </row>
    <row r="214" spans="1:24" x14ac:dyDescent="0.25">
      <c r="A214" s="5" t="s">
        <v>34</v>
      </c>
      <c r="B214" s="5" t="s">
        <v>153</v>
      </c>
      <c r="C214" s="5" t="s">
        <v>154</v>
      </c>
      <c r="D214" s="5" t="s">
        <v>37</v>
      </c>
      <c r="E214" s="5" t="s">
        <v>74</v>
      </c>
      <c r="F214" s="5" t="s">
        <v>75</v>
      </c>
      <c r="G214" s="5" t="s">
        <v>40</v>
      </c>
      <c r="H214" s="6">
        <v>45961</v>
      </c>
      <c r="I214" s="6">
        <v>45961</v>
      </c>
      <c r="J214" s="6">
        <v>45964</v>
      </c>
      <c r="K214" s="5" t="s">
        <v>135</v>
      </c>
      <c r="L214" s="5" t="s">
        <v>136</v>
      </c>
      <c r="M214" s="5" t="s">
        <v>43</v>
      </c>
      <c r="N214" s="5" t="s">
        <v>137</v>
      </c>
      <c r="O214" s="7">
        <v>21357</v>
      </c>
      <c r="P214" s="5" t="s">
        <v>45</v>
      </c>
      <c r="Q214" s="7">
        <v>21357</v>
      </c>
      <c r="R214" s="5" t="s">
        <v>45</v>
      </c>
      <c r="S214" s="7">
        <v>6285.17</v>
      </c>
      <c r="T214" s="5" t="s">
        <v>46</v>
      </c>
      <c r="U214" s="5" t="s">
        <v>47</v>
      </c>
      <c r="V214" s="5" t="s">
        <v>47</v>
      </c>
      <c r="W214" s="5" t="s">
        <v>47</v>
      </c>
      <c r="X214" s="5" t="s">
        <v>47</v>
      </c>
    </row>
    <row r="215" spans="1:24" x14ac:dyDescent="0.25">
      <c r="A215" s="5" t="s">
        <v>34</v>
      </c>
      <c r="B215" s="5" t="s">
        <v>153</v>
      </c>
      <c r="C215" s="5" t="s">
        <v>154</v>
      </c>
      <c r="D215" s="5" t="s">
        <v>37</v>
      </c>
      <c r="E215" s="5" t="s">
        <v>58</v>
      </c>
      <c r="F215" s="5" t="s">
        <v>59</v>
      </c>
      <c r="G215" s="5" t="s">
        <v>40</v>
      </c>
      <c r="H215" s="6">
        <v>45961</v>
      </c>
      <c r="I215" s="6">
        <v>45961</v>
      </c>
      <c r="J215" s="6">
        <v>45964</v>
      </c>
      <c r="K215" s="5" t="s">
        <v>135</v>
      </c>
      <c r="L215" s="5" t="s">
        <v>136</v>
      </c>
      <c r="M215" s="5" t="s">
        <v>43</v>
      </c>
      <c r="N215" s="5" t="s">
        <v>137</v>
      </c>
      <c r="O215" s="7">
        <v>226</v>
      </c>
      <c r="P215" s="5" t="s">
        <v>45</v>
      </c>
      <c r="Q215" s="7">
        <v>226</v>
      </c>
      <c r="R215" s="5" t="s">
        <v>45</v>
      </c>
      <c r="S215" s="7">
        <v>66.510000000000005</v>
      </c>
      <c r="T215" s="5" t="s">
        <v>46</v>
      </c>
      <c r="U215" s="5" t="s">
        <v>47</v>
      </c>
      <c r="V215" s="5" t="s">
        <v>47</v>
      </c>
      <c r="W215" s="5" t="s">
        <v>47</v>
      </c>
      <c r="X215" s="5" t="s">
        <v>47</v>
      </c>
    </row>
    <row r="216" spans="1:24" x14ac:dyDescent="0.25">
      <c r="A216" s="5" t="s">
        <v>34</v>
      </c>
      <c r="B216" s="5" t="s">
        <v>153</v>
      </c>
      <c r="C216" s="5" t="s">
        <v>154</v>
      </c>
      <c r="D216" s="5" t="s">
        <v>37</v>
      </c>
      <c r="E216" s="5" t="s">
        <v>104</v>
      </c>
      <c r="F216" s="5" t="s">
        <v>105</v>
      </c>
      <c r="G216" s="5" t="s">
        <v>40</v>
      </c>
      <c r="H216" s="6">
        <v>45961</v>
      </c>
      <c r="I216" s="6">
        <v>45961</v>
      </c>
      <c r="J216" s="6">
        <v>45964</v>
      </c>
      <c r="K216" s="5" t="s">
        <v>135</v>
      </c>
      <c r="L216" s="5" t="s">
        <v>136</v>
      </c>
      <c r="M216" s="5" t="s">
        <v>43</v>
      </c>
      <c r="N216" s="5" t="s">
        <v>137</v>
      </c>
      <c r="O216" s="7">
        <v>2599</v>
      </c>
      <c r="P216" s="5" t="s">
        <v>45</v>
      </c>
      <c r="Q216" s="7">
        <v>2599</v>
      </c>
      <c r="R216" s="5" t="s">
        <v>45</v>
      </c>
      <c r="S216" s="7">
        <v>764.86</v>
      </c>
      <c r="T216" s="5" t="s">
        <v>46</v>
      </c>
      <c r="U216" s="5" t="s">
        <v>47</v>
      </c>
      <c r="V216" s="5" t="s">
        <v>47</v>
      </c>
      <c r="W216" s="5" t="s">
        <v>47</v>
      </c>
      <c r="X216" s="5" t="s">
        <v>47</v>
      </c>
    </row>
    <row r="217" spans="1:24" x14ac:dyDescent="0.25">
      <c r="A217" s="5" t="s">
        <v>34</v>
      </c>
      <c r="B217" s="5" t="s">
        <v>153</v>
      </c>
      <c r="C217" s="5" t="s">
        <v>154</v>
      </c>
      <c r="D217" s="5" t="s">
        <v>37</v>
      </c>
      <c r="E217" s="5" t="s">
        <v>92</v>
      </c>
      <c r="F217" s="5" t="s">
        <v>93</v>
      </c>
      <c r="G217" s="5" t="s">
        <v>40</v>
      </c>
      <c r="H217" s="6">
        <v>45961</v>
      </c>
      <c r="I217" s="6">
        <v>45961</v>
      </c>
      <c r="J217" s="6">
        <v>45964</v>
      </c>
      <c r="K217" s="5" t="s">
        <v>135</v>
      </c>
      <c r="L217" s="5" t="s">
        <v>136</v>
      </c>
      <c r="M217" s="5" t="s">
        <v>43</v>
      </c>
      <c r="N217" s="5" t="s">
        <v>137</v>
      </c>
      <c r="O217" s="7">
        <v>226</v>
      </c>
      <c r="P217" s="5" t="s">
        <v>45</v>
      </c>
      <c r="Q217" s="7">
        <v>226</v>
      </c>
      <c r="R217" s="5" t="s">
        <v>45</v>
      </c>
      <c r="S217" s="7">
        <v>66.510000000000005</v>
      </c>
      <c r="T217" s="5" t="s">
        <v>46</v>
      </c>
      <c r="U217" s="5" t="s">
        <v>47</v>
      </c>
      <c r="V217" s="5" t="s">
        <v>47</v>
      </c>
      <c r="W217" s="5" t="s">
        <v>47</v>
      </c>
      <c r="X217" s="5" t="s">
        <v>47</v>
      </c>
    </row>
    <row r="218" spans="1:24" x14ac:dyDescent="0.25">
      <c r="A218" s="5" t="s">
        <v>34</v>
      </c>
      <c r="B218" s="5" t="s">
        <v>153</v>
      </c>
      <c r="C218" s="5" t="s">
        <v>154</v>
      </c>
      <c r="D218" s="5" t="s">
        <v>37</v>
      </c>
      <c r="E218" s="5" t="s">
        <v>118</v>
      </c>
      <c r="F218" s="5" t="s">
        <v>119</v>
      </c>
      <c r="G218" s="5" t="s">
        <v>40</v>
      </c>
      <c r="H218" s="6">
        <v>45961</v>
      </c>
      <c r="I218" s="6">
        <v>45961</v>
      </c>
      <c r="J218" s="6">
        <v>45964</v>
      </c>
      <c r="K218" s="5" t="s">
        <v>135</v>
      </c>
      <c r="L218" s="5" t="s">
        <v>136</v>
      </c>
      <c r="M218" s="5" t="s">
        <v>43</v>
      </c>
      <c r="N218" s="5" t="s">
        <v>137</v>
      </c>
      <c r="O218" s="7">
        <v>3503</v>
      </c>
      <c r="P218" s="5" t="s">
        <v>45</v>
      </c>
      <c r="Q218" s="7">
        <v>3503</v>
      </c>
      <c r="R218" s="5" t="s">
        <v>45</v>
      </c>
      <c r="S218" s="7">
        <v>1030.9000000000001</v>
      </c>
      <c r="T218" s="5" t="s">
        <v>46</v>
      </c>
      <c r="U218" s="5" t="s">
        <v>47</v>
      </c>
      <c r="V218" s="5" t="s">
        <v>47</v>
      </c>
      <c r="W218" s="5" t="s">
        <v>47</v>
      </c>
      <c r="X218" s="5" t="s">
        <v>47</v>
      </c>
    </row>
    <row r="219" spans="1:24" x14ac:dyDescent="0.25">
      <c r="A219" s="5" t="s">
        <v>34</v>
      </c>
      <c r="B219" s="5" t="s">
        <v>153</v>
      </c>
      <c r="C219" s="5" t="s">
        <v>154</v>
      </c>
      <c r="D219" s="5" t="s">
        <v>37</v>
      </c>
      <c r="E219" s="5" t="s">
        <v>84</v>
      </c>
      <c r="F219" s="5" t="s">
        <v>85</v>
      </c>
      <c r="G219" s="5" t="s">
        <v>40</v>
      </c>
      <c r="H219" s="6">
        <v>45961</v>
      </c>
      <c r="I219" s="6">
        <v>45961</v>
      </c>
      <c r="J219" s="6">
        <v>45964</v>
      </c>
      <c r="K219" s="5" t="s">
        <v>135</v>
      </c>
      <c r="L219" s="5" t="s">
        <v>136</v>
      </c>
      <c r="M219" s="5" t="s">
        <v>43</v>
      </c>
      <c r="N219" s="5" t="s">
        <v>137</v>
      </c>
      <c r="O219" s="7">
        <v>791</v>
      </c>
      <c r="P219" s="5" t="s">
        <v>45</v>
      </c>
      <c r="Q219" s="7">
        <v>791</v>
      </c>
      <c r="R219" s="5" t="s">
        <v>45</v>
      </c>
      <c r="S219" s="7">
        <v>232.78</v>
      </c>
      <c r="T219" s="5" t="s">
        <v>46</v>
      </c>
      <c r="U219" s="5" t="s">
        <v>47</v>
      </c>
      <c r="V219" s="5" t="s">
        <v>47</v>
      </c>
      <c r="W219" s="5" t="s">
        <v>47</v>
      </c>
      <c r="X219" s="5" t="s">
        <v>47</v>
      </c>
    </row>
    <row r="220" spans="1:24" x14ac:dyDescent="0.25">
      <c r="A220" s="5" t="s">
        <v>34</v>
      </c>
      <c r="B220" s="5" t="s">
        <v>153</v>
      </c>
      <c r="C220" s="5" t="s">
        <v>154</v>
      </c>
      <c r="D220" s="5" t="s">
        <v>37</v>
      </c>
      <c r="E220" s="5" t="s">
        <v>62</v>
      </c>
      <c r="F220" s="5" t="s">
        <v>63</v>
      </c>
      <c r="G220" s="5" t="s">
        <v>40</v>
      </c>
      <c r="H220" s="6">
        <v>45961</v>
      </c>
      <c r="I220" s="6">
        <v>45961</v>
      </c>
      <c r="J220" s="6">
        <v>45964</v>
      </c>
      <c r="K220" s="5" t="s">
        <v>135</v>
      </c>
      <c r="L220" s="5" t="s">
        <v>136</v>
      </c>
      <c r="M220" s="5" t="s">
        <v>43</v>
      </c>
      <c r="N220" s="5" t="s">
        <v>137</v>
      </c>
      <c r="O220" s="7">
        <v>1808</v>
      </c>
      <c r="P220" s="5" t="s">
        <v>45</v>
      </c>
      <c r="Q220" s="7">
        <v>1808</v>
      </c>
      <c r="R220" s="5" t="s">
        <v>45</v>
      </c>
      <c r="S220" s="7">
        <v>532.08000000000004</v>
      </c>
      <c r="T220" s="5" t="s">
        <v>46</v>
      </c>
      <c r="U220" s="5" t="s">
        <v>47</v>
      </c>
      <c r="V220" s="5" t="s">
        <v>47</v>
      </c>
      <c r="W220" s="5" t="s">
        <v>47</v>
      </c>
      <c r="X220" s="5" t="s">
        <v>47</v>
      </c>
    </row>
    <row r="221" spans="1:24" x14ac:dyDescent="0.25">
      <c r="A221" s="5" t="s">
        <v>34</v>
      </c>
      <c r="B221" s="5" t="s">
        <v>153</v>
      </c>
      <c r="C221" s="5" t="s">
        <v>154</v>
      </c>
      <c r="D221" s="5" t="s">
        <v>37</v>
      </c>
      <c r="E221" s="5" t="s">
        <v>80</v>
      </c>
      <c r="F221" s="5" t="s">
        <v>81</v>
      </c>
      <c r="G221" s="5" t="s">
        <v>40</v>
      </c>
      <c r="H221" s="6">
        <v>45961</v>
      </c>
      <c r="I221" s="6">
        <v>45961</v>
      </c>
      <c r="J221" s="6">
        <v>45964</v>
      </c>
      <c r="K221" s="5" t="s">
        <v>135</v>
      </c>
      <c r="L221" s="5" t="s">
        <v>136</v>
      </c>
      <c r="M221" s="5" t="s">
        <v>43</v>
      </c>
      <c r="N221" s="5" t="s">
        <v>137</v>
      </c>
      <c r="O221" s="7">
        <v>791</v>
      </c>
      <c r="P221" s="5" t="s">
        <v>45</v>
      </c>
      <c r="Q221" s="7">
        <v>791</v>
      </c>
      <c r="R221" s="5" t="s">
        <v>45</v>
      </c>
      <c r="S221" s="7">
        <v>232.78</v>
      </c>
      <c r="T221" s="5" t="s">
        <v>46</v>
      </c>
      <c r="U221" s="5" t="s">
        <v>47</v>
      </c>
      <c r="V221" s="5" t="s">
        <v>47</v>
      </c>
      <c r="W221" s="5" t="s">
        <v>47</v>
      </c>
      <c r="X221" s="5" t="s">
        <v>47</v>
      </c>
    </row>
    <row r="222" spans="1:24" x14ac:dyDescent="0.25">
      <c r="A222" s="5" t="s">
        <v>34</v>
      </c>
      <c r="B222" s="5" t="s">
        <v>153</v>
      </c>
      <c r="C222" s="5" t="s">
        <v>154</v>
      </c>
      <c r="D222" s="5" t="s">
        <v>37</v>
      </c>
      <c r="E222" s="5" t="s">
        <v>72</v>
      </c>
      <c r="F222" s="5" t="s">
        <v>73</v>
      </c>
      <c r="G222" s="5" t="s">
        <v>40</v>
      </c>
      <c r="H222" s="6">
        <v>45961</v>
      </c>
      <c r="I222" s="6">
        <v>45961</v>
      </c>
      <c r="J222" s="6">
        <v>45964</v>
      </c>
      <c r="K222" s="5" t="s">
        <v>135</v>
      </c>
      <c r="L222" s="5" t="s">
        <v>136</v>
      </c>
      <c r="M222" s="5" t="s">
        <v>43</v>
      </c>
      <c r="N222" s="5" t="s">
        <v>137</v>
      </c>
      <c r="O222" s="7">
        <v>226</v>
      </c>
      <c r="P222" s="5" t="s">
        <v>45</v>
      </c>
      <c r="Q222" s="7">
        <v>226</v>
      </c>
      <c r="R222" s="5" t="s">
        <v>45</v>
      </c>
      <c r="S222" s="7">
        <v>66.510000000000005</v>
      </c>
      <c r="T222" s="5" t="s">
        <v>46</v>
      </c>
      <c r="U222" s="5" t="s">
        <v>47</v>
      </c>
      <c r="V222" s="5" t="s">
        <v>47</v>
      </c>
      <c r="W222" s="5" t="s">
        <v>47</v>
      </c>
      <c r="X222" s="5" t="s">
        <v>47</v>
      </c>
    </row>
    <row r="223" spans="1:24" x14ac:dyDescent="0.25">
      <c r="A223" s="5" t="s">
        <v>34</v>
      </c>
      <c r="B223" s="5" t="s">
        <v>153</v>
      </c>
      <c r="C223" s="5" t="s">
        <v>154</v>
      </c>
      <c r="D223" s="5" t="s">
        <v>37</v>
      </c>
      <c r="E223" s="5" t="s">
        <v>100</v>
      </c>
      <c r="F223" s="5" t="s">
        <v>101</v>
      </c>
      <c r="G223" s="5" t="s">
        <v>40</v>
      </c>
      <c r="H223" s="6">
        <v>45961</v>
      </c>
      <c r="I223" s="6">
        <v>45961</v>
      </c>
      <c r="J223" s="6">
        <v>45964</v>
      </c>
      <c r="K223" s="5" t="s">
        <v>135</v>
      </c>
      <c r="L223" s="5" t="s">
        <v>136</v>
      </c>
      <c r="M223" s="5" t="s">
        <v>43</v>
      </c>
      <c r="N223" s="5" t="s">
        <v>137</v>
      </c>
      <c r="O223" s="7">
        <v>1356</v>
      </c>
      <c r="P223" s="5" t="s">
        <v>45</v>
      </c>
      <c r="Q223" s="7">
        <v>1356</v>
      </c>
      <c r="R223" s="5" t="s">
        <v>45</v>
      </c>
      <c r="S223" s="7">
        <v>399.06</v>
      </c>
      <c r="T223" s="5" t="s">
        <v>46</v>
      </c>
      <c r="U223" s="5" t="s">
        <v>47</v>
      </c>
      <c r="V223" s="5" t="s">
        <v>47</v>
      </c>
      <c r="W223" s="5" t="s">
        <v>47</v>
      </c>
      <c r="X223" s="5" t="s">
        <v>47</v>
      </c>
    </row>
    <row r="224" spans="1:24" x14ac:dyDescent="0.25">
      <c r="A224" s="5" t="s">
        <v>34</v>
      </c>
      <c r="B224" s="5" t="s">
        <v>153</v>
      </c>
      <c r="C224" s="5" t="s">
        <v>154</v>
      </c>
      <c r="D224" s="5" t="s">
        <v>37</v>
      </c>
      <c r="E224" s="5" t="s">
        <v>122</v>
      </c>
      <c r="F224" s="5" t="s">
        <v>123</v>
      </c>
      <c r="G224" s="5" t="s">
        <v>40</v>
      </c>
      <c r="H224" s="6">
        <v>45961</v>
      </c>
      <c r="I224" s="6">
        <v>45961</v>
      </c>
      <c r="J224" s="6">
        <v>45964</v>
      </c>
      <c r="K224" s="5" t="s">
        <v>135</v>
      </c>
      <c r="L224" s="5" t="s">
        <v>136</v>
      </c>
      <c r="M224" s="5" t="s">
        <v>43</v>
      </c>
      <c r="N224" s="5" t="s">
        <v>137</v>
      </c>
      <c r="O224" s="7">
        <v>113</v>
      </c>
      <c r="P224" s="5" t="s">
        <v>45</v>
      </c>
      <c r="Q224" s="7">
        <v>113</v>
      </c>
      <c r="R224" s="5" t="s">
        <v>45</v>
      </c>
      <c r="S224" s="7">
        <v>33.25</v>
      </c>
      <c r="T224" s="5" t="s">
        <v>46</v>
      </c>
      <c r="U224" s="5" t="s">
        <v>47</v>
      </c>
      <c r="V224" s="5" t="s">
        <v>47</v>
      </c>
      <c r="W224" s="5" t="s">
        <v>47</v>
      </c>
      <c r="X224" s="5" t="s">
        <v>47</v>
      </c>
    </row>
    <row r="225" spans="1:24" x14ac:dyDescent="0.25">
      <c r="A225" s="5" t="s">
        <v>34</v>
      </c>
      <c r="B225" s="5" t="s">
        <v>153</v>
      </c>
      <c r="C225" s="5" t="s">
        <v>154</v>
      </c>
      <c r="D225" s="5" t="s">
        <v>37</v>
      </c>
      <c r="E225" s="5" t="s">
        <v>86</v>
      </c>
      <c r="F225" s="5" t="s">
        <v>87</v>
      </c>
      <c r="G225" s="5" t="s">
        <v>40</v>
      </c>
      <c r="H225" s="6">
        <v>45961</v>
      </c>
      <c r="I225" s="6">
        <v>45961</v>
      </c>
      <c r="J225" s="6">
        <v>45964</v>
      </c>
      <c r="K225" s="5" t="s">
        <v>135</v>
      </c>
      <c r="L225" s="5" t="s">
        <v>136</v>
      </c>
      <c r="M225" s="5" t="s">
        <v>43</v>
      </c>
      <c r="N225" s="5" t="s">
        <v>137</v>
      </c>
      <c r="O225" s="7">
        <v>5650</v>
      </c>
      <c r="P225" s="5" t="s">
        <v>45</v>
      </c>
      <c r="Q225" s="7">
        <v>5650</v>
      </c>
      <c r="R225" s="5" t="s">
        <v>45</v>
      </c>
      <c r="S225" s="7">
        <v>1662.74</v>
      </c>
      <c r="T225" s="5" t="s">
        <v>46</v>
      </c>
      <c r="U225" s="5" t="s">
        <v>47</v>
      </c>
      <c r="V225" s="5" t="s">
        <v>47</v>
      </c>
      <c r="W225" s="5" t="s">
        <v>47</v>
      </c>
      <c r="X225" s="5" t="s">
        <v>47</v>
      </c>
    </row>
    <row r="226" spans="1:24" x14ac:dyDescent="0.25">
      <c r="A226" s="5" t="s">
        <v>34</v>
      </c>
      <c r="B226" s="5" t="s">
        <v>153</v>
      </c>
      <c r="C226" s="5" t="s">
        <v>154</v>
      </c>
      <c r="D226" s="5" t="s">
        <v>37</v>
      </c>
      <c r="E226" s="5" t="s">
        <v>68</v>
      </c>
      <c r="F226" s="5" t="s">
        <v>69</v>
      </c>
      <c r="G226" s="5" t="s">
        <v>40</v>
      </c>
      <c r="H226" s="6">
        <v>45961</v>
      </c>
      <c r="I226" s="6">
        <v>45961</v>
      </c>
      <c r="J226" s="6">
        <v>45964</v>
      </c>
      <c r="K226" s="5" t="s">
        <v>135</v>
      </c>
      <c r="L226" s="5" t="s">
        <v>136</v>
      </c>
      <c r="M226" s="5" t="s">
        <v>43</v>
      </c>
      <c r="N226" s="5" t="s">
        <v>137</v>
      </c>
      <c r="O226" s="7">
        <v>1469</v>
      </c>
      <c r="P226" s="5" t="s">
        <v>45</v>
      </c>
      <c r="Q226" s="7">
        <v>1469</v>
      </c>
      <c r="R226" s="5" t="s">
        <v>45</v>
      </c>
      <c r="S226" s="7">
        <v>432.31</v>
      </c>
      <c r="T226" s="5" t="s">
        <v>46</v>
      </c>
      <c r="U226" s="5" t="s">
        <v>47</v>
      </c>
      <c r="V226" s="5" t="s">
        <v>47</v>
      </c>
      <c r="W226" s="5" t="s">
        <v>47</v>
      </c>
      <c r="X226" s="5" t="s">
        <v>47</v>
      </c>
    </row>
    <row r="227" spans="1:24" x14ac:dyDescent="0.25">
      <c r="A227" s="5" t="s">
        <v>34</v>
      </c>
      <c r="B227" s="5" t="s">
        <v>153</v>
      </c>
      <c r="C227" s="5" t="s">
        <v>154</v>
      </c>
      <c r="D227" s="5" t="s">
        <v>37</v>
      </c>
      <c r="E227" s="5" t="s">
        <v>54</v>
      </c>
      <c r="F227" s="5" t="s">
        <v>55</v>
      </c>
      <c r="G227" s="5" t="s">
        <v>40</v>
      </c>
      <c r="H227" s="6">
        <v>45961</v>
      </c>
      <c r="I227" s="6">
        <v>45961</v>
      </c>
      <c r="J227" s="6">
        <v>45964</v>
      </c>
      <c r="K227" s="5" t="s">
        <v>135</v>
      </c>
      <c r="L227" s="5" t="s">
        <v>136</v>
      </c>
      <c r="M227" s="5" t="s">
        <v>43</v>
      </c>
      <c r="N227" s="5" t="s">
        <v>137</v>
      </c>
      <c r="O227" s="7">
        <v>452</v>
      </c>
      <c r="P227" s="5" t="s">
        <v>45</v>
      </c>
      <c r="Q227" s="7">
        <v>452</v>
      </c>
      <c r="R227" s="5" t="s">
        <v>45</v>
      </c>
      <c r="S227" s="7">
        <v>133.02000000000001</v>
      </c>
      <c r="T227" s="5" t="s">
        <v>46</v>
      </c>
      <c r="U227" s="5" t="s">
        <v>47</v>
      </c>
      <c r="V227" s="5" t="s">
        <v>47</v>
      </c>
      <c r="W227" s="5" t="s">
        <v>47</v>
      </c>
      <c r="X227" s="5" t="s">
        <v>47</v>
      </c>
    </row>
    <row r="228" spans="1:24" x14ac:dyDescent="0.25">
      <c r="A228" s="5" t="s">
        <v>34</v>
      </c>
      <c r="B228" s="5" t="s">
        <v>153</v>
      </c>
      <c r="C228" s="5" t="s">
        <v>154</v>
      </c>
      <c r="D228" s="5" t="s">
        <v>37</v>
      </c>
      <c r="E228" s="5" t="s">
        <v>64</v>
      </c>
      <c r="F228" s="5" t="s">
        <v>65</v>
      </c>
      <c r="G228" s="5" t="s">
        <v>40</v>
      </c>
      <c r="H228" s="6">
        <v>45961</v>
      </c>
      <c r="I228" s="6">
        <v>45961</v>
      </c>
      <c r="J228" s="6">
        <v>45964</v>
      </c>
      <c r="K228" s="5" t="s">
        <v>135</v>
      </c>
      <c r="L228" s="5" t="s">
        <v>136</v>
      </c>
      <c r="M228" s="5" t="s">
        <v>43</v>
      </c>
      <c r="N228" s="5" t="s">
        <v>137</v>
      </c>
      <c r="O228" s="7">
        <v>2147</v>
      </c>
      <c r="P228" s="5" t="s">
        <v>45</v>
      </c>
      <c r="Q228" s="7">
        <v>2147</v>
      </c>
      <c r="R228" s="5" t="s">
        <v>45</v>
      </c>
      <c r="S228" s="7">
        <v>631.84</v>
      </c>
      <c r="T228" s="5" t="s">
        <v>46</v>
      </c>
      <c r="U228" s="5" t="s">
        <v>47</v>
      </c>
      <c r="V228" s="5" t="s">
        <v>47</v>
      </c>
      <c r="W228" s="5" t="s">
        <v>47</v>
      </c>
      <c r="X228" s="5" t="s">
        <v>47</v>
      </c>
    </row>
    <row r="229" spans="1:24" x14ac:dyDescent="0.25">
      <c r="A229" s="5" t="s">
        <v>34</v>
      </c>
      <c r="B229" s="5" t="s">
        <v>153</v>
      </c>
      <c r="C229" s="5" t="s">
        <v>154</v>
      </c>
      <c r="D229" s="5" t="s">
        <v>37</v>
      </c>
      <c r="E229" s="5" t="s">
        <v>142</v>
      </c>
      <c r="F229" s="5" t="s">
        <v>143</v>
      </c>
      <c r="G229" s="5" t="s">
        <v>40</v>
      </c>
      <c r="H229" s="6">
        <v>45961</v>
      </c>
      <c r="I229" s="6">
        <v>45961</v>
      </c>
      <c r="J229" s="6">
        <v>45964</v>
      </c>
      <c r="K229" s="5" t="s">
        <v>135</v>
      </c>
      <c r="L229" s="5" t="s">
        <v>136</v>
      </c>
      <c r="M229" s="5" t="s">
        <v>43</v>
      </c>
      <c r="N229" s="5" t="s">
        <v>137</v>
      </c>
      <c r="O229" s="7">
        <v>113</v>
      </c>
      <c r="P229" s="5" t="s">
        <v>45</v>
      </c>
      <c r="Q229" s="7">
        <v>113</v>
      </c>
      <c r="R229" s="5" t="s">
        <v>45</v>
      </c>
      <c r="S229" s="7">
        <v>33.25</v>
      </c>
      <c r="T229" s="5" t="s">
        <v>46</v>
      </c>
      <c r="U229" s="5" t="s">
        <v>47</v>
      </c>
      <c r="V229" s="5" t="s">
        <v>47</v>
      </c>
      <c r="W229" s="5" t="s">
        <v>47</v>
      </c>
      <c r="X229" s="5" t="s">
        <v>47</v>
      </c>
    </row>
    <row r="230" spans="1:24" x14ac:dyDescent="0.25">
      <c r="A230" s="5" t="s">
        <v>34</v>
      </c>
      <c r="B230" s="5" t="s">
        <v>153</v>
      </c>
      <c r="C230" s="5" t="s">
        <v>154</v>
      </c>
      <c r="D230" s="5" t="s">
        <v>37</v>
      </c>
      <c r="E230" s="5" t="s">
        <v>138</v>
      </c>
      <c r="F230" s="5" t="s">
        <v>139</v>
      </c>
      <c r="G230" s="5" t="s">
        <v>40</v>
      </c>
      <c r="H230" s="6">
        <v>45961</v>
      </c>
      <c r="I230" s="6">
        <v>45961</v>
      </c>
      <c r="J230" s="6">
        <v>45964</v>
      </c>
      <c r="K230" s="5" t="s">
        <v>135</v>
      </c>
      <c r="L230" s="5" t="s">
        <v>136</v>
      </c>
      <c r="M230" s="5" t="s">
        <v>43</v>
      </c>
      <c r="N230" s="5" t="s">
        <v>137</v>
      </c>
      <c r="O230" s="7">
        <v>1130</v>
      </c>
      <c r="P230" s="5" t="s">
        <v>45</v>
      </c>
      <c r="Q230" s="7">
        <v>1130</v>
      </c>
      <c r="R230" s="5" t="s">
        <v>45</v>
      </c>
      <c r="S230" s="7">
        <v>332.55</v>
      </c>
      <c r="T230" s="5" t="s">
        <v>46</v>
      </c>
      <c r="U230" s="5" t="s">
        <v>47</v>
      </c>
      <c r="V230" s="5" t="s">
        <v>47</v>
      </c>
      <c r="W230" s="5" t="s">
        <v>47</v>
      </c>
      <c r="X230" s="5" t="s">
        <v>47</v>
      </c>
    </row>
    <row r="231" spans="1:24" x14ac:dyDescent="0.25">
      <c r="A231" s="5" t="s">
        <v>34</v>
      </c>
      <c r="B231" s="5" t="s">
        <v>153</v>
      </c>
      <c r="C231" s="5" t="s">
        <v>154</v>
      </c>
      <c r="D231" s="5" t="s">
        <v>37</v>
      </c>
      <c r="E231" s="5" t="s">
        <v>82</v>
      </c>
      <c r="F231" s="5" t="s">
        <v>83</v>
      </c>
      <c r="G231" s="5" t="s">
        <v>40</v>
      </c>
      <c r="H231" s="6">
        <v>45961</v>
      </c>
      <c r="I231" s="6">
        <v>45961</v>
      </c>
      <c r="J231" s="6">
        <v>45964</v>
      </c>
      <c r="K231" s="5" t="s">
        <v>135</v>
      </c>
      <c r="L231" s="5" t="s">
        <v>136</v>
      </c>
      <c r="M231" s="5" t="s">
        <v>43</v>
      </c>
      <c r="N231" s="5" t="s">
        <v>137</v>
      </c>
      <c r="O231" s="7">
        <v>3616</v>
      </c>
      <c r="P231" s="5" t="s">
        <v>45</v>
      </c>
      <c r="Q231" s="7">
        <v>3616</v>
      </c>
      <c r="R231" s="5" t="s">
        <v>45</v>
      </c>
      <c r="S231" s="7">
        <v>1064.1600000000001</v>
      </c>
      <c r="T231" s="5" t="s">
        <v>46</v>
      </c>
      <c r="U231" s="5" t="s">
        <v>47</v>
      </c>
      <c r="V231" s="5" t="s">
        <v>47</v>
      </c>
      <c r="W231" s="5" t="s">
        <v>47</v>
      </c>
      <c r="X231" s="5" t="s">
        <v>47</v>
      </c>
    </row>
    <row r="232" spans="1:24" x14ac:dyDescent="0.25">
      <c r="A232" s="5" t="s">
        <v>34</v>
      </c>
      <c r="B232" s="5" t="s">
        <v>153</v>
      </c>
      <c r="C232" s="5" t="s">
        <v>154</v>
      </c>
      <c r="D232" s="5" t="s">
        <v>37</v>
      </c>
      <c r="E232" s="5" t="s">
        <v>78</v>
      </c>
      <c r="F232" s="5" t="s">
        <v>79</v>
      </c>
      <c r="G232" s="5" t="s">
        <v>40</v>
      </c>
      <c r="H232" s="6">
        <v>45961</v>
      </c>
      <c r="I232" s="6">
        <v>45961</v>
      </c>
      <c r="J232" s="6">
        <v>45964</v>
      </c>
      <c r="K232" s="5" t="s">
        <v>135</v>
      </c>
      <c r="L232" s="5" t="s">
        <v>136</v>
      </c>
      <c r="M232" s="5" t="s">
        <v>43</v>
      </c>
      <c r="N232" s="5" t="s">
        <v>137</v>
      </c>
      <c r="O232" s="7">
        <v>7684</v>
      </c>
      <c r="P232" s="5" t="s">
        <v>45</v>
      </c>
      <c r="Q232" s="7">
        <v>7684</v>
      </c>
      <c r="R232" s="5" t="s">
        <v>45</v>
      </c>
      <c r="S232" s="7">
        <v>2261.33</v>
      </c>
      <c r="T232" s="5" t="s">
        <v>46</v>
      </c>
      <c r="U232" s="5" t="s">
        <v>47</v>
      </c>
      <c r="V232" s="5" t="s">
        <v>47</v>
      </c>
      <c r="W232" s="5" t="s">
        <v>47</v>
      </c>
      <c r="X232" s="5" t="s">
        <v>47</v>
      </c>
    </row>
    <row r="233" spans="1:24" x14ac:dyDescent="0.25">
      <c r="A233" s="5" t="s">
        <v>34</v>
      </c>
      <c r="B233" s="5" t="s">
        <v>153</v>
      </c>
      <c r="C233" s="5" t="s">
        <v>154</v>
      </c>
      <c r="D233" s="5" t="s">
        <v>37</v>
      </c>
      <c r="E233" s="5" t="s">
        <v>96</v>
      </c>
      <c r="F233" s="5" t="s">
        <v>97</v>
      </c>
      <c r="G233" s="5" t="s">
        <v>40</v>
      </c>
      <c r="H233" s="6">
        <v>45961</v>
      </c>
      <c r="I233" s="6">
        <v>45961</v>
      </c>
      <c r="J233" s="6">
        <v>45964</v>
      </c>
      <c r="K233" s="5" t="s">
        <v>147</v>
      </c>
      <c r="L233" s="5" t="s">
        <v>148</v>
      </c>
      <c r="M233" s="5" t="s">
        <v>43</v>
      </c>
      <c r="N233" s="5" t="s">
        <v>149</v>
      </c>
      <c r="O233" s="7">
        <v>113</v>
      </c>
      <c r="P233" s="5" t="s">
        <v>45</v>
      </c>
      <c r="Q233" s="7">
        <v>113</v>
      </c>
      <c r="R233" s="5" t="s">
        <v>45</v>
      </c>
      <c r="S233" s="7">
        <v>33.25</v>
      </c>
      <c r="T233" s="5" t="s">
        <v>46</v>
      </c>
      <c r="U233" s="5" t="s">
        <v>47</v>
      </c>
      <c r="V233" s="5" t="s">
        <v>47</v>
      </c>
      <c r="W233" s="5" t="s">
        <v>47</v>
      </c>
      <c r="X233" s="5" t="s">
        <v>47</v>
      </c>
    </row>
    <row r="234" spans="1:24" x14ac:dyDescent="0.25">
      <c r="A234" s="5" t="s">
        <v>34</v>
      </c>
      <c r="B234" s="5" t="s">
        <v>155</v>
      </c>
      <c r="C234" s="5" t="s">
        <v>156</v>
      </c>
      <c r="D234" s="5" t="s">
        <v>37</v>
      </c>
      <c r="E234" s="5" t="s">
        <v>110</v>
      </c>
      <c r="F234" s="5" t="s">
        <v>111</v>
      </c>
      <c r="G234" s="5" t="s">
        <v>40</v>
      </c>
      <c r="H234" s="6">
        <v>45961</v>
      </c>
      <c r="I234" s="6">
        <v>45961</v>
      </c>
      <c r="J234" s="6">
        <v>45964</v>
      </c>
      <c r="K234" s="5" t="s">
        <v>135</v>
      </c>
      <c r="L234" s="5" t="s">
        <v>136</v>
      </c>
      <c r="M234" s="5" t="s">
        <v>43</v>
      </c>
      <c r="N234" s="5" t="s">
        <v>137</v>
      </c>
      <c r="O234" s="7">
        <v>202.46</v>
      </c>
      <c r="P234" s="5" t="s">
        <v>45</v>
      </c>
      <c r="Q234" s="7">
        <v>202.46</v>
      </c>
      <c r="R234" s="5" t="s">
        <v>45</v>
      </c>
      <c r="S234" s="7">
        <v>59.58</v>
      </c>
      <c r="T234" s="5" t="s">
        <v>46</v>
      </c>
      <c r="U234" s="5" t="s">
        <v>47</v>
      </c>
      <c r="V234" s="5" t="s">
        <v>47</v>
      </c>
      <c r="W234" s="5" t="s">
        <v>47</v>
      </c>
      <c r="X234" s="5" t="s">
        <v>47</v>
      </c>
    </row>
    <row r="235" spans="1:24" x14ac:dyDescent="0.25">
      <c r="A235" s="5" t="s">
        <v>34</v>
      </c>
      <c r="B235" s="5" t="s">
        <v>155</v>
      </c>
      <c r="C235" s="5" t="s">
        <v>156</v>
      </c>
      <c r="D235" s="5" t="s">
        <v>37</v>
      </c>
      <c r="E235" s="5" t="s">
        <v>102</v>
      </c>
      <c r="F235" s="5" t="s">
        <v>103</v>
      </c>
      <c r="G235" s="5" t="s">
        <v>40</v>
      </c>
      <c r="H235" s="6">
        <v>45961</v>
      </c>
      <c r="I235" s="6">
        <v>45961</v>
      </c>
      <c r="J235" s="6">
        <v>45964</v>
      </c>
      <c r="K235" s="5" t="s">
        <v>135</v>
      </c>
      <c r="L235" s="5" t="s">
        <v>136</v>
      </c>
      <c r="M235" s="5" t="s">
        <v>43</v>
      </c>
      <c r="N235" s="5" t="s">
        <v>137</v>
      </c>
      <c r="O235" s="7">
        <v>423.68</v>
      </c>
      <c r="P235" s="5" t="s">
        <v>45</v>
      </c>
      <c r="Q235" s="7">
        <v>423.68</v>
      </c>
      <c r="R235" s="5" t="s">
        <v>45</v>
      </c>
      <c r="S235" s="7">
        <v>124.69</v>
      </c>
      <c r="T235" s="5" t="s">
        <v>46</v>
      </c>
      <c r="U235" s="5" t="s">
        <v>47</v>
      </c>
      <c r="V235" s="5" t="s">
        <v>47</v>
      </c>
      <c r="W235" s="5" t="s">
        <v>47</v>
      </c>
      <c r="X235" s="5" t="s">
        <v>47</v>
      </c>
    </row>
    <row r="236" spans="1:24" x14ac:dyDescent="0.25">
      <c r="A236" s="5" t="s">
        <v>34</v>
      </c>
      <c r="B236" s="5" t="s">
        <v>155</v>
      </c>
      <c r="C236" s="5" t="s">
        <v>156</v>
      </c>
      <c r="D236" s="5" t="s">
        <v>37</v>
      </c>
      <c r="E236" s="5" t="s">
        <v>68</v>
      </c>
      <c r="F236" s="5" t="s">
        <v>69</v>
      </c>
      <c r="G236" s="5" t="s">
        <v>40</v>
      </c>
      <c r="H236" s="6">
        <v>45961</v>
      </c>
      <c r="I236" s="6">
        <v>45961</v>
      </c>
      <c r="J236" s="6">
        <v>45964</v>
      </c>
      <c r="K236" s="5" t="s">
        <v>135</v>
      </c>
      <c r="L236" s="5" t="s">
        <v>136</v>
      </c>
      <c r="M236" s="5" t="s">
        <v>43</v>
      </c>
      <c r="N236" s="5" t="s">
        <v>137</v>
      </c>
      <c r="O236" s="7">
        <v>228.22</v>
      </c>
      <c r="P236" s="5" t="s">
        <v>45</v>
      </c>
      <c r="Q236" s="7">
        <v>228.22</v>
      </c>
      <c r="R236" s="5" t="s">
        <v>45</v>
      </c>
      <c r="S236" s="7">
        <v>67.16</v>
      </c>
      <c r="T236" s="5" t="s">
        <v>46</v>
      </c>
      <c r="U236" s="5" t="s">
        <v>47</v>
      </c>
      <c r="V236" s="5" t="s">
        <v>47</v>
      </c>
      <c r="W236" s="5" t="s">
        <v>47</v>
      </c>
      <c r="X236" s="5" t="s">
        <v>47</v>
      </c>
    </row>
    <row r="237" spans="1:24" x14ac:dyDescent="0.25">
      <c r="A237" s="5" t="s">
        <v>34</v>
      </c>
      <c r="B237" s="5" t="s">
        <v>155</v>
      </c>
      <c r="C237" s="5" t="s">
        <v>156</v>
      </c>
      <c r="D237" s="5" t="s">
        <v>37</v>
      </c>
      <c r="E237" s="5" t="s">
        <v>78</v>
      </c>
      <c r="F237" s="5" t="s">
        <v>79</v>
      </c>
      <c r="G237" s="5" t="s">
        <v>40</v>
      </c>
      <c r="H237" s="6">
        <v>45961</v>
      </c>
      <c r="I237" s="6">
        <v>45961</v>
      </c>
      <c r="J237" s="6">
        <v>45964</v>
      </c>
      <c r="K237" s="5" t="s">
        <v>135</v>
      </c>
      <c r="L237" s="5" t="s">
        <v>136</v>
      </c>
      <c r="M237" s="5" t="s">
        <v>43</v>
      </c>
      <c r="N237" s="5" t="s">
        <v>137</v>
      </c>
      <c r="O237" s="7">
        <v>19950.43</v>
      </c>
      <c r="P237" s="5" t="s">
        <v>45</v>
      </c>
      <c r="Q237" s="7">
        <v>19950.43</v>
      </c>
      <c r="R237" s="5" t="s">
        <v>45</v>
      </c>
      <c r="S237" s="7">
        <v>5871.23</v>
      </c>
      <c r="T237" s="5" t="s">
        <v>46</v>
      </c>
      <c r="U237" s="5" t="s">
        <v>47</v>
      </c>
      <c r="V237" s="5" t="s">
        <v>47</v>
      </c>
      <c r="W237" s="5" t="s">
        <v>47</v>
      </c>
      <c r="X237" s="5" t="s">
        <v>47</v>
      </c>
    </row>
    <row r="238" spans="1:24" x14ac:dyDescent="0.25">
      <c r="A238" s="5" t="s">
        <v>34</v>
      </c>
      <c r="B238" s="5" t="s">
        <v>157</v>
      </c>
      <c r="C238" s="5" t="s">
        <v>158</v>
      </c>
      <c r="D238" s="5" t="s">
        <v>37</v>
      </c>
      <c r="E238" s="5" t="s">
        <v>62</v>
      </c>
      <c r="F238" s="5" t="s">
        <v>63</v>
      </c>
      <c r="G238" s="5" t="s">
        <v>40</v>
      </c>
      <c r="H238" s="6">
        <v>45961</v>
      </c>
      <c r="I238" s="6">
        <v>45961</v>
      </c>
      <c r="J238" s="6">
        <v>45964</v>
      </c>
      <c r="K238" s="5" t="s">
        <v>135</v>
      </c>
      <c r="L238" s="5" t="s">
        <v>136</v>
      </c>
      <c r="M238" s="5" t="s">
        <v>43</v>
      </c>
      <c r="N238" s="5" t="s">
        <v>137</v>
      </c>
      <c r="O238" s="7">
        <v>4424.3900000000003</v>
      </c>
      <c r="P238" s="5" t="s">
        <v>45</v>
      </c>
      <c r="Q238" s="7">
        <v>4424.3900000000003</v>
      </c>
      <c r="R238" s="5" t="s">
        <v>45</v>
      </c>
      <c r="S238" s="7">
        <v>1302.06</v>
      </c>
      <c r="T238" s="5" t="s">
        <v>46</v>
      </c>
      <c r="U238" s="5" t="s">
        <v>47</v>
      </c>
      <c r="V238" s="5" t="s">
        <v>47</v>
      </c>
      <c r="W238" s="5" t="s">
        <v>47</v>
      </c>
      <c r="X238" s="5" t="s">
        <v>47</v>
      </c>
    </row>
    <row r="239" spans="1:24" x14ac:dyDescent="0.25">
      <c r="A239" s="5" t="s">
        <v>34</v>
      </c>
      <c r="B239" s="5" t="s">
        <v>157</v>
      </c>
      <c r="C239" s="5" t="s">
        <v>158</v>
      </c>
      <c r="D239" s="5" t="s">
        <v>37</v>
      </c>
      <c r="E239" s="5" t="s">
        <v>82</v>
      </c>
      <c r="F239" s="5" t="s">
        <v>83</v>
      </c>
      <c r="G239" s="5" t="s">
        <v>40</v>
      </c>
      <c r="H239" s="6">
        <v>45961</v>
      </c>
      <c r="I239" s="6">
        <v>45961</v>
      </c>
      <c r="J239" s="6">
        <v>45964</v>
      </c>
      <c r="K239" s="5" t="s">
        <v>135</v>
      </c>
      <c r="L239" s="5" t="s">
        <v>136</v>
      </c>
      <c r="M239" s="5" t="s">
        <v>43</v>
      </c>
      <c r="N239" s="5" t="s">
        <v>137</v>
      </c>
      <c r="O239" s="7">
        <v>5751.44</v>
      </c>
      <c r="P239" s="5" t="s">
        <v>45</v>
      </c>
      <c r="Q239" s="7">
        <v>5751.44</v>
      </c>
      <c r="R239" s="5" t="s">
        <v>45</v>
      </c>
      <c r="S239" s="7">
        <v>1692.6</v>
      </c>
      <c r="T239" s="5" t="s">
        <v>46</v>
      </c>
      <c r="U239" s="5" t="s">
        <v>47</v>
      </c>
      <c r="V239" s="5" t="s">
        <v>47</v>
      </c>
      <c r="W239" s="5" t="s">
        <v>47</v>
      </c>
      <c r="X239" s="5" t="s">
        <v>47</v>
      </c>
    </row>
    <row r="240" spans="1:24" x14ac:dyDescent="0.25">
      <c r="A240" s="5" t="s">
        <v>34</v>
      </c>
      <c r="B240" s="5" t="s">
        <v>157</v>
      </c>
      <c r="C240" s="5" t="s">
        <v>158</v>
      </c>
      <c r="D240" s="5" t="s">
        <v>37</v>
      </c>
      <c r="E240" s="5" t="s">
        <v>110</v>
      </c>
      <c r="F240" s="5" t="s">
        <v>111</v>
      </c>
      <c r="G240" s="5" t="s">
        <v>40</v>
      </c>
      <c r="H240" s="6">
        <v>45961</v>
      </c>
      <c r="I240" s="6">
        <v>45961</v>
      </c>
      <c r="J240" s="6">
        <v>45964</v>
      </c>
      <c r="K240" s="5" t="s">
        <v>135</v>
      </c>
      <c r="L240" s="5" t="s">
        <v>136</v>
      </c>
      <c r="M240" s="5" t="s">
        <v>43</v>
      </c>
      <c r="N240" s="5" t="s">
        <v>137</v>
      </c>
      <c r="O240" s="7">
        <v>10343.81</v>
      </c>
      <c r="P240" s="5" t="s">
        <v>45</v>
      </c>
      <c r="Q240" s="7">
        <v>10343.81</v>
      </c>
      <c r="R240" s="5" t="s">
        <v>45</v>
      </c>
      <c r="S240" s="7">
        <v>3044.09</v>
      </c>
      <c r="T240" s="5" t="s">
        <v>46</v>
      </c>
      <c r="U240" s="5" t="s">
        <v>47</v>
      </c>
      <c r="V240" s="5" t="s">
        <v>47</v>
      </c>
      <c r="W240" s="5" t="s">
        <v>47</v>
      </c>
      <c r="X240" s="5" t="s">
        <v>47</v>
      </c>
    </row>
    <row r="241" spans="1:24" x14ac:dyDescent="0.25">
      <c r="A241" s="5" t="s">
        <v>34</v>
      </c>
      <c r="B241" s="5" t="s">
        <v>157</v>
      </c>
      <c r="C241" s="5" t="s">
        <v>158</v>
      </c>
      <c r="D241" s="5" t="s">
        <v>37</v>
      </c>
      <c r="E241" s="5" t="s">
        <v>122</v>
      </c>
      <c r="F241" s="5" t="s">
        <v>123</v>
      </c>
      <c r="G241" s="5" t="s">
        <v>40</v>
      </c>
      <c r="H241" s="6">
        <v>45961</v>
      </c>
      <c r="I241" s="6">
        <v>45961</v>
      </c>
      <c r="J241" s="6">
        <v>45964</v>
      </c>
      <c r="K241" s="5" t="s">
        <v>135</v>
      </c>
      <c r="L241" s="5" t="s">
        <v>136</v>
      </c>
      <c r="M241" s="5" t="s">
        <v>43</v>
      </c>
      <c r="N241" s="5" t="s">
        <v>137</v>
      </c>
      <c r="O241" s="7">
        <v>112.87</v>
      </c>
      <c r="P241" s="5" t="s">
        <v>45</v>
      </c>
      <c r="Q241" s="7">
        <v>112.87</v>
      </c>
      <c r="R241" s="5" t="s">
        <v>45</v>
      </c>
      <c r="S241" s="7">
        <v>33.22</v>
      </c>
      <c r="T241" s="5" t="s">
        <v>46</v>
      </c>
      <c r="U241" s="5" t="s">
        <v>47</v>
      </c>
      <c r="V241" s="5" t="s">
        <v>47</v>
      </c>
      <c r="W241" s="5" t="s">
        <v>47</v>
      </c>
      <c r="X241" s="5" t="s">
        <v>47</v>
      </c>
    </row>
    <row r="242" spans="1:24" x14ac:dyDescent="0.25">
      <c r="A242" s="5" t="s">
        <v>34</v>
      </c>
      <c r="B242" s="5" t="s">
        <v>157</v>
      </c>
      <c r="C242" s="5" t="s">
        <v>158</v>
      </c>
      <c r="D242" s="5" t="s">
        <v>37</v>
      </c>
      <c r="E242" s="5" t="s">
        <v>60</v>
      </c>
      <c r="F242" s="5" t="s">
        <v>61</v>
      </c>
      <c r="G242" s="5" t="s">
        <v>40</v>
      </c>
      <c r="H242" s="6">
        <v>45961</v>
      </c>
      <c r="I242" s="6">
        <v>45961</v>
      </c>
      <c r="J242" s="6">
        <v>45964</v>
      </c>
      <c r="K242" s="5" t="s">
        <v>135</v>
      </c>
      <c r="L242" s="5" t="s">
        <v>136</v>
      </c>
      <c r="M242" s="5" t="s">
        <v>43</v>
      </c>
      <c r="N242" s="5" t="s">
        <v>137</v>
      </c>
      <c r="O242" s="7">
        <v>17649.3</v>
      </c>
      <c r="P242" s="5" t="s">
        <v>45</v>
      </c>
      <c r="Q242" s="7">
        <v>17649.3</v>
      </c>
      <c r="R242" s="5" t="s">
        <v>45</v>
      </c>
      <c r="S242" s="7">
        <v>5194.03</v>
      </c>
      <c r="T242" s="5" t="s">
        <v>46</v>
      </c>
      <c r="U242" s="5" t="s">
        <v>47</v>
      </c>
      <c r="V242" s="5" t="s">
        <v>47</v>
      </c>
      <c r="W242" s="5" t="s">
        <v>47</v>
      </c>
      <c r="X242" s="5" t="s">
        <v>47</v>
      </c>
    </row>
    <row r="243" spans="1:24" x14ac:dyDescent="0.25">
      <c r="A243" s="5" t="s">
        <v>34</v>
      </c>
      <c r="B243" s="5" t="s">
        <v>157</v>
      </c>
      <c r="C243" s="5" t="s">
        <v>158</v>
      </c>
      <c r="D243" s="5" t="s">
        <v>37</v>
      </c>
      <c r="E243" s="5" t="s">
        <v>70</v>
      </c>
      <c r="F243" s="5" t="s">
        <v>71</v>
      </c>
      <c r="G243" s="5" t="s">
        <v>40</v>
      </c>
      <c r="H243" s="6">
        <v>45961</v>
      </c>
      <c r="I243" s="6">
        <v>45961</v>
      </c>
      <c r="J243" s="6">
        <v>45964</v>
      </c>
      <c r="K243" s="5" t="s">
        <v>135</v>
      </c>
      <c r="L243" s="5" t="s">
        <v>136</v>
      </c>
      <c r="M243" s="5" t="s">
        <v>43</v>
      </c>
      <c r="N243" s="5" t="s">
        <v>137</v>
      </c>
      <c r="O243" s="7">
        <v>840.23</v>
      </c>
      <c r="P243" s="5" t="s">
        <v>45</v>
      </c>
      <c r="Q243" s="7">
        <v>840.23</v>
      </c>
      <c r="R243" s="5" t="s">
        <v>45</v>
      </c>
      <c r="S243" s="7">
        <v>247.27</v>
      </c>
      <c r="T243" s="5" t="s">
        <v>46</v>
      </c>
      <c r="U243" s="5" t="s">
        <v>47</v>
      </c>
      <c r="V243" s="5" t="s">
        <v>47</v>
      </c>
      <c r="W243" s="5" t="s">
        <v>47</v>
      </c>
      <c r="X243" s="5" t="s">
        <v>47</v>
      </c>
    </row>
    <row r="244" spans="1:24" x14ac:dyDescent="0.25">
      <c r="A244" s="5" t="s">
        <v>34</v>
      </c>
      <c r="B244" s="5" t="s">
        <v>157</v>
      </c>
      <c r="C244" s="5" t="s">
        <v>158</v>
      </c>
      <c r="D244" s="5" t="s">
        <v>37</v>
      </c>
      <c r="E244" s="5" t="s">
        <v>96</v>
      </c>
      <c r="F244" s="5" t="s">
        <v>97</v>
      </c>
      <c r="G244" s="5" t="s">
        <v>40</v>
      </c>
      <c r="H244" s="6">
        <v>45961</v>
      </c>
      <c r="I244" s="6">
        <v>45961</v>
      </c>
      <c r="J244" s="6">
        <v>45964</v>
      </c>
      <c r="K244" s="5" t="s">
        <v>135</v>
      </c>
      <c r="L244" s="5" t="s">
        <v>136</v>
      </c>
      <c r="M244" s="5" t="s">
        <v>43</v>
      </c>
      <c r="N244" s="5" t="s">
        <v>137</v>
      </c>
      <c r="O244" s="7">
        <v>6971.03</v>
      </c>
      <c r="P244" s="5" t="s">
        <v>45</v>
      </c>
      <c r="Q244" s="7">
        <v>6971.03</v>
      </c>
      <c r="R244" s="5" t="s">
        <v>45</v>
      </c>
      <c r="S244" s="7">
        <v>2051.5100000000002</v>
      </c>
      <c r="T244" s="5" t="s">
        <v>46</v>
      </c>
      <c r="U244" s="5" t="s">
        <v>47</v>
      </c>
      <c r="V244" s="5" t="s">
        <v>47</v>
      </c>
      <c r="W244" s="5" t="s">
        <v>47</v>
      </c>
      <c r="X244" s="5" t="s">
        <v>47</v>
      </c>
    </row>
    <row r="245" spans="1:24" x14ac:dyDescent="0.25">
      <c r="A245" s="5" t="s">
        <v>34</v>
      </c>
      <c r="B245" s="5" t="s">
        <v>157</v>
      </c>
      <c r="C245" s="5" t="s">
        <v>158</v>
      </c>
      <c r="D245" s="5" t="s">
        <v>37</v>
      </c>
      <c r="E245" s="5" t="s">
        <v>118</v>
      </c>
      <c r="F245" s="5" t="s">
        <v>119</v>
      </c>
      <c r="G245" s="5" t="s">
        <v>40</v>
      </c>
      <c r="H245" s="6">
        <v>45961</v>
      </c>
      <c r="I245" s="6">
        <v>45961</v>
      </c>
      <c r="J245" s="6">
        <v>45964</v>
      </c>
      <c r="K245" s="5" t="s">
        <v>135</v>
      </c>
      <c r="L245" s="5" t="s">
        <v>136</v>
      </c>
      <c r="M245" s="5" t="s">
        <v>43</v>
      </c>
      <c r="N245" s="5" t="s">
        <v>137</v>
      </c>
      <c r="O245" s="7">
        <v>472.15</v>
      </c>
      <c r="P245" s="5" t="s">
        <v>45</v>
      </c>
      <c r="Q245" s="7">
        <v>472.15</v>
      </c>
      <c r="R245" s="5" t="s">
        <v>45</v>
      </c>
      <c r="S245" s="7">
        <v>138.94999999999999</v>
      </c>
      <c r="T245" s="5" t="s">
        <v>46</v>
      </c>
      <c r="U245" s="5" t="s">
        <v>47</v>
      </c>
      <c r="V245" s="5" t="s">
        <v>47</v>
      </c>
      <c r="W245" s="5" t="s">
        <v>47</v>
      </c>
      <c r="X245" s="5" t="s">
        <v>47</v>
      </c>
    </row>
    <row r="246" spans="1:24" x14ac:dyDescent="0.25">
      <c r="A246" s="5" t="s">
        <v>34</v>
      </c>
      <c r="B246" s="5" t="s">
        <v>157</v>
      </c>
      <c r="C246" s="5" t="s">
        <v>158</v>
      </c>
      <c r="D246" s="5" t="s">
        <v>37</v>
      </c>
      <c r="E246" s="5" t="s">
        <v>116</v>
      </c>
      <c r="F246" s="5" t="s">
        <v>117</v>
      </c>
      <c r="G246" s="5" t="s">
        <v>40</v>
      </c>
      <c r="H246" s="6">
        <v>45961</v>
      </c>
      <c r="I246" s="6">
        <v>45961</v>
      </c>
      <c r="J246" s="6">
        <v>45964</v>
      </c>
      <c r="K246" s="5" t="s">
        <v>135</v>
      </c>
      <c r="L246" s="5" t="s">
        <v>136</v>
      </c>
      <c r="M246" s="5" t="s">
        <v>43</v>
      </c>
      <c r="N246" s="5" t="s">
        <v>137</v>
      </c>
      <c r="O246" s="7">
        <v>2599.1799999999998</v>
      </c>
      <c r="P246" s="5" t="s">
        <v>45</v>
      </c>
      <c r="Q246" s="7">
        <v>2599.1799999999998</v>
      </c>
      <c r="R246" s="5" t="s">
        <v>45</v>
      </c>
      <c r="S246" s="7">
        <v>764.91</v>
      </c>
      <c r="T246" s="5" t="s">
        <v>46</v>
      </c>
      <c r="U246" s="5" t="s">
        <v>47</v>
      </c>
      <c r="V246" s="5" t="s">
        <v>47</v>
      </c>
      <c r="W246" s="5" t="s">
        <v>47</v>
      </c>
      <c r="X246" s="5" t="s">
        <v>47</v>
      </c>
    </row>
    <row r="247" spans="1:24" x14ac:dyDescent="0.25">
      <c r="A247" s="5" t="s">
        <v>34</v>
      </c>
      <c r="B247" s="5" t="s">
        <v>157</v>
      </c>
      <c r="C247" s="5" t="s">
        <v>158</v>
      </c>
      <c r="D247" s="5" t="s">
        <v>37</v>
      </c>
      <c r="E247" s="5" t="s">
        <v>68</v>
      </c>
      <c r="F247" s="5" t="s">
        <v>69</v>
      </c>
      <c r="G247" s="5" t="s">
        <v>40</v>
      </c>
      <c r="H247" s="6">
        <v>45961</v>
      </c>
      <c r="I247" s="6">
        <v>45961</v>
      </c>
      <c r="J247" s="6">
        <v>45964</v>
      </c>
      <c r="K247" s="5" t="s">
        <v>135</v>
      </c>
      <c r="L247" s="5" t="s">
        <v>136</v>
      </c>
      <c r="M247" s="5" t="s">
        <v>43</v>
      </c>
      <c r="N247" s="5" t="s">
        <v>137</v>
      </c>
      <c r="O247" s="7">
        <v>2243.59</v>
      </c>
      <c r="P247" s="5" t="s">
        <v>45</v>
      </c>
      <c r="Q247" s="7">
        <v>2243.59</v>
      </c>
      <c r="R247" s="5" t="s">
        <v>45</v>
      </c>
      <c r="S247" s="7">
        <v>660.27</v>
      </c>
      <c r="T247" s="5" t="s">
        <v>46</v>
      </c>
      <c r="U247" s="5" t="s">
        <v>47</v>
      </c>
      <c r="V247" s="5" t="s">
        <v>47</v>
      </c>
      <c r="W247" s="5" t="s">
        <v>47</v>
      </c>
      <c r="X247" s="5" t="s">
        <v>47</v>
      </c>
    </row>
    <row r="248" spans="1:24" x14ac:dyDescent="0.25">
      <c r="A248" s="5" t="s">
        <v>34</v>
      </c>
      <c r="B248" s="5" t="s">
        <v>157</v>
      </c>
      <c r="C248" s="5" t="s">
        <v>158</v>
      </c>
      <c r="D248" s="5" t="s">
        <v>37</v>
      </c>
      <c r="E248" s="5" t="s">
        <v>86</v>
      </c>
      <c r="F248" s="5" t="s">
        <v>87</v>
      </c>
      <c r="G248" s="5" t="s">
        <v>40</v>
      </c>
      <c r="H248" s="6">
        <v>45961</v>
      </c>
      <c r="I248" s="6">
        <v>45961</v>
      </c>
      <c r="J248" s="6">
        <v>45964</v>
      </c>
      <c r="K248" s="5" t="s">
        <v>135</v>
      </c>
      <c r="L248" s="5" t="s">
        <v>136</v>
      </c>
      <c r="M248" s="5" t="s">
        <v>43</v>
      </c>
      <c r="N248" s="5" t="s">
        <v>137</v>
      </c>
      <c r="O248" s="7">
        <v>5807.77</v>
      </c>
      <c r="P248" s="5" t="s">
        <v>45</v>
      </c>
      <c r="Q248" s="7">
        <v>5807.77</v>
      </c>
      <c r="R248" s="5" t="s">
        <v>45</v>
      </c>
      <c r="S248" s="7">
        <v>1709.17</v>
      </c>
      <c r="T248" s="5" t="s">
        <v>46</v>
      </c>
      <c r="U248" s="5" t="s">
        <v>47</v>
      </c>
      <c r="V248" s="5" t="s">
        <v>47</v>
      </c>
      <c r="W248" s="5" t="s">
        <v>47</v>
      </c>
      <c r="X248" s="5" t="s">
        <v>47</v>
      </c>
    </row>
    <row r="249" spans="1:24" x14ac:dyDescent="0.25">
      <c r="A249" s="5" t="s">
        <v>34</v>
      </c>
      <c r="B249" s="5" t="s">
        <v>157</v>
      </c>
      <c r="C249" s="5" t="s">
        <v>158</v>
      </c>
      <c r="D249" s="5" t="s">
        <v>37</v>
      </c>
      <c r="E249" s="5" t="s">
        <v>78</v>
      </c>
      <c r="F249" s="5" t="s">
        <v>79</v>
      </c>
      <c r="G249" s="5" t="s">
        <v>40</v>
      </c>
      <c r="H249" s="6">
        <v>45961</v>
      </c>
      <c r="I249" s="6">
        <v>45961</v>
      </c>
      <c r="J249" s="6">
        <v>45964</v>
      </c>
      <c r="K249" s="5" t="s">
        <v>135</v>
      </c>
      <c r="L249" s="5" t="s">
        <v>136</v>
      </c>
      <c r="M249" s="5" t="s">
        <v>43</v>
      </c>
      <c r="N249" s="5" t="s">
        <v>137</v>
      </c>
      <c r="O249" s="7">
        <v>5018.28</v>
      </c>
      <c r="P249" s="5" t="s">
        <v>45</v>
      </c>
      <c r="Q249" s="7">
        <v>5018.28</v>
      </c>
      <c r="R249" s="5" t="s">
        <v>45</v>
      </c>
      <c r="S249" s="7">
        <v>1476.83</v>
      </c>
      <c r="T249" s="5" t="s">
        <v>46</v>
      </c>
      <c r="U249" s="5" t="s">
        <v>47</v>
      </c>
      <c r="V249" s="5" t="s">
        <v>47</v>
      </c>
      <c r="W249" s="5" t="s">
        <v>47</v>
      </c>
      <c r="X249" s="5" t="s">
        <v>47</v>
      </c>
    </row>
    <row r="250" spans="1:24" x14ac:dyDescent="0.25">
      <c r="A250" s="5" t="s">
        <v>34</v>
      </c>
      <c r="B250" s="5" t="s">
        <v>157</v>
      </c>
      <c r="C250" s="5" t="s">
        <v>158</v>
      </c>
      <c r="D250" s="5" t="s">
        <v>37</v>
      </c>
      <c r="E250" s="5" t="s">
        <v>98</v>
      </c>
      <c r="F250" s="5" t="s">
        <v>99</v>
      </c>
      <c r="G250" s="5" t="s">
        <v>40</v>
      </c>
      <c r="H250" s="6">
        <v>45961</v>
      </c>
      <c r="I250" s="6">
        <v>45961</v>
      </c>
      <c r="J250" s="6">
        <v>45964</v>
      </c>
      <c r="K250" s="5" t="s">
        <v>135</v>
      </c>
      <c r="L250" s="5" t="s">
        <v>136</v>
      </c>
      <c r="M250" s="5" t="s">
        <v>43</v>
      </c>
      <c r="N250" s="5" t="s">
        <v>137</v>
      </c>
      <c r="O250" s="7">
        <v>122.2</v>
      </c>
      <c r="P250" s="5" t="s">
        <v>45</v>
      </c>
      <c r="Q250" s="7">
        <v>122.2</v>
      </c>
      <c r="R250" s="5" t="s">
        <v>45</v>
      </c>
      <c r="S250" s="7">
        <v>35.96</v>
      </c>
      <c r="T250" s="5" t="s">
        <v>46</v>
      </c>
      <c r="U250" s="5" t="s">
        <v>47</v>
      </c>
      <c r="V250" s="5" t="s">
        <v>47</v>
      </c>
      <c r="W250" s="5" t="s">
        <v>47</v>
      </c>
      <c r="X250" s="5" t="s">
        <v>47</v>
      </c>
    </row>
    <row r="251" spans="1:24" x14ac:dyDescent="0.25">
      <c r="A251" s="5" t="s">
        <v>34</v>
      </c>
      <c r="B251" s="5" t="s">
        <v>157</v>
      </c>
      <c r="C251" s="5" t="s">
        <v>158</v>
      </c>
      <c r="D251" s="5" t="s">
        <v>37</v>
      </c>
      <c r="E251" s="5" t="s">
        <v>138</v>
      </c>
      <c r="F251" s="5" t="s">
        <v>139</v>
      </c>
      <c r="G251" s="5" t="s">
        <v>40</v>
      </c>
      <c r="H251" s="6">
        <v>45961</v>
      </c>
      <c r="I251" s="6">
        <v>45961</v>
      </c>
      <c r="J251" s="6">
        <v>45964</v>
      </c>
      <c r="K251" s="5" t="s">
        <v>135</v>
      </c>
      <c r="L251" s="5" t="s">
        <v>136</v>
      </c>
      <c r="M251" s="5" t="s">
        <v>43</v>
      </c>
      <c r="N251" s="5" t="s">
        <v>137</v>
      </c>
      <c r="O251" s="7">
        <v>1254.8399999999999</v>
      </c>
      <c r="P251" s="5" t="s">
        <v>45</v>
      </c>
      <c r="Q251" s="7">
        <v>1254.8399999999999</v>
      </c>
      <c r="R251" s="5" t="s">
        <v>45</v>
      </c>
      <c r="S251" s="7">
        <v>369.29</v>
      </c>
      <c r="T251" s="5" t="s">
        <v>46</v>
      </c>
      <c r="U251" s="5" t="s">
        <v>47</v>
      </c>
      <c r="V251" s="5" t="s">
        <v>47</v>
      </c>
      <c r="W251" s="5" t="s">
        <v>47</v>
      </c>
      <c r="X251" s="5" t="s">
        <v>47</v>
      </c>
    </row>
    <row r="252" spans="1:24" x14ac:dyDescent="0.25">
      <c r="A252" s="5" t="s">
        <v>34</v>
      </c>
      <c r="B252" s="5" t="s">
        <v>157</v>
      </c>
      <c r="C252" s="5" t="s">
        <v>158</v>
      </c>
      <c r="D252" s="5" t="s">
        <v>37</v>
      </c>
      <c r="E252" s="5" t="s">
        <v>84</v>
      </c>
      <c r="F252" s="5" t="s">
        <v>85</v>
      </c>
      <c r="G252" s="5" t="s">
        <v>40</v>
      </c>
      <c r="H252" s="6">
        <v>45961</v>
      </c>
      <c r="I252" s="6">
        <v>45961</v>
      </c>
      <c r="J252" s="6">
        <v>45964</v>
      </c>
      <c r="K252" s="5" t="s">
        <v>135</v>
      </c>
      <c r="L252" s="5" t="s">
        <v>136</v>
      </c>
      <c r="M252" s="5" t="s">
        <v>43</v>
      </c>
      <c r="N252" s="5" t="s">
        <v>137</v>
      </c>
      <c r="O252" s="7">
        <v>788.33</v>
      </c>
      <c r="P252" s="5" t="s">
        <v>45</v>
      </c>
      <c r="Q252" s="7">
        <v>788.33</v>
      </c>
      <c r="R252" s="5" t="s">
        <v>45</v>
      </c>
      <c r="S252" s="7">
        <v>232</v>
      </c>
      <c r="T252" s="5" t="s">
        <v>46</v>
      </c>
      <c r="U252" s="5" t="s">
        <v>47</v>
      </c>
      <c r="V252" s="5" t="s">
        <v>47</v>
      </c>
      <c r="W252" s="5" t="s">
        <v>47</v>
      </c>
      <c r="X252" s="5" t="s">
        <v>47</v>
      </c>
    </row>
    <row r="253" spans="1:24" x14ac:dyDescent="0.25">
      <c r="A253" s="5" t="s">
        <v>34</v>
      </c>
      <c r="B253" s="5" t="s">
        <v>157</v>
      </c>
      <c r="C253" s="5" t="s">
        <v>158</v>
      </c>
      <c r="D253" s="5" t="s">
        <v>37</v>
      </c>
      <c r="E253" s="5" t="s">
        <v>104</v>
      </c>
      <c r="F253" s="5" t="s">
        <v>105</v>
      </c>
      <c r="G253" s="5" t="s">
        <v>40</v>
      </c>
      <c r="H253" s="6">
        <v>45961</v>
      </c>
      <c r="I253" s="6">
        <v>45961</v>
      </c>
      <c r="J253" s="6">
        <v>45964</v>
      </c>
      <c r="K253" s="5" t="s">
        <v>135</v>
      </c>
      <c r="L253" s="5" t="s">
        <v>136</v>
      </c>
      <c r="M253" s="5" t="s">
        <v>43</v>
      </c>
      <c r="N253" s="5" t="s">
        <v>137</v>
      </c>
      <c r="O253" s="7">
        <v>2894.93</v>
      </c>
      <c r="P253" s="5" t="s">
        <v>45</v>
      </c>
      <c r="Q253" s="7">
        <v>2894.93</v>
      </c>
      <c r="R253" s="5" t="s">
        <v>45</v>
      </c>
      <c r="S253" s="7">
        <v>851.95</v>
      </c>
      <c r="T253" s="5" t="s">
        <v>46</v>
      </c>
      <c r="U253" s="5" t="s">
        <v>47</v>
      </c>
      <c r="V253" s="5" t="s">
        <v>47</v>
      </c>
      <c r="W253" s="5" t="s">
        <v>47</v>
      </c>
      <c r="X253" s="5" t="s">
        <v>47</v>
      </c>
    </row>
    <row r="254" spans="1:24" x14ac:dyDescent="0.25">
      <c r="A254" s="5" t="s">
        <v>34</v>
      </c>
      <c r="B254" s="5" t="s">
        <v>157</v>
      </c>
      <c r="C254" s="5" t="s">
        <v>158</v>
      </c>
      <c r="D254" s="5" t="s">
        <v>37</v>
      </c>
      <c r="E254" s="5" t="s">
        <v>74</v>
      </c>
      <c r="F254" s="5" t="s">
        <v>75</v>
      </c>
      <c r="G254" s="5" t="s">
        <v>40</v>
      </c>
      <c r="H254" s="6">
        <v>45961</v>
      </c>
      <c r="I254" s="6">
        <v>45961</v>
      </c>
      <c r="J254" s="6">
        <v>45964</v>
      </c>
      <c r="K254" s="5" t="s">
        <v>135</v>
      </c>
      <c r="L254" s="5" t="s">
        <v>136</v>
      </c>
      <c r="M254" s="5" t="s">
        <v>43</v>
      </c>
      <c r="N254" s="5" t="s">
        <v>137</v>
      </c>
      <c r="O254" s="7">
        <v>26234.63</v>
      </c>
      <c r="P254" s="5" t="s">
        <v>45</v>
      </c>
      <c r="Q254" s="7">
        <v>26234.63</v>
      </c>
      <c r="R254" s="5" t="s">
        <v>45</v>
      </c>
      <c r="S254" s="7">
        <v>7720.61</v>
      </c>
      <c r="T254" s="5" t="s">
        <v>46</v>
      </c>
      <c r="U254" s="5" t="s">
        <v>47</v>
      </c>
      <c r="V254" s="5" t="s">
        <v>47</v>
      </c>
      <c r="W254" s="5" t="s">
        <v>47</v>
      </c>
      <c r="X254" s="5" t="s">
        <v>47</v>
      </c>
    </row>
    <row r="255" spans="1:24" x14ac:dyDescent="0.25">
      <c r="A255" s="5" t="s">
        <v>34</v>
      </c>
      <c r="B255" s="5" t="s">
        <v>157</v>
      </c>
      <c r="C255" s="5" t="s">
        <v>158</v>
      </c>
      <c r="D255" s="5" t="s">
        <v>37</v>
      </c>
      <c r="E255" s="5" t="s">
        <v>102</v>
      </c>
      <c r="F255" s="5" t="s">
        <v>103</v>
      </c>
      <c r="G255" s="5" t="s">
        <v>40</v>
      </c>
      <c r="H255" s="6">
        <v>45961</v>
      </c>
      <c r="I255" s="6">
        <v>45961</v>
      </c>
      <c r="J255" s="6">
        <v>45964</v>
      </c>
      <c r="K255" s="5" t="s">
        <v>135</v>
      </c>
      <c r="L255" s="5" t="s">
        <v>136</v>
      </c>
      <c r="M255" s="5" t="s">
        <v>43</v>
      </c>
      <c r="N255" s="5" t="s">
        <v>137</v>
      </c>
      <c r="O255" s="7">
        <v>4433.58</v>
      </c>
      <c r="P255" s="5" t="s">
        <v>45</v>
      </c>
      <c r="Q255" s="7">
        <v>4433.58</v>
      </c>
      <c r="R255" s="5" t="s">
        <v>45</v>
      </c>
      <c r="S255" s="7">
        <v>1304.76</v>
      </c>
      <c r="T255" s="5" t="s">
        <v>46</v>
      </c>
      <c r="U255" s="5" t="s">
        <v>47</v>
      </c>
      <c r="V255" s="5" t="s">
        <v>47</v>
      </c>
      <c r="W255" s="5" t="s">
        <v>47</v>
      </c>
      <c r="X255" s="5" t="s">
        <v>47</v>
      </c>
    </row>
    <row r="256" spans="1:24" x14ac:dyDescent="0.25">
      <c r="A256" s="5" t="s">
        <v>34</v>
      </c>
      <c r="B256" s="5" t="s">
        <v>157</v>
      </c>
      <c r="C256" s="5" t="s">
        <v>158</v>
      </c>
      <c r="D256" s="5" t="s">
        <v>37</v>
      </c>
      <c r="E256" s="5" t="s">
        <v>64</v>
      </c>
      <c r="F256" s="5" t="s">
        <v>65</v>
      </c>
      <c r="G256" s="5" t="s">
        <v>40</v>
      </c>
      <c r="H256" s="6">
        <v>45961</v>
      </c>
      <c r="I256" s="6">
        <v>45961</v>
      </c>
      <c r="J256" s="6">
        <v>45964</v>
      </c>
      <c r="K256" s="5" t="s">
        <v>135</v>
      </c>
      <c r="L256" s="5" t="s">
        <v>136</v>
      </c>
      <c r="M256" s="5" t="s">
        <v>43</v>
      </c>
      <c r="N256" s="5" t="s">
        <v>137</v>
      </c>
      <c r="O256" s="7">
        <v>628.99</v>
      </c>
      <c r="P256" s="5" t="s">
        <v>45</v>
      </c>
      <c r="Q256" s="7">
        <v>628.99</v>
      </c>
      <c r="R256" s="5" t="s">
        <v>45</v>
      </c>
      <c r="S256" s="7">
        <v>185.11</v>
      </c>
      <c r="T256" s="5" t="s">
        <v>46</v>
      </c>
      <c r="U256" s="5" t="s">
        <v>47</v>
      </c>
      <c r="V256" s="5" t="s">
        <v>47</v>
      </c>
      <c r="W256" s="5" t="s">
        <v>47</v>
      </c>
      <c r="X256" s="5" t="s">
        <v>47</v>
      </c>
    </row>
    <row r="257" spans="1:24" x14ac:dyDescent="0.25">
      <c r="A257" s="5" t="s">
        <v>34</v>
      </c>
      <c r="B257" s="5" t="s">
        <v>157</v>
      </c>
      <c r="C257" s="5" t="s">
        <v>158</v>
      </c>
      <c r="D257" s="5" t="s">
        <v>37</v>
      </c>
      <c r="E257" s="5" t="s">
        <v>48</v>
      </c>
      <c r="F257" s="5" t="s">
        <v>49</v>
      </c>
      <c r="G257" s="5" t="s">
        <v>40</v>
      </c>
      <c r="H257" s="6">
        <v>45961</v>
      </c>
      <c r="I257" s="6">
        <v>45961</v>
      </c>
      <c r="J257" s="6">
        <v>45964</v>
      </c>
      <c r="K257" s="5" t="s">
        <v>135</v>
      </c>
      <c r="L257" s="5" t="s">
        <v>136</v>
      </c>
      <c r="M257" s="5" t="s">
        <v>43</v>
      </c>
      <c r="N257" s="5" t="s">
        <v>137</v>
      </c>
      <c r="O257" s="7">
        <v>8985.01</v>
      </c>
      <c r="P257" s="5" t="s">
        <v>45</v>
      </c>
      <c r="Q257" s="7">
        <v>8985.01</v>
      </c>
      <c r="R257" s="5" t="s">
        <v>45</v>
      </c>
      <c r="S257" s="7">
        <v>2644.21</v>
      </c>
      <c r="T257" s="5" t="s">
        <v>46</v>
      </c>
      <c r="U257" s="5" t="s">
        <v>47</v>
      </c>
      <c r="V257" s="5" t="s">
        <v>47</v>
      </c>
      <c r="W257" s="5" t="s">
        <v>47</v>
      </c>
      <c r="X257" s="5" t="s">
        <v>47</v>
      </c>
    </row>
    <row r="258" spans="1:24" x14ac:dyDescent="0.25">
      <c r="A258" s="5" t="s">
        <v>34</v>
      </c>
      <c r="B258" s="5" t="s">
        <v>157</v>
      </c>
      <c r="C258" s="5" t="s">
        <v>158</v>
      </c>
      <c r="D258" s="5" t="s">
        <v>37</v>
      </c>
      <c r="E258" s="5" t="s">
        <v>54</v>
      </c>
      <c r="F258" s="5" t="s">
        <v>55</v>
      </c>
      <c r="G258" s="5" t="s">
        <v>40</v>
      </c>
      <c r="H258" s="6">
        <v>45961</v>
      </c>
      <c r="I258" s="6">
        <v>45961</v>
      </c>
      <c r="J258" s="6">
        <v>45964</v>
      </c>
      <c r="K258" s="5" t="s">
        <v>135</v>
      </c>
      <c r="L258" s="5" t="s">
        <v>136</v>
      </c>
      <c r="M258" s="5" t="s">
        <v>43</v>
      </c>
      <c r="N258" s="5" t="s">
        <v>137</v>
      </c>
      <c r="O258" s="7">
        <v>1569.72</v>
      </c>
      <c r="P258" s="5" t="s">
        <v>45</v>
      </c>
      <c r="Q258" s="7">
        <v>1569.72</v>
      </c>
      <c r="R258" s="5" t="s">
        <v>45</v>
      </c>
      <c r="S258" s="7">
        <v>461.95</v>
      </c>
      <c r="T258" s="5" t="s">
        <v>46</v>
      </c>
      <c r="U258" s="5" t="s">
        <v>47</v>
      </c>
      <c r="V258" s="5" t="s">
        <v>47</v>
      </c>
      <c r="W258" s="5" t="s">
        <v>47</v>
      </c>
      <c r="X258" s="5" t="s">
        <v>47</v>
      </c>
    </row>
    <row r="259" spans="1:24" x14ac:dyDescent="0.25">
      <c r="A259" s="5" t="s">
        <v>34</v>
      </c>
      <c r="B259" s="5" t="s">
        <v>157</v>
      </c>
      <c r="C259" s="5" t="s">
        <v>158</v>
      </c>
      <c r="D259" s="5" t="s">
        <v>37</v>
      </c>
      <c r="E259" s="5" t="s">
        <v>92</v>
      </c>
      <c r="F259" s="5" t="s">
        <v>93</v>
      </c>
      <c r="G259" s="5" t="s">
        <v>40</v>
      </c>
      <c r="H259" s="6">
        <v>45961</v>
      </c>
      <c r="I259" s="6">
        <v>45961</v>
      </c>
      <c r="J259" s="6">
        <v>45964</v>
      </c>
      <c r="K259" s="5" t="s">
        <v>135</v>
      </c>
      <c r="L259" s="5" t="s">
        <v>136</v>
      </c>
      <c r="M259" s="5" t="s">
        <v>43</v>
      </c>
      <c r="N259" s="5" t="s">
        <v>137</v>
      </c>
      <c r="O259" s="7">
        <v>910.59</v>
      </c>
      <c r="P259" s="5" t="s">
        <v>45</v>
      </c>
      <c r="Q259" s="7">
        <v>910.59</v>
      </c>
      <c r="R259" s="5" t="s">
        <v>45</v>
      </c>
      <c r="S259" s="7">
        <v>267.98</v>
      </c>
      <c r="T259" s="5" t="s">
        <v>46</v>
      </c>
      <c r="U259" s="5" t="s">
        <v>47</v>
      </c>
      <c r="V259" s="5" t="s">
        <v>47</v>
      </c>
      <c r="W259" s="5" t="s">
        <v>47</v>
      </c>
      <c r="X259" s="5" t="s">
        <v>47</v>
      </c>
    </row>
    <row r="260" spans="1:24" x14ac:dyDescent="0.25">
      <c r="A260" s="5" t="s">
        <v>34</v>
      </c>
      <c r="B260" s="5" t="s">
        <v>157</v>
      </c>
      <c r="C260" s="5" t="s">
        <v>158</v>
      </c>
      <c r="D260" s="5" t="s">
        <v>37</v>
      </c>
      <c r="E260" s="5" t="s">
        <v>38</v>
      </c>
      <c r="F260" s="5" t="s">
        <v>39</v>
      </c>
      <c r="G260" s="5" t="s">
        <v>40</v>
      </c>
      <c r="H260" s="6">
        <v>45961</v>
      </c>
      <c r="I260" s="6">
        <v>45961</v>
      </c>
      <c r="J260" s="6">
        <v>45964</v>
      </c>
      <c r="K260" s="5" t="s">
        <v>135</v>
      </c>
      <c r="L260" s="5" t="s">
        <v>136</v>
      </c>
      <c r="M260" s="5" t="s">
        <v>43</v>
      </c>
      <c r="N260" s="5" t="s">
        <v>137</v>
      </c>
      <c r="O260" s="7">
        <v>1802.79</v>
      </c>
      <c r="P260" s="5" t="s">
        <v>45</v>
      </c>
      <c r="Q260" s="7">
        <v>1802.79</v>
      </c>
      <c r="R260" s="5" t="s">
        <v>45</v>
      </c>
      <c r="S260" s="7">
        <v>530.54</v>
      </c>
      <c r="T260" s="5" t="s">
        <v>46</v>
      </c>
      <c r="U260" s="5" t="s">
        <v>47</v>
      </c>
      <c r="V260" s="5" t="s">
        <v>47</v>
      </c>
      <c r="W260" s="5" t="s">
        <v>47</v>
      </c>
      <c r="X260" s="5" t="s">
        <v>47</v>
      </c>
    </row>
    <row r="261" spans="1:24" x14ac:dyDescent="0.25">
      <c r="A261" s="5" t="s">
        <v>34</v>
      </c>
      <c r="B261" s="5" t="s">
        <v>157</v>
      </c>
      <c r="C261" s="5" t="s">
        <v>158</v>
      </c>
      <c r="D261" s="5" t="s">
        <v>37</v>
      </c>
      <c r="E261" s="5" t="s">
        <v>50</v>
      </c>
      <c r="F261" s="5" t="s">
        <v>51</v>
      </c>
      <c r="G261" s="5" t="s">
        <v>40</v>
      </c>
      <c r="H261" s="6">
        <v>45961</v>
      </c>
      <c r="I261" s="6">
        <v>45961</v>
      </c>
      <c r="J261" s="6">
        <v>45964</v>
      </c>
      <c r="K261" s="5" t="s">
        <v>135</v>
      </c>
      <c r="L261" s="5" t="s">
        <v>136</v>
      </c>
      <c r="M261" s="5" t="s">
        <v>43</v>
      </c>
      <c r="N261" s="5" t="s">
        <v>137</v>
      </c>
      <c r="O261" s="7">
        <v>5764.67</v>
      </c>
      <c r="P261" s="5" t="s">
        <v>45</v>
      </c>
      <c r="Q261" s="7">
        <v>5764.67</v>
      </c>
      <c r="R261" s="5" t="s">
        <v>45</v>
      </c>
      <c r="S261" s="7">
        <v>1696.49</v>
      </c>
      <c r="T261" s="5" t="s">
        <v>46</v>
      </c>
      <c r="U261" s="5" t="s">
        <v>47</v>
      </c>
      <c r="V261" s="5" t="s">
        <v>47</v>
      </c>
      <c r="W261" s="5" t="s">
        <v>47</v>
      </c>
      <c r="X261" s="5" t="s">
        <v>47</v>
      </c>
    </row>
    <row r="262" spans="1:24" x14ac:dyDescent="0.25">
      <c r="A262" s="5" t="s">
        <v>34</v>
      </c>
      <c r="B262" s="5" t="s">
        <v>157</v>
      </c>
      <c r="C262" s="5" t="s">
        <v>158</v>
      </c>
      <c r="D262" s="5" t="s">
        <v>37</v>
      </c>
      <c r="E262" s="5" t="s">
        <v>100</v>
      </c>
      <c r="F262" s="5" t="s">
        <v>101</v>
      </c>
      <c r="G262" s="5" t="s">
        <v>40</v>
      </c>
      <c r="H262" s="6">
        <v>45961</v>
      </c>
      <c r="I262" s="6">
        <v>45961</v>
      </c>
      <c r="J262" s="6">
        <v>45964</v>
      </c>
      <c r="K262" s="5" t="s">
        <v>135</v>
      </c>
      <c r="L262" s="5" t="s">
        <v>136</v>
      </c>
      <c r="M262" s="5" t="s">
        <v>43</v>
      </c>
      <c r="N262" s="5" t="s">
        <v>137</v>
      </c>
      <c r="O262" s="7">
        <v>1913.89</v>
      </c>
      <c r="P262" s="5" t="s">
        <v>45</v>
      </c>
      <c r="Q262" s="7">
        <v>1913.89</v>
      </c>
      <c r="R262" s="5" t="s">
        <v>45</v>
      </c>
      <c r="S262" s="7">
        <v>563.24</v>
      </c>
      <c r="T262" s="5" t="s">
        <v>46</v>
      </c>
      <c r="U262" s="5" t="s">
        <v>47</v>
      </c>
      <c r="V262" s="5" t="s">
        <v>47</v>
      </c>
      <c r="W262" s="5" t="s">
        <v>47</v>
      </c>
      <c r="X262" s="5" t="s">
        <v>47</v>
      </c>
    </row>
    <row r="263" spans="1:24" x14ac:dyDescent="0.25">
      <c r="A263" s="5" t="s">
        <v>34</v>
      </c>
      <c r="B263" s="5" t="s">
        <v>157</v>
      </c>
      <c r="C263" s="5" t="s">
        <v>158</v>
      </c>
      <c r="D263" s="5" t="s">
        <v>37</v>
      </c>
      <c r="E263" s="5" t="s">
        <v>80</v>
      </c>
      <c r="F263" s="5" t="s">
        <v>81</v>
      </c>
      <c r="G263" s="5" t="s">
        <v>40</v>
      </c>
      <c r="H263" s="6">
        <v>45961</v>
      </c>
      <c r="I263" s="6">
        <v>45961</v>
      </c>
      <c r="J263" s="6">
        <v>45964</v>
      </c>
      <c r="K263" s="5" t="s">
        <v>135</v>
      </c>
      <c r="L263" s="5" t="s">
        <v>136</v>
      </c>
      <c r="M263" s="5" t="s">
        <v>43</v>
      </c>
      <c r="N263" s="5" t="s">
        <v>137</v>
      </c>
      <c r="O263" s="7">
        <v>323.7</v>
      </c>
      <c r="P263" s="5" t="s">
        <v>45</v>
      </c>
      <c r="Q263" s="7">
        <v>323.7</v>
      </c>
      <c r="R263" s="5" t="s">
        <v>45</v>
      </c>
      <c r="S263" s="7">
        <v>95.26</v>
      </c>
      <c r="T263" s="5" t="s">
        <v>46</v>
      </c>
      <c r="U263" s="5" t="s">
        <v>47</v>
      </c>
      <c r="V263" s="5" t="s">
        <v>47</v>
      </c>
      <c r="W263" s="5" t="s">
        <v>47</v>
      </c>
      <c r="X263" s="5" t="s">
        <v>47</v>
      </c>
    </row>
    <row r="264" spans="1:24" x14ac:dyDescent="0.25">
      <c r="A264" s="5" t="s">
        <v>34</v>
      </c>
      <c r="B264" s="5" t="s">
        <v>159</v>
      </c>
      <c r="C264" s="5" t="s">
        <v>160</v>
      </c>
      <c r="D264" s="5" t="s">
        <v>37</v>
      </c>
      <c r="E264" s="5" t="s">
        <v>48</v>
      </c>
      <c r="F264" s="5" t="s">
        <v>49</v>
      </c>
      <c r="G264" s="5" t="s">
        <v>40</v>
      </c>
      <c r="H264" s="6">
        <v>45961</v>
      </c>
      <c r="I264" s="6">
        <v>45961</v>
      </c>
      <c r="J264" s="6">
        <v>45964</v>
      </c>
      <c r="K264" s="5" t="s">
        <v>135</v>
      </c>
      <c r="L264" s="5" t="s">
        <v>136</v>
      </c>
      <c r="M264" s="5" t="s">
        <v>43</v>
      </c>
      <c r="N264" s="5" t="s">
        <v>137</v>
      </c>
      <c r="O264" s="7">
        <v>9142.7000000000007</v>
      </c>
      <c r="P264" s="5" t="s">
        <v>45</v>
      </c>
      <c r="Q264" s="7">
        <v>9142.7000000000007</v>
      </c>
      <c r="R264" s="5" t="s">
        <v>45</v>
      </c>
      <c r="S264" s="7">
        <v>2690.61</v>
      </c>
      <c r="T264" s="5" t="s">
        <v>46</v>
      </c>
      <c r="U264" s="5" t="s">
        <v>47</v>
      </c>
      <c r="V264" s="5" t="s">
        <v>47</v>
      </c>
      <c r="W264" s="5" t="s">
        <v>47</v>
      </c>
      <c r="X264" s="5" t="s">
        <v>47</v>
      </c>
    </row>
    <row r="265" spans="1:24" x14ac:dyDescent="0.25">
      <c r="A265" s="5" t="s">
        <v>34</v>
      </c>
      <c r="B265" s="5" t="s">
        <v>159</v>
      </c>
      <c r="C265" s="5" t="s">
        <v>160</v>
      </c>
      <c r="D265" s="5" t="s">
        <v>37</v>
      </c>
      <c r="E265" s="5" t="s">
        <v>62</v>
      </c>
      <c r="F265" s="5" t="s">
        <v>63</v>
      </c>
      <c r="G265" s="5" t="s">
        <v>40</v>
      </c>
      <c r="H265" s="6">
        <v>45961</v>
      </c>
      <c r="I265" s="6">
        <v>45961</v>
      </c>
      <c r="J265" s="6">
        <v>45964</v>
      </c>
      <c r="K265" s="5" t="s">
        <v>135</v>
      </c>
      <c r="L265" s="5" t="s">
        <v>136</v>
      </c>
      <c r="M265" s="5" t="s">
        <v>43</v>
      </c>
      <c r="N265" s="5" t="s">
        <v>137</v>
      </c>
      <c r="O265" s="7">
        <v>9585.14</v>
      </c>
      <c r="P265" s="5" t="s">
        <v>45</v>
      </c>
      <c r="Q265" s="7">
        <v>9585.14</v>
      </c>
      <c r="R265" s="5" t="s">
        <v>45</v>
      </c>
      <c r="S265" s="7">
        <v>2820.82</v>
      </c>
      <c r="T265" s="5" t="s">
        <v>46</v>
      </c>
      <c r="U265" s="5" t="s">
        <v>47</v>
      </c>
      <c r="V265" s="5" t="s">
        <v>47</v>
      </c>
      <c r="W265" s="5" t="s">
        <v>47</v>
      </c>
      <c r="X265" s="5" t="s">
        <v>47</v>
      </c>
    </row>
    <row r="266" spans="1:24" x14ac:dyDescent="0.25">
      <c r="A266" s="5" t="s">
        <v>34</v>
      </c>
      <c r="B266" s="5" t="s">
        <v>159</v>
      </c>
      <c r="C266" s="5" t="s">
        <v>160</v>
      </c>
      <c r="D266" s="5" t="s">
        <v>37</v>
      </c>
      <c r="E266" s="5" t="s">
        <v>58</v>
      </c>
      <c r="F266" s="5" t="s">
        <v>59</v>
      </c>
      <c r="G266" s="5" t="s">
        <v>40</v>
      </c>
      <c r="H266" s="6">
        <v>45961</v>
      </c>
      <c r="I266" s="6">
        <v>45961</v>
      </c>
      <c r="J266" s="6">
        <v>45964</v>
      </c>
      <c r="K266" s="5" t="s">
        <v>135</v>
      </c>
      <c r="L266" s="5" t="s">
        <v>136</v>
      </c>
      <c r="M266" s="5" t="s">
        <v>43</v>
      </c>
      <c r="N266" s="5" t="s">
        <v>137</v>
      </c>
      <c r="O266" s="7">
        <v>455.87</v>
      </c>
      <c r="P266" s="5" t="s">
        <v>45</v>
      </c>
      <c r="Q266" s="7">
        <v>455.87</v>
      </c>
      <c r="R266" s="5" t="s">
        <v>45</v>
      </c>
      <c r="S266" s="7">
        <v>134.16</v>
      </c>
      <c r="T266" s="5" t="s">
        <v>46</v>
      </c>
      <c r="U266" s="5" t="s">
        <v>47</v>
      </c>
      <c r="V266" s="5" t="s">
        <v>47</v>
      </c>
      <c r="W266" s="5" t="s">
        <v>47</v>
      </c>
      <c r="X266" s="5" t="s">
        <v>47</v>
      </c>
    </row>
    <row r="267" spans="1:24" x14ac:dyDescent="0.25">
      <c r="A267" s="5" t="s">
        <v>34</v>
      </c>
      <c r="B267" s="5" t="s">
        <v>159</v>
      </c>
      <c r="C267" s="5" t="s">
        <v>160</v>
      </c>
      <c r="D267" s="5" t="s">
        <v>37</v>
      </c>
      <c r="E267" s="5" t="s">
        <v>54</v>
      </c>
      <c r="F267" s="5" t="s">
        <v>55</v>
      </c>
      <c r="G267" s="5" t="s">
        <v>40</v>
      </c>
      <c r="H267" s="6">
        <v>45961</v>
      </c>
      <c r="I267" s="6">
        <v>45961</v>
      </c>
      <c r="J267" s="6">
        <v>45964</v>
      </c>
      <c r="K267" s="5" t="s">
        <v>135</v>
      </c>
      <c r="L267" s="5" t="s">
        <v>136</v>
      </c>
      <c r="M267" s="5" t="s">
        <v>43</v>
      </c>
      <c r="N267" s="5" t="s">
        <v>137</v>
      </c>
      <c r="O267" s="7">
        <v>291.27999999999997</v>
      </c>
      <c r="P267" s="5" t="s">
        <v>45</v>
      </c>
      <c r="Q267" s="7">
        <v>291.27999999999997</v>
      </c>
      <c r="R267" s="5" t="s">
        <v>45</v>
      </c>
      <c r="S267" s="7">
        <v>85.72</v>
      </c>
      <c r="T267" s="5" t="s">
        <v>46</v>
      </c>
      <c r="U267" s="5" t="s">
        <v>47</v>
      </c>
      <c r="V267" s="5" t="s">
        <v>47</v>
      </c>
      <c r="W267" s="5" t="s">
        <v>47</v>
      </c>
      <c r="X267" s="5" t="s">
        <v>47</v>
      </c>
    </row>
    <row r="268" spans="1:24" x14ac:dyDescent="0.25">
      <c r="A268" s="5" t="s">
        <v>34</v>
      </c>
      <c r="B268" s="5" t="s">
        <v>159</v>
      </c>
      <c r="C268" s="5" t="s">
        <v>160</v>
      </c>
      <c r="D268" s="5" t="s">
        <v>37</v>
      </c>
      <c r="E268" s="5" t="s">
        <v>110</v>
      </c>
      <c r="F268" s="5" t="s">
        <v>111</v>
      </c>
      <c r="G268" s="5" t="s">
        <v>40</v>
      </c>
      <c r="H268" s="6">
        <v>45961</v>
      </c>
      <c r="I268" s="6">
        <v>45961</v>
      </c>
      <c r="J268" s="6">
        <v>45964</v>
      </c>
      <c r="K268" s="5" t="s">
        <v>135</v>
      </c>
      <c r="L268" s="5" t="s">
        <v>136</v>
      </c>
      <c r="M268" s="5" t="s">
        <v>43</v>
      </c>
      <c r="N268" s="5" t="s">
        <v>137</v>
      </c>
      <c r="O268" s="7">
        <v>16511.73</v>
      </c>
      <c r="P268" s="5" t="s">
        <v>45</v>
      </c>
      <c r="Q268" s="7">
        <v>16511.73</v>
      </c>
      <c r="R268" s="5" t="s">
        <v>45</v>
      </c>
      <c r="S268" s="7">
        <v>4859.25</v>
      </c>
      <c r="T268" s="5" t="s">
        <v>46</v>
      </c>
      <c r="U268" s="5" t="s">
        <v>47</v>
      </c>
      <c r="V268" s="5" t="s">
        <v>47</v>
      </c>
      <c r="W268" s="5" t="s">
        <v>47</v>
      </c>
      <c r="X268" s="5" t="s">
        <v>47</v>
      </c>
    </row>
    <row r="269" spans="1:24" x14ac:dyDescent="0.25">
      <c r="A269" s="5" t="s">
        <v>34</v>
      </c>
      <c r="B269" s="5" t="s">
        <v>159</v>
      </c>
      <c r="C269" s="5" t="s">
        <v>160</v>
      </c>
      <c r="D269" s="5" t="s">
        <v>37</v>
      </c>
      <c r="E269" s="5" t="s">
        <v>80</v>
      </c>
      <c r="F269" s="5" t="s">
        <v>81</v>
      </c>
      <c r="G269" s="5" t="s">
        <v>40</v>
      </c>
      <c r="H269" s="6">
        <v>45961</v>
      </c>
      <c r="I269" s="6">
        <v>45961</v>
      </c>
      <c r="J269" s="6">
        <v>45964</v>
      </c>
      <c r="K269" s="5" t="s">
        <v>135</v>
      </c>
      <c r="L269" s="5" t="s">
        <v>136</v>
      </c>
      <c r="M269" s="5" t="s">
        <v>43</v>
      </c>
      <c r="N269" s="5" t="s">
        <v>137</v>
      </c>
      <c r="O269" s="7">
        <v>1034.0899999999999</v>
      </c>
      <c r="P269" s="5" t="s">
        <v>45</v>
      </c>
      <c r="Q269" s="7">
        <v>1034.0899999999999</v>
      </c>
      <c r="R269" s="5" t="s">
        <v>45</v>
      </c>
      <c r="S269" s="7">
        <v>304.32</v>
      </c>
      <c r="T269" s="5" t="s">
        <v>46</v>
      </c>
      <c r="U269" s="5" t="s">
        <v>47</v>
      </c>
      <c r="V269" s="5" t="s">
        <v>47</v>
      </c>
      <c r="W269" s="5" t="s">
        <v>47</v>
      </c>
      <c r="X269" s="5" t="s">
        <v>47</v>
      </c>
    </row>
    <row r="270" spans="1:24" x14ac:dyDescent="0.25">
      <c r="A270" s="5" t="s">
        <v>34</v>
      </c>
      <c r="B270" s="5" t="s">
        <v>159</v>
      </c>
      <c r="C270" s="5" t="s">
        <v>160</v>
      </c>
      <c r="D270" s="5" t="s">
        <v>37</v>
      </c>
      <c r="E270" s="5" t="s">
        <v>116</v>
      </c>
      <c r="F270" s="5" t="s">
        <v>117</v>
      </c>
      <c r="G270" s="5" t="s">
        <v>40</v>
      </c>
      <c r="H270" s="6">
        <v>45961</v>
      </c>
      <c r="I270" s="6">
        <v>45961</v>
      </c>
      <c r="J270" s="6">
        <v>45964</v>
      </c>
      <c r="K270" s="5" t="s">
        <v>135</v>
      </c>
      <c r="L270" s="5" t="s">
        <v>136</v>
      </c>
      <c r="M270" s="5" t="s">
        <v>43</v>
      </c>
      <c r="N270" s="5" t="s">
        <v>137</v>
      </c>
      <c r="O270" s="7">
        <v>4877.55</v>
      </c>
      <c r="P270" s="5" t="s">
        <v>45</v>
      </c>
      <c r="Q270" s="7">
        <v>4877.55</v>
      </c>
      <c r="R270" s="5" t="s">
        <v>45</v>
      </c>
      <c r="S270" s="7">
        <v>1435.42</v>
      </c>
      <c r="T270" s="5" t="s">
        <v>46</v>
      </c>
      <c r="U270" s="5" t="s">
        <v>47</v>
      </c>
      <c r="V270" s="5" t="s">
        <v>47</v>
      </c>
      <c r="W270" s="5" t="s">
        <v>47</v>
      </c>
      <c r="X270" s="5" t="s">
        <v>47</v>
      </c>
    </row>
    <row r="271" spans="1:24" x14ac:dyDescent="0.25">
      <c r="A271" s="5" t="s">
        <v>34</v>
      </c>
      <c r="B271" s="5" t="s">
        <v>159</v>
      </c>
      <c r="C271" s="5" t="s">
        <v>160</v>
      </c>
      <c r="D271" s="5" t="s">
        <v>37</v>
      </c>
      <c r="E271" s="5" t="s">
        <v>102</v>
      </c>
      <c r="F271" s="5" t="s">
        <v>103</v>
      </c>
      <c r="G271" s="5" t="s">
        <v>40</v>
      </c>
      <c r="H271" s="6">
        <v>45961</v>
      </c>
      <c r="I271" s="6">
        <v>45961</v>
      </c>
      <c r="J271" s="6">
        <v>45964</v>
      </c>
      <c r="K271" s="5" t="s">
        <v>135</v>
      </c>
      <c r="L271" s="5" t="s">
        <v>136</v>
      </c>
      <c r="M271" s="5" t="s">
        <v>43</v>
      </c>
      <c r="N271" s="5" t="s">
        <v>137</v>
      </c>
      <c r="O271" s="7">
        <v>2229.25</v>
      </c>
      <c r="P271" s="5" t="s">
        <v>45</v>
      </c>
      <c r="Q271" s="7">
        <v>2229.25</v>
      </c>
      <c r="R271" s="5" t="s">
        <v>45</v>
      </c>
      <c r="S271" s="7">
        <v>656.05</v>
      </c>
      <c r="T271" s="5" t="s">
        <v>46</v>
      </c>
      <c r="U271" s="5" t="s">
        <v>47</v>
      </c>
      <c r="V271" s="5" t="s">
        <v>47</v>
      </c>
      <c r="W271" s="5" t="s">
        <v>47</v>
      </c>
      <c r="X271" s="5" t="s">
        <v>47</v>
      </c>
    </row>
    <row r="272" spans="1:24" x14ac:dyDescent="0.25">
      <c r="A272" s="5" t="s">
        <v>34</v>
      </c>
      <c r="B272" s="5" t="s">
        <v>159</v>
      </c>
      <c r="C272" s="5" t="s">
        <v>160</v>
      </c>
      <c r="D272" s="5" t="s">
        <v>37</v>
      </c>
      <c r="E272" s="5" t="s">
        <v>38</v>
      </c>
      <c r="F272" s="5" t="s">
        <v>39</v>
      </c>
      <c r="G272" s="5" t="s">
        <v>40</v>
      </c>
      <c r="H272" s="6">
        <v>45961</v>
      </c>
      <c r="I272" s="6">
        <v>45961</v>
      </c>
      <c r="J272" s="6">
        <v>45964</v>
      </c>
      <c r="K272" s="5" t="s">
        <v>135</v>
      </c>
      <c r="L272" s="5" t="s">
        <v>136</v>
      </c>
      <c r="M272" s="5" t="s">
        <v>43</v>
      </c>
      <c r="N272" s="5" t="s">
        <v>137</v>
      </c>
      <c r="O272" s="7">
        <v>264.55</v>
      </c>
      <c r="P272" s="5" t="s">
        <v>45</v>
      </c>
      <c r="Q272" s="7">
        <v>264.55</v>
      </c>
      <c r="R272" s="5" t="s">
        <v>45</v>
      </c>
      <c r="S272" s="7">
        <v>77.849999999999994</v>
      </c>
      <c r="T272" s="5" t="s">
        <v>46</v>
      </c>
      <c r="U272" s="5" t="s">
        <v>47</v>
      </c>
      <c r="V272" s="5" t="s">
        <v>47</v>
      </c>
      <c r="W272" s="5" t="s">
        <v>47</v>
      </c>
      <c r="X272" s="5" t="s">
        <v>47</v>
      </c>
    </row>
    <row r="273" spans="1:24" x14ac:dyDescent="0.25">
      <c r="A273" s="5" t="s">
        <v>34</v>
      </c>
      <c r="B273" s="5" t="s">
        <v>159</v>
      </c>
      <c r="C273" s="5" t="s">
        <v>160</v>
      </c>
      <c r="D273" s="5" t="s">
        <v>37</v>
      </c>
      <c r="E273" s="5" t="s">
        <v>70</v>
      </c>
      <c r="F273" s="5" t="s">
        <v>71</v>
      </c>
      <c r="G273" s="5" t="s">
        <v>40</v>
      </c>
      <c r="H273" s="6">
        <v>45961</v>
      </c>
      <c r="I273" s="6">
        <v>45961</v>
      </c>
      <c r="J273" s="6">
        <v>45964</v>
      </c>
      <c r="K273" s="5" t="s">
        <v>135</v>
      </c>
      <c r="L273" s="5" t="s">
        <v>136</v>
      </c>
      <c r="M273" s="5" t="s">
        <v>43</v>
      </c>
      <c r="N273" s="5" t="s">
        <v>137</v>
      </c>
      <c r="O273" s="7">
        <v>9.5399999999999991</v>
      </c>
      <c r="P273" s="5" t="s">
        <v>45</v>
      </c>
      <c r="Q273" s="7">
        <v>9.5399999999999991</v>
      </c>
      <c r="R273" s="5" t="s">
        <v>45</v>
      </c>
      <c r="S273" s="7">
        <v>2.81</v>
      </c>
      <c r="T273" s="5" t="s">
        <v>46</v>
      </c>
      <c r="U273" s="5" t="s">
        <v>47</v>
      </c>
      <c r="V273" s="5" t="s">
        <v>47</v>
      </c>
      <c r="W273" s="5" t="s">
        <v>47</v>
      </c>
      <c r="X273" s="5" t="s">
        <v>47</v>
      </c>
    </row>
    <row r="274" spans="1:24" x14ac:dyDescent="0.25">
      <c r="A274" s="5" t="s">
        <v>34</v>
      </c>
      <c r="B274" s="5" t="s">
        <v>159</v>
      </c>
      <c r="C274" s="5" t="s">
        <v>160</v>
      </c>
      <c r="D274" s="5" t="s">
        <v>37</v>
      </c>
      <c r="E274" s="5" t="s">
        <v>64</v>
      </c>
      <c r="F274" s="5" t="s">
        <v>65</v>
      </c>
      <c r="G274" s="5" t="s">
        <v>40</v>
      </c>
      <c r="H274" s="6">
        <v>45961</v>
      </c>
      <c r="I274" s="6">
        <v>45961</v>
      </c>
      <c r="J274" s="6">
        <v>45964</v>
      </c>
      <c r="K274" s="5" t="s">
        <v>135</v>
      </c>
      <c r="L274" s="5" t="s">
        <v>136</v>
      </c>
      <c r="M274" s="5" t="s">
        <v>43</v>
      </c>
      <c r="N274" s="5" t="s">
        <v>137</v>
      </c>
      <c r="O274" s="7">
        <v>2950.38</v>
      </c>
      <c r="P274" s="5" t="s">
        <v>45</v>
      </c>
      <c r="Q274" s="7">
        <v>2950.38</v>
      </c>
      <c r="R274" s="5" t="s">
        <v>45</v>
      </c>
      <c r="S274" s="7">
        <v>868.27</v>
      </c>
      <c r="T274" s="5" t="s">
        <v>46</v>
      </c>
      <c r="U274" s="5" t="s">
        <v>47</v>
      </c>
      <c r="V274" s="5" t="s">
        <v>47</v>
      </c>
      <c r="W274" s="5" t="s">
        <v>47</v>
      </c>
      <c r="X274" s="5" t="s">
        <v>47</v>
      </c>
    </row>
    <row r="275" spans="1:24" x14ac:dyDescent="0.25">
      <c r="A275" s="5" t="s">
        <v>34</v>
      </c>
      <c r="B275" s="5" t="s">
        <v>159</v>
      </c>
      <c r="C275" s="5" t="s">
        <v>160</v>
      </c>
      <c r="D275" s="5" t="s">
        <v>37</v>
      </c>
      <c r="E275" s="5" t="s">
        <v>96</v>
      </c>
      <c r="F275" s="5" t="s">
        <v>97</v>
      </c>
      <c r="G275" s="5" t="s">
        <v>40</v>
      </c>
      <c r="H275" s="6">
        <v>45961</v>
      </c>
      <c r="I275" s="6">
        <v>45961</v>
      </c>
      <c r="J275" s="6">
        <v>45964</v>
      </c>
      <c r="K275" s="5" t="s">
        <v>147</v>
      </c>
      <c r="L275" s="5" t="s">
        <v>148</v>
      </c>
      <c r="M275" s="5" t="s">
        <v>43</v>
      </c>
      <c r="N275" s="5" t="s">
        <v>149</v>
      </c>
      <c r="O275" s="7">
        <v>238.6</v>
      </c>
      <c r="P275" s="5" t="s">
        <v>45</v>
      </c>
      <c r="Q275" s="7">
        <v>238.6</v>
      </c>
      <c r="R275" s="5" t="s">
        <v>45</v>
      </c>
      <c r="S275" s="7">
        <v>70.22</v>
      </c>
      <c r="T275" s="5" t="s">
        <v>46</v>
      </c>
      <c r="U275" s="5" t="s">
        <v>47</v>
      </c>
      <c r="V275" s="5" t="s">
        <v>47</v>
      </c>
      <c r="W275" s="5" t="s">
        <v>47</v>
      </c>
      <c r="X275" s="5" t="s">
        <v>47</v>
      </c>
    </row>
    <row r="276" spans="1:24" x14ac:dyDescent="0.25">
      <c r="A276" s="5" t="s">
        <v>34</v>
      </c>
      <c r="B276" s="5" t="s">
        <v>159</v>
      </c>
      <c r="C276" s="5" t="s">
        <v>160</v>
      </c>
      <c r="D276" s="5" t="s">
        <v>37</v>
      </c>
      <c r="E276" s="5" t="s">
        <v>100</v>
      </c>
      <c r="F276" s="5" t="s">
        <v>101</v>
      </c>
      <c r="G276" s="5" t="s">
        <v>40</v>
      </c>
      <c r="H276" s="6">
        <v>45961</v>
      </c>
      <c r="I276" s="6">
        <v>45961</v>
      </c>
      <c r="J276" s="6">
        <v>45964</v>
      </c>
      <c r="K276" s="5" t="s">
        <v>135</v>
      </c>
      <c r="L276" s="5" t="s">
        <v>136</v>
      </c>
      <c r="M276" s="5" t="s">
        <v>43</v>
      </c>
      <c r="N276" s="5" t="s">
        <v>137</v>
      </c>
      <c r="O276" s="7">
        <v>1181.6500000000001</v>
      </c>
      <c r="P276" s="5" t="s">
        <v>45</v>
      </c>
      <c r="Q276" s="7">
        <v>1181.6500000000001</v>
      </c>
      <c r="R276" s="5" t="s">
        <v>45</v>
      </c>
      <c r="S276" s="7">
        <v>347.75</v>
      </c>
      <c r="T276" s="5" t="s">
        <v>46</v>
      </c>
      <c r="U276" s="5" t="s">
        <v>47</v>
      </c>
      <c r="V276" s="5" t="s">
        <v>47</v>
      </c>
      <c r="W276" s="5" t="s">
        <v>47</v>
      </c>
      <c r="X276" s="5" t="s">
        <v>47</v>
      </c>
    </row>
    <row r="277" spans="1:24" x14ac:dyDescent="0.25">
      <c r="A277" s="5" t="s">
        <v>34</v>
      </c>
      <c r="B277" s="5" t="s">
        <v>159</v>
      </c>
      <c r="C277" s="5" t="s">
        <v>160</v>
      </c>
      <c r="D277" s="5" t="s">
        <v>37</v>
      </c>
      <c r="E277" s="5" t="s">
        <v>104</v>
      </c>
      <c r="F277" s="5" t="s">
        <v>105</v>
      </c>
      <c r="G277" s="5" t="s">
        <v>40</v>
      </c>
      <c r="H277" s="6">
        <v>45961</v>
      </c>
      <c r="I277" s="6">
        <v>45961</v>
      </c>
      <c r="J277" s="6">
        <v>45964</v>
      </c>
      <c r="K277" s="5" t="s">
        <v>135</v>
      </c>
      <c r="L277" s="5" t="s">
        <v>136</v>
      </c>
      <c r="M277" s="5" t="s">
        <v>43</v>
      </c>
      <c r="N277" s="5" t="s">
        <v>137</v>
      </c>
      <c r="O277" s="7">
        <v>1323.24</v>
      </c>
      <c r="P277" s="5" t="s">
        <v>45</v>
      </c>
      <c r="Q277" s="7">
        <v>1323.24</v>
      </c>
      <c r="R277" s="5" t="s">
        <v>45</v>
      </c>
      <c r="S277" s="7">
        <v>389.42</v>
      </c>
      <c r="T277" s="5" t="s">
        <v>46</v>
      </c>
      <c r="U277" s="5" t="s">
        <v>47</v>
      </c>
      <c r="V277" s="5" t="s">
        <v>47</v>
      </c>
      <c r="W277" s="5" t="s">
        <v>47</v>
      </c>
      <c r="X277" s="5" t="s">
        <v>47</v>
      </c>
    </row>
    <row r="278" spans="1:24" x14ac:dyDescent="0.25">
      <c r="A278" s="5" t="s">
        <v>34</v>
      </c>
      <c r="B278" s="5" t="s">
        <v>159</v>
      </c>
      <c r="C278" s="5" t="s">
        <v>160</v>
      </c>
      <c r="D278" s="5" t="s">
        <v>37</v>
      </c>
      <c r="E278" s="5" t="s">
        <v>60</v>
      </c>
      <c r="F278" s="5" t="s">
        <v>61</v>
      </c>
      <c r="G278" s="5" t="s">
        <v>40</v>
      </c>
      <c r="H278" s="6">
        <v>45961</v>
      </c>
      <c r="I278" s="6">
        <v>45961</v>
      </c>
      <c r="J278" s="6">
        <v>45964</v>
      </c>
      <c r="K278" s="5" t="s">
        <v>135</v>
      </c>
      <c r="L278" s="5" t="s">
        <v>136</v>
      </c>
      <c r="M278" s="5" t="s">
        <v>43</v>
      </c>
      <c r="N278" s="5" t="s">
        <v>137</v>
      </c>
      <c r="O278" s="7">
        <v>1208.3800000000001</v>
      </c>
      <c r="P278" s="5" t="s">
        <v>45</v>
      </c>
      <c r="Q278" s="7">
        <v>1208.3800000000001</v>
      </c>
      <c r="R278" s="5" t="s">
        <v>45</v>
      </c>
      <c r="S278" s="7">
        <v>355.62</v>
      </c>
      <c r="T278" s="5" t="s">
        <v>46</v>
      </c>
      <c r="U278" s="5" t="s">
        <v>47</v>
      </c>
      <c r="V278" s="5" t="s">
        <v>47</v>
      </c>
      <c r="W278" s="5" t="s">
        <v>47</v>
      </c>
      <c r="X278" s="5" t="s">
        <v>47</v>
      </c>
    </row>
    <row r="279" spans="1:24" x14ac:dyDescent="0.25">
      <c r="A279" s="5" t="s">
        <v>34</v>
      </c>
      <c r="B279" s="5" t="s">
        <v>159</v>
      </c>
      <c r="C279" s="5" t="s">
        <v>160</v>
      </c>
      <c r="D279" s="5" t="s">
        <v>37</v>
      </c>
      <c r="E279" s="5" t="s">
        <v>50</v>
      </c>
      <c r="F279" s="5" t="s">
        <v>51</v>
      </c>
      <c r="G279" s="5" t="s">
        <v>40</v>
      </c>
      <c r="H279" s="6">
        <v>45961</v>
      </c>
      <c r="I279" s="6">
        <v>45961</v>
      </c>
      <c r="J279" s="6">
        <v>45964</v>
      </c>
      <c r="K279" s="5" t="s">
        <v>135</v>
      </c>
      <c r="L279" s="5" t="s">
        <v>136</v>
      </c>
      <c r="M279" s="5" t="s">
        <v>43</v>
      </c>
      <c r="N279" s="5" t="s">
        <v>137</v>
      </c>
      <c r="O279" s="7">
        <v>10478.52</v>
      </c>
      <c r="P279" s="5" t="s">
        <v>45</v>
      </c>
      <c r="Q279" s="7">
        <v>10478.52</v>
      </c>
      <c r="R279" s="5" t="s">
        <v>45</v>
      </c>
      <c r="S279" s="7">
        <v>3083.73</v>
      </c>
      <c r="T279" s="5" t="s">
        <v>46</v>
      </c>
      <c r="U279" s="5" t="s">
        <v>47</v>
      </c>
      <c r="V279" s="5" t="s">
        <v>47</v>
      </c>
      <c r="W279" s="5" t="s">
        <v>47</v>
      </c>
      <c r="X279" s="5" t="s">
        <v>47</v>
      </c>
    </row>
    <row r="280" spans="1:24" x14ac:dyDescent="0.25">
      <c r="A280" s="5" t="s">
        <v>34</v>
      </c>
      <c r="B280" s="5" t="s">
        <v>159</v>
      </c>
      <c r="C280" s="5" t="s">
        <v>160</v>
      </c>
      <c r="D280" s="5" t="s">
        <v>37</v>
      </c>
      <c r="E280" s="5" t="s">
        <v>78</v>
      </c>
      <c r="F280" s="5" t="s">
        <v>79</v>
      </c>
      <c r="G280" s="5" t="s">
        <v>40</v>
      </c>
      <c r="H280" s="6">
        <v>45961</v>
      </c>
      <c r="I280" s="6">
        <v>45961</v>
      </c>
      <c r="J280" s="6">
        <v>45964</v>
      </c>
      <c r="K280" s="5" t="s">
        <v>135</v>
      </c>
      <c r="L280" s="5" t="s">
        <v>136</v>
      </c>
      <c r="M280" s="5" t="s">
        <v>43</v>
      </c>
      <c r="N280" s="5" t="s">
        <v>137</v>
      </c>
      <c r="O280" s="7">
        <v>3249.26</v>
      </c>
      <c r="P280" s="5" t="s">
        <v>45</v>
      </c>
      <c r="Q280" s="7">
        <v>3249.26</v>
      </c>
      <c r="R280" s="5" t="s">
        <v>45</v>
      </c>
      <c r="S280" s="7">
        <v>956.23</v>
      </c>
      <c r="T280" s="5" t="s">
        <v>46</v>
      </c>
      <c r="U280" s="5" t="s">
        <v>47</v>
      </c>
      <c r="V280" s="5" t="s">
        <v>47</v>
      </c>
      <c r="W280" s="5" t="s">
        <v>47</v>
      </c>
      <c r="X280" s="5" t="s">
        <v>47</v>
      </c>
    </row>
    <row r="281" spans="1:24" x14ac:dyDescent="0.25">
      <c r="A281" s="5" t="s">
        <v>34</v>
      </c>
      <c r="B281" s="5" t="s">
        <v>159</v>
      </c>
      <c r="C281" s="5" t="s">
        <v>160</v>
      </c>
      <c r="D281" s="5" t="s">
        <v>37</v>
      </c>
      <c r="E281" s="5" t="s">
        <v>86</v>
      </c>
      <c r="F281" s="5" t="s">
        <v>87</v>
      </c>
      <c r="G281" s="5" t="s">
        <v>40</v>
      </c>
      <c r="H281" s="6">
        <v>45961</v>
      </c>
      <c r="I281" s="6">
        <v>45961</v>
      </c>
      <c r="J281" s="6">
        <v>45964</v>
      </c>
      <c r="K281" s="5" t="s">
        <v>135</v>
      </c>
      <c r="L281" s="5" t="s">
        <v>136</v>
      </c>
      <c r="M281" s="5" t="s">
        <v>43</v>
      </c>
      <c r="N281" s="5" t="s">
        <v>137</v>
      </c>
      <c r="O281" s="7">
        <v>15570.07</v>
      </c>
      <c r="P281" s="5" t="s">
        <v>45</v>
      </c>
      <c r="Q281" s="7">
        <v>15570.07</v>
      </c>
      <c r="R281" s="5" t="s">
        <v>45</v>
      </c>
      <c r="S281" s="7">
        <v>4582.13</v>
      </c>
      <c r="T281" s="5" t="s">
        <v>46</v>
      </c>
      <c r="U281" s="5" t="s">
        <v>47</v>
      </c>
      <c r="V281" s="5" t="s">
        <v>47</v>
      </c>
      <c r="W281" s="5" t="s">
        <v>47</v>
      </c>
      <c r="X281" s="5" t="s">
        <v>47</v>
      </c>
    </row>
    <row r="282" spans="1:24" x14ac:dyDescent="0.25">
      <c r="A282" s="5" t="s">
        <v>34</v>
      </c>
      <c r="B282" s="5" t="s">
        <v>159</v>
      </c>
      <c r="C282" s="5" t="s">
        <v>160</v>
      </c>
      <c r="D282" s="5" t="s">
        <v>37</v>
      </c>
      <c r="E282" s="5" t="s">
        <v>74</v>
      </c>
      <c r="F282" s="5" t="s">
        <v>75</v>
      </c>
      <c r="G282" s="5" t="s">
        <v>40</v>
      </c>
      <c r="H282" s="6">
        <v>45961</v>
      </c>
      <c r="I282" s="6">
        <v>45961</v>
      </c>
      <c r="J282" s="6">
        <v>45964</v>
      </c>
      <c r="K282" s="5" t="s">
        <v>135</v>
      </c>
      <c r="L282" s="5" t="s">
        <v>136</v>
      </c>
      <c r="M282" s="5" t="s">
        <v>43</v>
      </c>
      <c r="N282" s="5" t="s">
        <v>137</v>
      </c>
      <c r="O282" s="7">
        <v>20091.490000000002</v>
      </c>
      <c r="P282" s="5" t="s">
        <v>45</v>
      </c>
      <c r="Q282" s="7">
        <v>20091.490000000002</v>
      </c>
      <c r="R282" s="5" t="s">
        <v>45</v>
      </c>
      <c r="S282" s="7">
        <v>5912.74</v>
      </c>
      <c r="T282" s="5" t="s">
        <v>46</v>
      </c>
      <c r="U282" s="5" t="s">
        <v>47</v>
      </c>
      <c r="V282" s="5" t="s">
        <v>47</v>
      </c>
      <c r="W282" s="5" t="s">
        <v>47</v>
      </c>
      <c r="X282" s="5" t="s">
        <v>47</v>
      </c>
    </row>
    <row r="283" spans="1:24" x14ac:dyDescent="0.25">
      <c r="A283" s="5" t="s">
        <v>34</v>
      </c>
      <c r="B283" s="5" t="s">
        <v>159</v>
      </c>
      <c r="C283" s="5" t="s">
        <v>160</v>
      </c>
      <c r="D283" s="5" t="s">
        <v>37</v>
      </c>
      <c r="E283" s="5" t="s">
        <v>68</v>
      </c>
      <c r="F283" s="5" t="s">
        <v>69</v>
      </c>
      <c r="G283" s="5" t="s">
        <v>40</v>
      </c>
      <c r="H283" s="6">
        <v>45961</v>
      </c>
      <c r="I283" s="6">
        <v>45961</v>
      </c>
      <c r="J283" s="6">
        <v>45964</v>
      </c>
      <c r="K283" s="5" t="s">
        <v>135</v>
      </c>
      <c r="L283" s="5" t="s">
        <v>136</v>
      </c>
      <c r="M283" s="5" t="s">
        <v>43</v>
      </c>
      <c r="N283" s="5" t="s">
        <v>137</v>
      </c>
      <c r="O283" s="7">
        <v>4696.3900000000003</v>
      </c>
      <c r="P283" s="5" t="s">
        <v>45</v>
      </c>
      <c r="Q283" s="7">
        <v>4696.3900000000003</v>
      </c>
      <c r="R283" s="5" t="s">
        <v>45</v>
      </c>
      <c r="S283" s="7">
        <v>1382.1</v>
      </c>
      <c r="T283" s="5" t="s">
        <v>46</v>
      </c>
      <c r="U283" s="5" t="s">
        <v>47</v>
      </c>
      <c r="V283" s="5" t="s">
        <v>47</v>
      </c>
      <c r="W283" s="5" t="s">
        <v>47</v>
      </c>
      <c r="X283" s="5" t="s">
        <v>47</v>
      </c>
    </row>
    <row r="284" spans="1:24" x14ac:dyDescent="0.25">
      <c r="A284" s="5" t="s">
        <v>34</v>
      </c>
      <c r="B284" s="5" t="s">
        <v>159</v>
      </c>
      <c r="C284" s="5" t="s">
        <v>160</v>
      </c>
      <c r="D284" s="5" t="s">
        <v>37</v>
      </c>
      <c r="E284" s="5" t="s">
        <v>110</v>
      </c>
      <c r="F284" s="5" t="s">
        <v>111</v>
      </c>
      <c r="G284" s="5" t="s">
        <v>40</v>
      </c>
      <c r="H284" s="6">
        <v>45961</v>
      </c>
      <c r="I284" s="6">
        <v>45961</v>
      </c>
      <c r="J284" s="6">
        <v>45960</v>
      </c>
      <c r="K284" s="5" t="s">
        <v>150</v>
      </c>
      <c r="L284" s="5" t="s">
        <v>151</v>
      </c>
      <c r="M284" s="5" t="s">
        <v>43</v>
      </c>
      <c r="N284" s="5" t="s">
        <v>152</v>
      </c>
      <c r="O284" s="7">
        <v>22.4</v>
      </c>
      <c r="P284" s="5" t="s">
        <v>45</v>
      </c>
      <c r="Q284" s="7">
        <v>22.4</v>
      </c>
      <c r="R284" s="5" t="s">
        <v>45</v>
      </c>
      <c r="S284" s="7">
        <v>6.6</v>
      </c>
      <c r="T284" s="5" t="s">
        <v>46</v>
      </c>
      <c r="U284" s="5" t="s">
        <v>47</v>
      </c>
      <c r="V284" s="5" t="s">
        <v>47</v>
      </c>
      <c r="W284" s="5" t="s">
        <v>47</v>
      </c>
      <c r="X284" s="5" t="s">
        <v>47</v>
      </c>
    </row>
    <row r="285" spans="1:24" x14ac:dyDescent="0.25">
      <c r="A285" s="5" t="s">
        <v>34</v>
      </c>
      <c r="B285" s="5" t="s">
        <v>159</v>
      </c>
      <c r="C285" s="5" t="s">
        <v>160</v>
      </c>
      <c r="D285" s="5" t="s">
        <v>37</v>
      </c>
      <c r="E285" s="5" t="s">
        <v>96</v>
      </c>
      <c r="F285" s="5" t="s">
        <v>97</v>
      </c>
      <c r="G285" s="5" t="s">
        <v>40</v>
      </c>
      <c r="H285" s="6">
        <v>45961</v>
      </c>
      <c r="I285" s="6">
        <v>45961</v>
      </c>
      <c r="J285" s="6">
        <v>45964</v>
      </c>
      <c r="K285" s="5" t="s">
        <v>135</v>
      </c>
      <c r="L285" s="5" t="s">
        <v>136</v>
      </c>
      <c r="M285" s="5" t="s">
        <v>43</v>
      </c>
      <c r="N285" s="5" t="s">
        <v>137</v>
      </c>
      <c r="O285" s="7">
        <v>5199.3100000000004</v>
      </c>
      <c r="P285" s="5" t="s">
        <v>45</v>
      </c>
      <c r="Q285" s="7">
        <v>5199.3100000000004</v>
      </c>
      <c r="R285" s="5" t="s">
        <v>45</v>
      </c>
      <c r="S285" s="7">
        <v>1530.11</v>
      </c>
      <c r="T285" s="5" t="s">
        <v>46</v>
      </c>
      <c r="U285" s="5" t="s">
        <v>47</v>
      </c>
      <c r="V285" s="5" t="s">
        <v>47</v>
      </c>
      <c r="W285" s="5" t="s">
        <v>47</v>
      </c>
      <c r="X285" s="5" t="s">
        <v>47</v>
      </c>
    </row>
    <row r="286" spans="1:24" x14ac:dyDescent="0.25">
      <c r="A286" s="5" t="s">
        <v>34</v>
      </c>
      <c r="B286" s="5" t="s">
        <v>159</v>
      </c>
      <c r="C286" s="5" t="s">
        <v>160</v>
      </c>
      <c r="D286" s="5" t="s">
        <v>37</v>
      </c>
      <c r="E286" s="5" t="s">
        <v>142</v>
      </c>
      <c r="F286" s="5" t="s">
        <v>143</v>
      </c>
      <c r="G286" s="5" t="s">
        <v>40</v>
      </c>
      <c r="H286" s="6">
        <v>45961</v>
      </c>
      <c r="I286" s="6">
        <v>45961</v>
      </c>
      <c r="J286" s="6">
        <v>45964</v>
      </c>
      <c r="K286" s="5" t="s">
        <v>135</v>
      </c>
      <c r="L286" s="5" t="s">
        <v>136</v>
      </c>
      <c r="M286" s="5" t="s">
        <v>43</v>
      </c>
      <c r="N286" s="5" t="s">
        <v>137</v>
      </c>
      <c r="O286" s="7">
        <v>17.64</v>
      </c>
      <c r="P286" s="5" t="s">
        <v>45</v>
      </c>
      <c r="Q286" s="7">
        <v>17.64</v>
      </c>
      <c r="R286" s="5" t="s">
        <v>45</v>
      </c>
      <c r="S286" s="7">
        <v>5.19</v>
      </c>
      <c r="T286" s="5" t="s">
        <v>46</v>
      </c>
      <c r="U286" s="5" t="s">
        <v>47</v>
      </c>
      <c r="V286" s="5" t="s">
        <v>47</v>
      </c>
      <c r="W286" s="5" t="s">
        <v>47</v>
      </c>
      <c r="X286" s="5" t="s">
        <v>47</v>
      </c>
    </row>
    <row r="287" spans="1:24" x14ac:dyDescent="0.25">
      <c r="A287" s="5" t="s">
        <v>34</v>
      </c>
      <c r="B287" s="5" t="s">
        <v>159</v>
      </c>
      <c r="C287" s="5" t="s">
        <v>160</v>
      </c>
      <c r="D287" s="5" t="s">
        <v>37</v>
      </c>
      <c r="E287" s="5" t="s">
        <v>92</v>
      </c>
      <c r="F287" s="5" t="s">
        <v>93</v>
      </c>
      <c r="G287" s="5" t="s">
        <v>40</v>
      </c>
      <c r="H287" s="6">
        <v>45961</v>
      </c>
      <c r="I287" s="6">
        <v>45961</v>
      </c>
      <c r="J287" s="6">
        <v>45964</v>
      </c>
      <c r="K287" s="5" t="s">
        <v>135</v>
      </c>
      <c r="L287" s="5" t="s">
        <v>136</v>
      </c>
      <c r="M287" s="5" t="s">
        <v>43</v>
      </c>
      <c r="N287" s="5" t="s">
        <v>137</v>
      </c>
      <c r="O287" s="7">
        <v>531.41999999999996</v>
      </c>
      <c r="P287" s="5" t="s">
        <v>45</v>
      </c>
      <c r="Q287" s="7">
        <v>531.41999999999996</v>
      </c>
      <c r="R287" s="5" t="s">
        <v>45</v>
      </c>
      <c r="S287" s="7">
        <v>156.38999999999999</v>
      </c>
      <c r="T287" s="5" t="s">
        <v>46</v>
      </c>
      <c r="U287" s="5" t="s">
        <v>47</v>
      </c>
      <c r="V287" s="5" t="s">
        <v>47</v>
      </c>
      <c r="W287" s="5" t="s">
        <v>47</v>
      </c>
      <c r="X287" s="5" t="s">
        <v>47</v>
      </c>
    </row>
    <row r="288" spans="1:24" x14ac:dyDescent="0.25">
      <c r="A288" s="5" t="s">
        <v>34</v>
      </c>
      <c r="B288" s="5" t="s">
        <v>159</v>
      </c>
      <c r="C288" s="5" t="s">
        <v>160</v>
      </c>
      <c r="D288" s="5" t="s">
        <v>37</v>
      </c>
      <c r="E288" s="5" t="s">
        <v>98</v>
      </c>
      <c r="F288" s="5" t="s">
        <v>99</v>
      </c>
      <c r="G288" s="5" t="s">
        <v>40</v>
      </c>
      <c r="H288" s="6">
        <v>45961</v>
      </c>
      <c r="I288" s="6">
        <v>45961</v>
      </c>
      <c r="J288" s="6">
        <v>45964</v>
      </c>
      <c r="K288" s="5" t="s">
        <v>135</v>
      </c>
      <c r="L288" s="5" t="s">
        <v>136</v>
      </c>
      <c r="M288" s="5" t="s">
        <v>43</v>
      </c>
      <c r="N288" s="5" t="s">
        <v>137</v>
      </c>
      <c r="O288" s="7">
        <v>241.92</v>
      </c>
      <c r="P288" s="5" t="s">
        <v>45</v>
      </c>
      <c r="Q288" s="7">
        <v>241.92</v>
      </c>
      <c r="R288" s="5" t="s">
        <v>45</v>
      </c>
      <c r="S288" s="7">
        <v>71.19</v>
      </c>
      <c r="T288" s="5" t="s">
        <v>46</v>
      </c>
      <c r="U288" s="5" t="s">
        <v>47</v>
      </c>
      <c r="V288" s="5" t="s">
        <v>47</v>
      </c>
      <c r="W288" s="5" t="s">
        <v>47</v>
      </c>
      <c r="X288" s="5" t="s">
        <v>47</v>
      </c>
    </row>
    <row r="289" spans="1:24" x14ac:dyDescent="0.25">
      <c r="A289" s="5" t="s">
        <v>34</v>
      </c>
      <c r="B289" s="5" t="s">
        <v>159</v>
      </c>
      <c r="C289" s="5" t="s">
        <v>160</v>
      </c>
      <c r="D289" s="5" t="s">
        <v>37</v>
      </c>
      <c r="E289" s="5" t="s">
        <v>118</v>
      </c>
      <c r="F289" s="5" t="s">
        <v>119</v>
      </c>
      <c r="G289" s="5" t="s">
        <v>40</v>
      </c>
      <c r="H289" s="6">
        <v>45961</v>
      </c>
      <c r="I289" s="6">
        <v>45961</v>
      </c>
      <c r="J289" s="6">
        <v>45964</v>
      </c>
      <c r="K289" s="5" t="s">
        <v>135</v>
      </c>
      <c r="L289" s="5" t="s">
        <v>136</v>
      </c>
      <c r="M289" s="5" t="s">
        <v>43</v>
      </c>
      <c r="N289" s="5" t="s">
        <v>137</v>
      </c>
      <c r="O289" s="7">
        <v>578.5</v>
      </c>
      <c r="P289" s="5" t="s">
        <v>45</v>
      </c>
      <c r="Q289" s="7">
        <v>578.5</v>
      </c>
      <c r="R289" s="5" t="s">
        <v>45</v>
      </c>
      <c r="S289" s="7">
        <v>170.25</v>
      </c>
      <c r="T289" s="5" t="s">
        <v>46</v>
      </c>
      <c r="U289" s="5" t="s">
        <v>47</v>
      </c>
      <c r="V289" s="5" t="s">
        <v>47</v>
      </c>
      <c r="W289" s="5" t="s">
        <v>47</v>
      </c>
      <c r="X289" s="5" t="s">
        <v>47</v>
      </c>
    </row>
    <row r="290" spans="1:24" x14ac:dyDescent="0.25">
      <c r="A290" s="5" t="s">
        <v>34</v>
      </c>
      <c r="B290" s="5" t="s">
        <v>159</v>
      </c>
      <c r="C290" s="5" t="s">
        <v>160</v>
      </c>
      <c r="D290" s="5" t="s">
        <v>37</v>
      </c>
      <c r="E290" s="5" t="s">
        <v>84</v>
      </c>
      <c r="F290" s="5" t="s">
        <v>85</v>
      </c>
      <c r="G290" s="5" t="s">
        <v>40</v>
      </c>
      <c r="H290" s="6">
        <v>45961</v>
      </c>
      <c r="I290" s="6">
        <v>45961</v>
      </c>
      <c r="J290" s="6">
        <v>45964</v>
      </c>
      <c r="K290" s="5" t="s">
        <v>135</v>
      </c>
      <c r="L290" s="5" t="s">
        <v>136</v>
      </c>
      <c r="M290" s="5" t="s">
        <v>43</v>
      </c>
      <c r="N290" s="5" t="s">
        <v>137</v>
      </c>
      <c r="O290" s="7">
        <v>157.13</v>
      </c>
      <c r="P290" s="5" t="s">
        <v>45</v>
      </c>
      <c r="Q290" s="7">
        <v>157.13</v>
      </c>
      <c r="R290" s="5" t="s">
        <v>45</v>
      </c>
      <c r="S290" s="7">
        <v>46.24</v>
      </c>
      <c r="T290" s="5" t="s">
        <v>46</v>
      </c>
      <c r="U290" s="5" t="s">
        <v>47</v>
      </c>
      <c r="V290" s="5" t="s">
        <v>47</v>
      </c>
      <c r="W290" s="5" t="s">
        <v>47</v>
      </c>
      <c r="X290" s="5" t="s">
        <v>47</v>
      </c>
    </row>
    <row r="291" spans="1:24" x14ac:dyDescent="0.25">
      <c r="A291" s="5" t="s">
        <v>34</v>
      </c>
      <c r="B291" s="5" t="s">
        <v>159</v>
      </c>
      <c r="C291" s="5" t="s">
        <v>160</v>
      </c>
      <c r="D291" s="5" t="s">
        <v>37</v>
      </c>
      <c r="E291" s="5" t="s">
        <v>82</v>
      </c>
      <c r="F291" s="5" t="s">
        <v>83</v>
      </c>
      <c r="G291" s="5" t="s">
        <v>40</v>
      </c>
      <c r="H291" s="6">
        <v>45961</v>
      </c>
      <c r="I291" s="6">
        <v>45961</v>
      </c>
      <c r="J291" s="6">
        <v>45964</v>
      </c>
      <c r="K291" s="5" t="s">
        <v>135</v>
      </c>
      <c r="L291" s="5" t="s">
        <v>136</v>
      </c>
      <c r="M291" s="5" t="s">
        <v>43</v>
      </c>
      <c r="N291" s="5" t="s">
        <v>137</v>
      </c>
      <c r="O291" s="7">
        <v>3905.25</v>
      </c>
      <c r="P291" s="5" t="s">
        <v>45</v>
      </c>
      <c r="Q291" s="7">
        <v>3905.25</v>
      </c>
      <c r="R291" s="5" t="s">
        <v>45</v>
      </c>
      <c r="S291" s="7">
        <v>1149.28</v>
      </c>
      <c r="T291" s="5" t="s">
        <v>46</v>
      </c>
      <c r="U291" s="5" t="s">
        <v>47</v>
      </c>
      <c r="V291" s="5" t="s">
        <v>47</v>
      </c>
      <c r="W291" s="5" t="s">
        <v>47</v>
      </c>
      <c r="X291" s="5" t="s">
        <v>47</v>
      </c>
    </row>
    <row r="292" spans="1:24" x14ac:dyDescent="0.25">
      <c r="A292" s="5" t="s">
        <v>34</v>
      </c>
      <c r="B292" s="5" t="s">
        <v>159</v>
      </c>
      <c r="C292" s="5" t="s">
        <v>160</v>
      </c>
      <c r="D292" s="5" t="s">
        <v>37</v>
      </c>
      <c r="E292" s="5" t="s">
        <v>106</v>
      </c>
      <c r="F292" s="5" t="s">
        <v>107</v>
      </c>
      <c r="G292" s="5" t="s">
        <v>40</v>
      </c>
      <c r="H292" s="6">
        <v>45961</v>
      </c>
      <c r="I292" s="6">
        <v>45961</v>
      </c>
      <c r="J292" s="6">
        <v>45964</v>
      </c>
      <c r="K292" s="5" t="s">
        <v>135</v>
      </c>
      <c r="L292" s="5" t="s">
        <v>136</v>
      </c>
      <c r="M292" s="5" t="s">
        <v>43</v>
      </c>
      <c r="N292" s="5" t="s">
        <v>137</v>
      </c>
      <c r="O292" s="7">
        <v>598.16</v>
      </c>
      <c r="P292" s="5" t="s">
        <v>45</v>
      </c>
      <c r="Q292" s="7">
        <v>598.16</v>
      </c>
      <c r="R292" s="5" t="s">
        <v>45</v>
      </c>
      <c r="S292" s="7">
        <v>176.03</v>
      </c>
      <c r="T292" s="5" t="s">
        <v>46</v>
      </c>
      <c r="U292" s="5" t="s">
        <v>47</v>
      </c>
      <c r="V292" s="5" t="s">
        <v>47</v>
      </c>
      <c r="W292" s="5" t="s">
        <v>47</v>
      </c>
      <c r="X292" s="5" t="s">
        <v>47</v>
      </c>
    </row>
    <row r="293" spans="1:24" x14ac:dyDescent="0.25">
      <c r="A293" s="5" t="s">
        <v>34</v>
      </c>
      <c r="B293" s="5" t="s">
        <v>159</v>
      </c>
      <c r="C293" s="5" t="s">
        <v>160</v>
      </c>
      <c r="D293" s="5" t="s">
        <v>37</v>
      </c>
      <c r="E293" s="5" t="s">
        <v>138</v>
      </c>
      <c r="F293" s="5" t="s">
        <v>139</v>
      </c>
      <c r="G293" s="5" t="s">
        <v>40</v>
      </c>
      <c r="H293" s="6">
        <v>45961</v>
      </c>
      <c r="I293" s="6">
        <v>45961</v>
      </c>
      <c r="J293" s="6">
        <v>45964</v>
      </c>
      <c r="K293" s="5" t="s">
        <v>135</v>
      </c>
      <c r="L293" s="5" t="s">
        <v>136</v>
      </c>
      <c r="M293" s="5" t="s">
        <v>43</v>
      </c>
      <c r="N293" s="5" t="s">
        <v>137</v>
      </c>
      <c r="O293" s="7">
        <v>3000.71</v>
      </c>
      <c r="P293" s="5" t="s">
        <v>45</v>
      </c>
      <c r="Q293" s="7">
        <v>3000.71</v>
      </c>
      <c r="R293" s="5" t="s">
        <v>45</v>
      </c>
      <c r="S293" s="7">
        <v>883.08</v>
      </c>
      <c r="T293" s="5" t="s">
        <v>46</v>
      </c>
      <c r="U293" s="5" t="s">
        <v>47</v>
      </c>
      <c r="V293" s="5" t="s">
        <v>47</v>
      </c>
      <c r="W293" s="5" t="s">
        <v>47</v>
      </c>
      <c r="X293" s="5" t="s">
        <v>47</v>
      </c>
    </row>
    <row r="294" spans="1:24" x14ac:dyDescent="0.25">
      <c r="A294" s="5" t="s">
        <v>34</v>
      </c>
      <c r="B294" s="5" t="s">
        <v>161</v>
      </c>
      <c r="C294" s="5" t="s">
        <v>162</v>
      </c>
      <c r="D294" s="5" t="s">
        <v>37</v>
      </c>
      <c r="E294" s="5" t="s">
        <v>142</v>
      </c>
      <c r="F294" s="5" t="s">
        <v>143</v>
      </c>
      <c r="G294" s="5" t="s">
        <v>40</v>
      </c>
      <c r="H294" s="6">
        <v>45961</v>
      </c>
      <c r="I294" s="6">
        <v>45961</v>
      </c>
      <c r="J294" s="6">
        <v>45964</v>
      </c>
      <c r="K294" s="5" t="s">
        <v>135</v>
      </c>
      <c r="L294" s="5" t="s">
        <v>136</v>
      </c>
      <c r="M294" s="5" t="s">
        <v>43</v>
      </c>
      <c r="N294" s="5" t="s">
        <v>137</v>
      </c>
      <c r="O294" s="7">
        <v>4.76</v>
      </c>
      <c r="P294" s="5" t="s">
        <v>45</v>
      </c>
      <c r="Q294" s="7">
        <v>4.76</v>
      </c>
      <c r="R294" s="5" t="s">
        <v>45</v>
      </c>
      <c r="S294" s="7">
        <v>1.4</v>
      </c>
      <c r="T294" s="5" t="s">
        <v>46</v>
      </c>
      <c r="U294" s="5" t="s">
        <v>47</v>
      </c>
      <c r="V294" s="5" t="s">
        <v>47</v>
      </c>
      <c r="W294" s="5" t="s">
        <v>47</v>
      </c>
      <c r="X294" s="5" t="s">
        <v>47</v>
      </c>
    </row>
    <row r="295" spans="1:24" x14ac:dyDescent="0.25">
      <c r="A295" s="5" t="s">
        <v>34</v>
      </c>
      <c r="B295" s="5" t="s">
        <v>161</v>
      </c>
      <c r="C295" s="5" t="s">
        <v>162</v>
      </c>
      <c r="D295" s="5" t="s">
        <v>37</v>
      </c>
      <c r="E295" s="5" t="s">
        <v>110</v>
      </c>
      <c r="F295" s="5" t="s">
        <v>111</v>
      </c>
      <c r="G295" s="5" t="s">
        <v>40</v>
      </c>
      <c r="H295" s="6">
        <v>45961</v>
      </c>
      <c r="I295" s="6">
        <v>45961</v>
      </c>
      <c r="J295" s="6">
        <v>45964</v>
      </c>
      <c r="K295" s="5" t="s">
        <v>135</v>
      </c>
      <c r="L295" s="5" t="s">
        <v>136</v>
      </c>
      <c r="M295" s="5" t="s">
        <v>43</v>
      </c>
      <c r="N295" s="5" t="s">
        <v>137</v>
      </c>
      <c r="O295" s="7">
        <v>11977.79</v>
      </c>
      <c r="P295" s="5" t="s">
        <v>45</v>
      </c>
      <c r="Q295" s="7">
        <v>11977.79</v>
      </c>
      <c r="R295" s="5" t="s">
        <v>45</v>
      </c>
      <c r="S295" s="7">
        <v>3524.95</v>
      </c>
      <c r="T295" s="5" t="s">
        <v>46</v>
      </c>
      <c r="U295" s="5" t="s">
        <v>47</v>
      </c>
      <c r="V295" s="5" t="s">
        <v>47</v>
      </c>
      <c r="W295" s="5" t="s">
        <v>47</v>
      </c>
      <c r="X295" s="5" t="s">
        <v>47</v>
      </c>
    </row>
    <row r="296" spans="1:24" x14ac:dyDescent="0.25">
      <c r="A296" s="5" t="s">
        <v>34</v>
      </c>
      <c r="B296" s="5" t="s">
        <v>161</v>
      </c>
      <c r="C296" s="5" t="s">
        <v>162</v>
      </c>
      <c r="D296" s="5" t="s">
        <v>37</v>
      </c>
      <c r="E296" s="5" t="s">
        <v>100</v>
      </c>
      <c r="F296" s="5" t="s">
        <v>101</v>
      </c>
      <c r="G296" s="5" t="s">
        <v>40</v>
      </c>
      <c r="H296" s="6">
        <v>45961</v>
      </c>
      <c r="I296" s="6">
        <v>45961</v>
      </c>
      <c r="J296" s="6">
        <v>45964</v>
      </c>
      <c r="K296" s="5" t="s">
        <v>135</v>
      </c>
      <c r="L296" s="5" t="s">
        <v>136</v>
      </c>
      <c r="M296" s="5" t="s">
        <v>43</v>
      </c>
      <c r="N296" s="5" t="s">
        <v>137</v>
      </c>
      <c r="O296" s="7">
        <v>828.89</v>
      </c>
      <c r="P296" s="5" t="s">
        <v>45</v>
      </c>
      <c r="Q296" s="7">
        <v>828.89</v>
      </c>
      <c r="R296" s="5" t="s">
        <v>45</v>
      </c>
      <c r="S296" s="7">
        <v>243.93</v>
      </c>
      <c r="T296" s="5" t="s">
        <v>46</v>
      </c>
      <c r="U296" s="5" t="s">
        <v>47</v>
      </c>
      <c r="V296" s="5" t="s">
        <v>47</v>
      </c>
      <c r="W296" s="5" t="s">
        <v>47</v>
      </c>
      <c r="X296" s="5" t="s">
        <v>47</v>
      </c>
    </row>
    <row r="297" spans="1:24" x14ac:dyDescent="0.25">
      <c r="A297" s="5" t="s">
        <v>34</v>
      </c>
      <c r="B297" s="5" t="s">
        <v>161</v>
      </c>
      <c r="C297" s="5" t="s">
        <v>162</v>
      </c>
      <c r="D297" s="5" t="s">
        <v>37</v>
      </c>
      <c r="E297" s="5" t="s">
        <v>38</v>
      </c>
      <c r="F297" s="5" t="s">
        <v>39</v>
      </c>
      <c r="G297" s="5" t="s">
        <v>40</v>
      </c>
      <c r="H297" s="6">
        <v>45961</v>
      </c>
      <c r="I297" s="6">
        <v>45961</v>
      </c>
      <c r="J297" s="6">
        <v>45964</v>
      </c>
      <c r="K297" s="5" t="s">
        <v>135</v>
      </c>
      <c r="L297" s="5" t="s">
        <v>136</v>
      </c>
      <c r="M297" s="5" t="s">
        <v>43</v>
      </c>
      <c r="N297" s="5" t="s">
        <v>137</v>
      </c>
      <c r="O297" s="7">
        <v>123.79</v>
      </c>
      <c r="P297" s="5" t="s">
        <v>45</v>
      </c>
      <c r="Q297" s="7">
        <v>123.79</v>
      </c>
      <c r="R297" s="5" t="s">
        <v>45</v>
      </c>
      <c r="S297" s="7">
        <v>36.43</v>
      </c>
      <c r="T297" s="5" t="s">
        <v>46</v>
      </c>
      <c r="U297" s="5" t="s">
        <v>47</v>
      </c>
      <c r="V297" s="5" t="s">
        <v>47</v>
      </c>
      <c r="W297" s="5" t="s">
        <v>47</v>
      </c>
      <c r="X297" s="5" t="s">
        <v>47</v>
      </c>
    </row>
    <row r="298" spans="1:24" x14ac:dyDescent="0.25">
      <c r="A298" s="5" t="s">
        <v>34</v>
      </c>
      <c r="B298" s="5" t="s">
        <v>161</v>
      </c>
      <c r="C298" s="5" t="s">
        <v>162</v>
      </c>
      <c r="D298" s="5" t="s">
        <v>37</v>
      </c>
      <c r="E298" s="5" t="s">
        <v>96</v>
      </c>
      <c r="F298" s="5" t="s">
        <v>97</v>
      </c>
      <c r="G298" s="5" t="s">
        <v>40</v>
      </c>
      <c r="H298" s="6">
        <v>45961</v>
      </c>
      <c r="I298" s="6">
        <v>45961</v>
      </c>
      <c r="J298" s="6">
        <v>45964</v>
      </c>
      <c r="K298" s="5" t="s">
        <v>147</v>
      </c>
      <c r="L298" s="5" t="s">
        <v>148</v>
      </c>
      <c r="M298" s="5" t="s">
        <v>43</v>
      </c>
      <c r="N298" s="5" t="s">
        <v>149</v>
      </c>
      <c r="O298" s="7">
        <v>128.84</v>
      </c>
      <c r="P298" s="5" t="s">
        <v>45</v>
      </c>
      <c r="Q298" s="7">
        <v>128.84</v>
      </c>
      <c r="R298" s="5" t="s">
        <v>45</v>
      </c>
      <c r="S298" s="7">
        <v>37.92</v>
      </c>
      <c r="T298" s="5" t="s">
        <v>46</v>
      </c>
      <c r="U298" s="5" t="s">
        <v>47</v>
      </c>
      <c r="V298" s="5" t="s">
        <v>47</v>
      </c>
      <c r="W298" s="5" t="s">
        <v>47</v>
      </c>
      <c r="X298" s="5" t="s">
        <v>47</v>
      </c>
    </row>
    <row r="299" spans="1:24" x14ac:dyDescent="0.25">
      <c r="A299" s="5" t="s">
        <v>34</v>
      </c>
      <c r="B299" s="5" t="s">
        <v>161</v>
      </c>
      <c r="C299" s="5" t="s">
        <v>162</v>
      </c>
      <c r="D299" s="5" t="s">
        <v>37</v>
      </c>
      <c r="E299" s="5" t="s">
        <v>96</v>
      </c>
      <c r="F299" s="5" t="s">
        <v>97</v>
      </c>
      <c r="G299" s="5" t="s">
        <v>40</v>
      </c>
      <c r="H299" s="6">
        <v>45961</v>
      </c>
      <c r="I299" s="6">
        <v>45961</v>
      </c>
      <c r="J299" s="6">
        <v>45964</v>
      </c>
      <c r="K299" s="5" t="s">
        <v>135</v>
      </c>
      <c r="L299" s="5" t="s">
        <v>136</v>
      </c>
      <c r="M299" s="5" t="s">
        <v>43</v>
      </c>
      <c r="N299" s="5" t="s">
        <v>137</v>
      </c>
      <c r="O299" s="7">
        <v>3424.22</v>
      </c>
      <c r="P299" s="5" t="s">
        <v>45</v>
      </c>
      <c r="Q299" s="7">
        <v>3424.22</v>
      </c>
      <c r="R299" s="5" t="s">
        <v>45</v>
      </c>
      <c r="S299" s="7">
        <v>1007.72</v>
      </c>
      <c r="T299" s="5" t="s">
        <v>46</v>
      </c>
      <c r="U299" s="5" t="s">
        <v>47</v>
      </c>
      <c r="V299" s="5" t="s">
        <v>47</v>
      </c>
      <c r="W299" s="5" t="s">
        <v>47</v>
      </c>
      <c r="X299" s="5" t="s">
        <v>47</v>
      </c>
    </row>
    <row r="300" spans="1:24" x14ac:dyDescent="0.25">
      <c r="A300" s="5" t="s">
        <v>34</v>
      </c>
      <c r="B300" s="5" t="s">
        <v>161</v>
      </c>
      <c r="C300" s="5" t="s">
        <v>162</v>
      </c>
      <c r="D300" s="5" t="s">
        <v>37</v>
      </c>
      <c r="E300" s="5" t="s">
        <v>86</v>
      </c>
      <c r="F300" s="5" t="s">
        <v>87</v>
      </c>
      <c r="G300" s="5" t="s">
        <v>40</v>
      </c>
      <c r="H300" s="6">
        <v>45961</v>
      </c>
      <c r="I300" s="6">
        <v>45961</v>
      </c>
      <c r="J300" s="6">
        <v>45964</v>
      </c>
      <c r="K300" s="5" t="s">
        <v>135</v>
      </c>
      <c r="L300" s="5" t="s">
        <v>136</v>
      </c>
      <c r="M300" s="5" t="s">
        <v>43</v>
      </c>
      <c r="N300" s="5" t="s">
        <v>137</v>
      </c>
      <c r="O300" s="7">
        <v>8384.02</v>
      </c>
      <c r="P300" s="5" t="s">
        <v>45</v>
      </c>
      <c r="Q300" s="7">
        <v>8384.02</v>
      </c>
      <c r="R300" s="5" t="s">
        <v>45</v>
      </c>
      <c r="S300" s="7">
        <v>2467.34</v>
      </c>
      <c r="T300" s="5" t="s">
        <v>46</v>
      </c>
      <c r="U300" s="5" t="s">
        <v>47</v>
      </c>
      <c r="V300" s="5" t="s">
        <v>47</v>
      </c>
      <c r="W300" s="5" t="s">
        <v>47</v>
      </c>
      <c r="X300" s="5" t="s">
        <v>47</v>
      </c>
    </row>
    <row r="301" spans="1:24" x14ac:dyDescent="0.25">
      <c r="A301" s="5" t="s">
        <v>34</v>
      </c>
      <c r="B301" s="5" t="s">
        <v>161</v>
      </c>
      <c r="C301" s="5" t="s">
        <v>162</v>
      </c>
      <c r="D301" s="5" t="s">
        <v>37</v>
      </c>
      <c r="E301" s="5" t="s">
        <v>110</v>
      </c>
      <c r="F301" s="5" t="s">
        <v>111</v>
      </c>
      <c r="G301" s="5" t="s">
        <v>40</v>
      </c>
      <c r="H301" s="6">
        <v>45961</v>
      </c>
      <c r="I301" s="6">
        <v>45961</v>
      </c>
      <c r="J301" s="6">
        <v>45960</v>
      </c>
      <c r="K301" s="5" t="s">
        <v>150</v>
      </c>
      <c r="L301" s="5" t="s">
        <v>151</v>
      </c>
      <c r="M301" s="5" t="s">
        <v>43</v>
      </c>
      <c r="N301" s="5" t="s">
        <v>152</v>
      </c>
      <c r="O301" s="7">
        <v>24.19</v>
      </c>
      <c r="P301" s="5" t="s">
        <v>45</v>
      </c>
      <c r="Q301" s="7">
        <v>24.19</v>
      </c>
      <c r="R301" s="5" t="s">
        <v>45</v>
      </c>
      <c r="S301" s="7">
        <v>7.13</v>
      </c>
      <c r="T301" s="5" t="s">
        <v>46</v>
      </c>
      <c r="U301" s="5" t="s">
        <v>47</v>
      </c>
      <c r="V301" s="5" t="s">
        <v>47</v>
      </c>
      <c r="W301" s="5" t="s">
        <v>47</v>
      </c>
      <c r="X301" s="5" t="s">
        <v>47</v>
      </c>
    </row>
    <row r="302" spans="1:24" x14ac:dyDescent="0.25">
      <c r="A302" s="5" t="s">
        <v>34</v>
      </c>
      <c r="B302" s="5" t="s">
        <v>161</v>
      </c>
      <c r="C302" s="5" t="s">
        <v>162</v>
      </c>
      <c r="D302" s="5" t="s">
        <v>37</v>
      </c>
      <c r="E302" s="5" t="s">
        <v>116</v>
      </c>
      <c r="F302" s="5" t="s">
        <v>117</v>
      </c>
      <c r="G302" s="5" t="s">
        <v>40</v>
      </c>
      <c r="H302" s="6">
        <v>45961</v>
      </c>
      <c r="I302" s="6">
        <v>45961</v>
      </c>
      <c r="J302" s="6">
        <v>45964</v>
      </c>
      <c r="K302" s="5" t="s">
        <v>135</v>
      </c>
      <c r="L302" s="5" t="s">
        <v>136</v>
      </c>
      <c r="M302" s="5" t="s">
        <v>43</v>
      </c>
      <c r="N302" s="5" t="s">
        <v>137</v>
      </c>
      <c r="O302" s="7">
        <v>2961.22</v>
      </c>
      <c r="P302" s="5" t="s">
        <v>45</v>
      </c>
      <c r="Q302" s="7">
        <v>2961.22</v>
      </c>
      <c r="R302" s="5" t="s">
        <v>45</v>
      </c>
      <c r="S302" s="7">
        <v>871.46</v>
      </c>
      <c r="T302" s="5" t="s">
        <v>46</v>
      </c>
      <c r="U302" s="5" t="s">
        <v>47</v>
      </c>
      <c r="V302" s="5" t="s">
        <v>47</v>
      </c>
      <c r="W302" s="5" t="s">
        <v>47</v>
      </c>
      <c r="X302" s="5" t="s">
        <v>47</v>
      </c>
    </row>
    <row r="303" spans="1:24" x14ac:dyDescent="0.25">
      <c r="A303" s="5" t="s">
        <v>34</v>
      </c>
      <c r="B303" s="5" t="s">
        <v>161</v>
      </c>
      <c r="C303" s="5" t="s">
        <v>162</v>
      </c>
      <c r="D303" s="5" t="s">
        <v>37</v>
      </c>
      <c r="E303" s="5" t="s">
        <v>78</v>
      </c>
      <c r="F303" s="5" t="s">
        <v>79</v>
      </c>
      <c r="G303" s="5" t="s">
        <v>40</v>
      </c>
      <c r="H303" s="6">
        <v>45961</v>
      </c>
      <c r="I303" s="6">
        <v>45961</v>
      </c>
      <c r="J303" s="6">
        <v>45964</v>
      </c>
      <c r="K303" s="5" t="s">
        <v>135</v>
      </c>
      <c r="L303" s="5" t="s">
        <v>136</v>
      </c>
      <c r="M303" s="5" t="s">
        <v>43</v>
      </c>
      <c r="N303" s="5" t="s">
        <v>137</v>
      </c>
      <c r="O303" s="7">
        <v>1321.59</v>
      </c>
      <c r="P303" s="5" t="s">
        <v>45</v>
      </c>
      <c r="Q303" s="7">
        <v>1321.59</v>
      </c>
      <c r="R303" s="5" t="s">
        <v>45</v>
      </c>
      <c r="S303" s="7">
        <v>388.93</v>
      </c>
      <c r="T303" s="5" t="s">
        <v>46</v>
      </c>
      <c r="U303" s="5" t="s">
        <v>47</v>
      </c>
      <c r="V303" s="5" t="s">
        <v>47</v>
      </c>
      <c r="W303" s="5" t="s">
        <v>47</v>
      </c>
      <c r="X303" s="5" t="s">
        <v>47</v>
      </c>
    </row>
    <row r="304" spans="1:24" x14ac:dyDescent="0.25">
      <c r="A304" s="5" t="s">
        <v>34</v>
      </c>
      <c r="B304" s="5" t="s">
        <v>161</v>
      </c>
      <c r="C304" s="5" t="s">
        <v>162</v>
      </c>
      <c r="D304" s="5" t="s">
        <v>37</v>
      </c>
      <c r="E304" s="5" t="s">
        <v>82</v>
      </c>
      <c r="F304" s="5" t="s">
        <v>83</v>
      </c>
      <c r="G304" s="5" t="s">
        <v>40</v>
      </c>
      <c r="H304" s="6">
        <v>45961</v>
      </c>
      <c r="I304" s="6">
        <v>45961</v>
      </c>
      <c r="J304" s="6">
        <v>45964</v>
      </c>
      <c r="K304" s="5" t="s">
        <v>135</v>
      </c>
      <c r="L304" s="5" t="s">
        <v>136</v>
      </c>
      <c r="M304" s="5" t="s">
        <v>43</v>
      </c>
      <c r="N304" s="5" t="s">
        <v>137</v>
      </c>
      <c r="O304" s="7">
        <v>1896.18</v>
      </c>
      <c r="P304" s="5" t="s">
        <v>45</v>
      </c>
      <c r="Q304" s="7">
        <v>1896.18</v>
      </c>
      <c r="R304" s="5" t="s">
        <v>45</v>
      </c>
      <c r="S304" s="7">
        <v>558.03</v>
      </c>
      <c r="T304" s="5" t="s">
        <v>46</v>
      </c>
      <c r="U304" s="5" t="s">
        <v>47</v>
      </c>
      <c r="V304" s="5" t="s">
        <v>47</v>
      </c>
      <c r="W304" s="5" t="s">
        <v>47</v>
      </c>
      <c r="X304" s="5" t="s">
        <v>47</v>
      </c>
    </row>
    <row r="305" spans="1:24" x14ac:dyDescent="0.25">
      <c r="A305" s="5" t="s">
        <v>34</v>
      </c>
      <c r="B305" s="5" t="s">
        <v>161</v>
      </c>
      <c r="C305" s="5" t="s">
        <v>162</v>
      </c>
      <c r="D305" s="5" t="s">
        <v>37</v>
      </c>
      <c r="E305" s="5" t="s">
        <v>138</v>
      </c>
      <c r="F305" s="5" t="s">
        <v>139</v>
      </c>
      <c r="G305" s="5" t="s">
        <v>40</v>
      </c>
      <c r="H305" s="6">
        <v>45961</v>
      </c>
      <c r="I305" s="6">
        <v>45961</v>
      </c>
      <c r="J305" s="6">
        <v>45964</v>
      </c>
      <c r="K305" s="5" t="s">
        <v>135</v>
      </c>
      <c r="L305" s="5" t="s">
        <v>136</v>
      </c>
      <c r="M305" s="5" t="s">
        <v>43</v>
      </c>
      <c r="N305" s="5" t="s">
        <v>137</v>
      </c>
      <c r="O305" s="7">
        <v>1739.95</v>
      </c>
      <c r="P305" s="5" t="s">
        <v>45</v>
      </c>
      <c r="Q305" s="7">
        <v>1739.95</v>
      </c>
      <c r="R305" s="5" t="s">
        <v>45</v>
      </c>
      <c r="S305" s="7">
        <v>512.04999999999995</v>
      </c>
      <c r="T305" s="5" t="s">
        <v>46</v>
      </c>
      <c r="U305" s="5" t="s">
        <v>47</v>
      </c>
      <c r="V305" s="5" t="s">
        <v>47</v>
      </c>
      <c r="W305" s="5" t="s">
        <v>47</v>
      </c>
      <c r="X305" s="5" t="s">
        <v>47</v>
      </c>
    </row>
    <row r="306" spans="1:24" x14ac:dyDescent="0.25">
      <c r="A306" s="5" t="s">
        <v>34</v>
      </c>
      <c r="B306" s="5" t="s">
        <v>161</v>
      </c>
      <c r="C306" s="5" t="s">
        <v>162</v>
      </c>
      <c r="D306" s="5" t="s">
        <v>37</v>
      </c>
      <c r="E306" s="5" t="s">
        <v>98</v>
      </c>
      <c r="F306" s="5" t="s">
        <v>99</v>
      </c>
      <c r="G306" s="5" t="s">
        <v>40</v>
      </c>
      <c r="H306" s="6">
        <v>45961</v>
      </c>
      <c r="I306" s="6">
        <v>45961</v>
      </c>
      <c r="J306" s="6">
        <v>45964</v>
      </c>
      <c r="K306" s="5" t="s">
        <v>135</v>
      </c>
      <c r="L306" s="5" t="s">
        <v>136</v>
      </c>
      <c r="M306" s="5" t="s">
        <v>43</v>
      </c>
      <c r="N306" s="5" t="s">
        <v>137</v>
      </c>
      <c r="O306" s="7">
        <v>308.39</v>
      </c>
      <c r="P306" s="5" t="s">
        <v>45</v>
      </c>
      <c r="Q306" s="7">
        <v>308.39</v>
      </c>
      <c r="R306" s="5" t="s">
        <v>45</v>
      </c>
      <c r="S306" s="7">
        <v>90.76</v>
      </c>
      <c r="T306" s="5" t="s">
        <v>46</v>
      </c>
      <c r="U306" s="5" t="s">
        <v>47</v>
      </c>
      <c r="V306" s="5" t="s">
        <v>47</v>
      </c>
      <c r="W306" s="5" t="s">
        <v>47</v>
      </c>
      <c r="X306" s="5" t="s">
        <v>47</v>
      </c>
    </row>
    <row r="307" spans="1:24" x14ac:dyDescent="0.25">
      <c r="A307" s="5" t="s">
        <v>34</v>
      </c>
      <c r="B307" s="5" t="s">
        <v>161</v>
      </c>
      <c r="C307" s="5" t="s">
        <v>162</v>
      </c>
      <c r="D307" s="5" t="s">
        <v>37</v>
      </c>
      <c r="E307" s="5" t="s">
        <v>102</v>
      </c>
      <c r="F307" s="5" t="s">
        <v>103</v>
      </c>
      <c r="G307" s="5" t="s">
        <v>40</v>
      </c>
      <c r="H307" s="6">
        <v>45961</v>
      </c>
      <c r="I307" s="6">
        <v>45961</v>
      </c>
      <c r="J307" s="6">
        <v>45964</v>
      </c>
      <c r="K307" s="5" t="s">
        <v>135</v>
      </c>
      <c r="L307" s="5" t="s">
        <v>136</v>
      </c>
      <c r="M307" s="5" t="s">
        <v>43</v>
      </c>
      <c r="N307" s="5" t="s">
        <v>137</v>
      </c>
      <c r="O307" s="7">
        <v>626.04999999999995</v>
      </c>
      <c r="P307" s="5" t="s">
        <v>45</v>
      </c>
      <c r="Q307" s="7">
        <v>626.04999999999995</v>
      </c>
      <c r="R307" s="5" t="s">
        <v>45</v>
      </c>
      <c r="S307" s="7">
        <v>184.24</v>
      </c>
      <c r="T307" s="5" t="s">
        <v>46</v>
      </c>
      <c r="U307" s="5" t="s">
        <v>47</v>
      </c>
      <c r="V307" s="5" t="s">
        <v>47</v>
      </c>
      <c r="W307" s="5" t="s">
        <v>47</v>
      </c>
      <c r="X307" s="5" t="s">
        <v>47</v>
      </c>
    </row>
    <row r="308" spans="1:24" x14ac:dyDescent="0.25">
      <c r="A308" s="5" t="s">
        <v>34</v>
      </c>
      <c r="B308" s="5" t="s">
        <v>161</v>
      </c>
      <c r="C308" s="5" t="s">
        <v>162</v>
      </c>
      <c r="D308" s="5" t="s">
        <v>37</v>
      </c>
      <c r="E308" s="5" t="s">
        <v>84</v>
      </c>
      <c r="F308" s="5" t="s">
        <v>85</v>
      </c>
      <c r="G308" s="5" t="s">
        <v>40</v>
      </c>
      <c r="H308" s="6">
        <v>45961</v>
      </c>
      <c r="I308" s="6">
        <v>45961</v>
      </c>
      <c r="J308" s="6">
        <v>45964</v>
      </c>
      <c r="K308" s="5" t="s">
        <v>135</v>
      </c>
      <c r="L308" s="5" t="s">
        <v>136</v>
      </c>
      <c r="M308" s="5" t="s">
        <v>43</v>
      </c>
      <c r="N308" s="5" t="s">
        <v>137</v>
      </c>
      <c r="O308" s="7">
        <v>84.87</v>
      </c>
      <c r="P308" s="5" t="s">
        <v>45</v>
      </c>
      <c r="Q308" s="7">
        <v>84.87</v>
      </c>
      <c r="R308" s="5" t="s">
        <v>45</v>
      </c>
      <c r="S308" s="7">
        <v>24.98</v>
      </c>
      <c r="T308" s="5" t="s">
        <v>46</v>
      </c>
      <c r="U308" s="5" t="s">
        <v>47</v>
      </c>
      <c r="V308" s="5" t="s">
        <v>47</v>
      </c>
      <c r="W308" s="5" t="s">
        <v>47</v>
      </c>
      <c r="X308" s="5" t="s">
        <v>47</v>
      </c>
    </row>
    <row r="309" spans="1:24" x14ac:dyDescent="0.25">
      <c r="A309" s="5" t="s">
        <v>34</v>
      </c>
      <c r="B309" s="5" t="s">
        <v>161</v>
      </c>
      <c r="C309" s="5" t="s">
        <v>162</v>
      </c>
      <c r="D309" s="5" t="s">
        <v>37</v>
      </c>
      <c r="E309" s="5" t="s">
        <v>104</v>
      </c>
      <c r="F309" s="5" t="s">
        <v>105</v>
      </c>
      <c r="G309" s="5" t="s">
        <v>40</v>
      </c>
      <c r="H309" s="6">
        <v>45961</v>
      </c>
      <c r="I309" s="6">
        <v>45961</v>
      </c>
      <c r="J309" s="6">
        <v>45964</v>
      </c>
      <c r="K309" s="5" t="s">
        <v>135</v>
      </c>
      <c r="L309" s="5" t="s">
        <v>136</v>
      </c>
      <c r="M309" s="5" t="s">
        <v>43</v>
      </c>
      <c r="N309" s="5" t="s">
        <v>137</v>
      </c>
      <c r="O309" s="7">
        <v>719.17</v>
      </c>
      <c r="P309" s="5" t="s">
        <v>45</v>
      </c>
      <c r="Q309" s="7">
        <v>719.17</v>
      </c>
      <c r="R309" s="5" t="s">
        <v>45</v>
      </c>
      <c r="S309" s="7">
        <v>211.65</v>
      </c>
      <c r="T309" s="5" t="s">
        <v>46</v>
      </c>
      <c r="U309" s="5" t="s">
        <v>47</v>
      </c>
      <c r="V309" s="5" t="s">
        <v>47</v>
      </c>
      <c r="W309" s="5" t="s">
        <v>47</v>
      </c>
      <c r="X309" s="5" t="s">
        <v>47</v>
      </c>
    </row>
    <row r="310" spans="1:24" x14ac:dyDescent="0.25">
      <c r="A310" s="5" t="s">
        <v>34</v>
      </c>
      <c r="B310" s="5" t="s">
        <v>161</v>
      </c>
      <c r="C310" s="5" t="s">
        <v>162</v>
      </c>
      <c r="D310" s="5" t="s">
        <v>37</v>
      </c>
      <c r="E310" s="5" t="s">
        <v>62</v>
      </c>
      <c r="F310" s="5" t="s">
        <v>63</v>
      </c>
      <c r="G310" s="5" t="s">
        <v>40</v>
      </c>
      <c r="H310" s="6">
        <v>45961</v>
      </c>
      <c r="I310" s="6">
        <v>45961</v>
      </c>
      <c r="J310" s="6">
        <v>45964</v>
      </c>
      <c r="K310" s="5" t="s">
        <v>135</v>
      </c>
      <c r="L310" s="5" t="s">
        <v>136</v>
      </c>
      <c r="M310" s="5" t="s">
        <v>43</v>
      </c>
      <c r="N310" s="5" t="s">
        <v>137</v>
      </c>
      <c r="O310" s="7">
        <v>7809.51</v>
      </c>
      <c r="P310" s="5" t="s">
        <v>45</v>
      </c>
      <c r="Q310" s="7">
        <v>7809.51</v>
      </c>
      <c r="R310" s="5" t="s">
        <v>45</v>
      </c>
      <c r="S310" s="7">
        <v>2298.27</v>
      </c>
      <c r="T310" s="5" t="s">
        <v>46</v>
      </c>
      <c r="U310" s="5" t="s">
        <v>47</v>
      </c>
      <c r="V310" s="5" t="s">
        <v>47</v>
      </c>
      <c r="W310" s="5" t="s">
        <v>47</v>
      </c>
      <c r="X310" s="5" t="s">
        <v>47</v>
      </c>
    </row>
    <row r="311" spans="1:24" x14ac:dyDescent="0.25">
      <c r="A311" s="5" t="s">
        <v>34</v>
      </c>
      <c r="B311" s="5" t="s">
        <v>161</v>
      </c>
      <c r="C311" s="5" t="s">
        <v>162</v>
      </c>
      <c r="D311" s="5" t="s">
        <v>37</v>
      </c>
      <c r="E311" s="5" t="s">
        <v>54</v>
      </c>
      <c r="F311" s="5" t="s">
        <v>55</v>
      </c>
      <c r="G311" s="5" t="s">
        <v>40</v>
      </c>
      <c r="H311" s="6">
        <v>45961</v>
      </c>
      <c r="I311" s="6">
        <v>45961</v>
      </c>
      <c r="J311" s="6">
        <v>45964</v>
      </c>
      <c r="K311" s="5" t="s">
        <v>135</v>
      </c>
      <c r="L311" s="5" t="s">
        <v>136</v>
      </c>
      <c r="M311" s="5" t="s">
        <v>43</v>
      </c>
      <c r="N311" s="5" t="s">
        <v>137</v>
      </c>
      <c r="O311" s="7">
        <v>267.39999999999998</v>
      </c>
      <c r="P311" s="5" t="s">
        <v>45</v>
      </c>
      <c r="Q311" s="7">
        <v>267.39999999999998</v>
      </c>
      <c r="R311" s="5" t="s">
        <v>45</v>
      </c>
      <c r="S311" s="7">
        <v>78.69</v>
      </c>
      <c r="T311" s="5" t="s">
        <v>46</v>
      </c>
      <c r="U311" s="5" t="s">
        <v>47</v>
      </c>
      <c r="V311" s="5" t="s">
        <v>47</v>
      </c>
      <c r="W311" s="5" t="s">
        <v>47</v>
      </c>
      <c r="X311" s="5" t="s">
        <v>47</v>
      </c>
    </row>
    <row r="312" spans="1:24" x14ac:dyDescent="0.25">
      <c r="A312" s="5" t="s">
        <v>34</v>
      </c>
      <c r="B312" s="5" t="s">
        <v>161</v>
      </c>
      <c r="C312" s="5" t="s">
        <v>162</v>
      </c>
      <c r="D312" s="5" t="s">
        <v>37</v>
      </c>
      <c r="E312" s="5" t="s">
        <v>50</v>
      </c>
      <c r="F312" s="5" t="s">
        <v>51</v>
      </c>
      <c r="G312" s="5" t="s">
        <v>40</v>
      </c>
      <c r="H312" s="6">
        <v>45961</v>
      </c>
      <c r="I312" s="6">
        <v>45961</v>
      </c>
      <c r="J312" s="6">
        <v>45964</v>
      </c>
      <c r="K312" s="5" t="s">
        <v>135</v>
      </c>
      <c r="L312" s="5" t="s">
        <v>136</v>
      </c>
      <c r="M312" s="5" t="s">
        <v>43</v>
      </c>
      <c r="N312" s="5" t="s">
        <v>137</v>
      </c>
      <c r="O312" s="7">
        <v>7177.6</v>
      </c>
      <c r="P312" s="5" t="s">
        <v>45</v>
      </c>
      <c r="Q312" s="7">
        <v>7177.6</v>
      </c>
      <c r="R312" s="5" t="s">
        <v>45</v>
      </c>
      <c r="S312" s="7">
        <v>2112.3000000000002</v>
      </c>
      <c r="T312" s="5" t="s">
        <v>46</v>
      </c>
      <c r="U312" s="5" t="s">
        <v>47</v>
      </c>
      <c r="V312" s="5" t="s">
        <v>47</v>
      </c>
      <c r="W312" s="5" t="s">
        <v>47</v>
      </c>
      <c r="X312" s="5" t="s">
        <v>47</v>
      </c>
    </row>
    <row r="313" spans="1:24" x14ac:dyDescent="0.25">
      <c r="A313" s="5" t="s">
        <v>34</v>
      </c>
      <c r="B313" s="5" t="s">
        <v>161</v>
      </c>
      <c r="C313" s="5" t="s">
        <v>162</v>
      </c>
      <c r="D313" s="5" t="s">
        <v>37</v>
      </c>
      <c r="E313" s="5" t="s">
        <v>58</v>
      </c>
      <c r="F313" s="5" t="s">
        <v>59</v>
      </c>
      <c r="G313" s="5" t="s">
        <v>40</v>
      </c>
      <c r="H313" s="6">
        <v>45961</v>
      </c>
      <c r="I313" s="6">
        <v>45961</v>
      </c>
      <c r="J313" s="6">
        <v>45964</v>
      </c>
      <c r="K313" s="5" t="s">
        <v>135</v>
      </c>
      <c r="L313" s="5" t="s">
        <v>136</v>
      </c>
      <c r="M313" s="5" t="s">
        <v>43</v>
      </c>
      <c r="N313" s="5" t="s">
        <v>137</v>
      </c>
      <c r="O313" s="7">
        <v>484.6</v>
      </c>
      <c r="P313" s="5" t="s">
        <v>45</v>
      </c>
      <c r="Q313" s="7">
        <v>484.6</v>
      </c>
      <c r="R313" s="5" t="s">
        <v>45</v>
      </c>
      <c r="S313" s="7">
        <v>142.61000000000001</v>
      </c>
      <c r="T313" s="5" t="s">
        <v>46</v>
      </c>
      <c r="U313" s="5" t="s">
        <v>47</v>
      </c>
      <c r="V313" s="5" t="s">
        <v>47</v>
      </c>
      <c r="W313" s="5" t="s">
        <v>47</v>
      </c>
      <c r="X313" s="5" t="s">
        <v>47</v>
      </c>
    </row>
    <row r="314" spans="1:24" x14ac:dyDescent="0.25">
      <c r="A314" s="5" t="s">
        <v>34</v>
      </c>
      <c r="B314" s="5" t="s">
        <v>161</v>
      </c>
      <c r="C314" s="5" t="s">
        <v>162</v>
      </c>
      <c r="D314" s="5" t="s">
        <v>37</v>
      </c>
      <c r="E314" s="5" t="s">
        <v>118</v>
      </c>
      <c r="F314" s="5" t="s">
        <v>119</v>
      </c>
      <c r="G314" s="5" t="s">
        <v>40</v>
      </c>
      <c r="H314" s="6">
        <v>45961</v>
      </c>
      <c r="I314" s="6">
        <v>45961</v>
      </c>
      <c r="J314" s="6">
        <v>45964</v>
      </c>
      <c r="K314" s="5" t="s">
        <v>135</v>
      </c>
      <c r="L314" s="5" t="s">
        <v>136</v>
      </c>
      <c r="M314" s="5" t="s">
        <v>43</v>
      </c>
      <c r="N314" s="5" t="s">
        <v>137</v>
      </c>
      <c r="O314" s="7">
        <v>354.64</v>
      </c>
      <c r="P314" s="5" t="s">
        <v>45</v>
      </c>
      <c r="Q314" s="7">
        <v>354.64</v>
      </c>
      <c r="R314" s="5" t="s">
        <v>45</v>
      </c>
      <c r="S314" s="7">
        <v>104.37</v>
      </c>
      <c r="T314" s="5" t="s">
        <v>46</v>
      </c>
      <c r="U314" s="5" t="s">
        <v>47</v>
      </c>
      <c r="V314" s="5" t="s">
        <v>47</v>
      </c>
      <c r="W314" s="5" t="s">
        <v>47</v>
      </c>
      <c r="X314" s="5" t="s">
        <v>47</v>
      </c>
    </row>
    <row r="315" spans="1:24" x14ac:dyDescent="0.25">
      <c r="A315" s="5" t="s">
        <v>34</v>
      </c>
      <c r="B315" s="5" t="s">
        <v>161</v>
      </c>
      <c r="C315" s="5" t="s">
        <v>162</v>
      </c>
      <c r="D315" s="5" t="s">
        <v>37</v>
      </c>
      <c r="E315" s="5" t="s">
        <v>48</v>
      </c>
      <c r="F315" s="5" t="s">
        <v>49</v>
      </c>
      <c r="G315" s="5" t="s">
        <v>40</v>
      </c>
      <c r="H315" s="6">
        <v>45961</v>
      </c>
      <c r="I315" s="6">
        <v>45961</v>
      </c>
      <c r="J315" s="6">
        <v>45964</v>
      </c>
      <c r="K315" s="5" t="s">
        <v>135</v>
      </c>
      <c r="L315" s="5" t="s">
        <v>136</v>
      </c>
      <c r="M315" s="5" t="s">
        <v>43</v>
      </c>
      <c r="N315" s="5" t="s">
        <v>137</v>
      </c>
      <c r="O315" s="7">
        <v>4827.5</v>
      </c>
      <c r="P315" s="5" t="s">
        <v>45</v>
      </c>
      <c r="Q315" s="7">
        <v>4827.5</v>
      </c>
      <c r="R315" s="5" t="s">
        <v>45</v>
      </c>
      <c r="S315" s="7">
        <v>1420.69</v>
      </c>
      <c r="T315" s="5" t="s">
        <v>46</v>
      </c>
      <c r="U315" s="5" t="s">
        <v>47</v>
      </c>
      <c r="V315" s="5" t="s">
        <v>47</v>
      </c>
      <c r="W315" s="5" t="s">
        <v>47</v>
      </c>
      <c r="X315" s="5" t="s">
        <v>47</v>
      </c>
    </row>
    <row r="316" spans="1:24" x14ac:dyDescent="0.25">
      <c r="A316" s="5" t="s">
        <v>34</v>
      </c>
      <c r="B316" s="5" t="s">
        <v>161</v>
      </c>
      <c r="C316" s="5" t="s">
        <v>162</v>
      </c>
      <c r="D316" s="5" t="s">
        <v>37</v>
      </c>
      <c r="E316" s="5" t="s">
        <v>80</v>
      </c>
      <c r="F316" s="5" t="s">
        <v>81</v>
      </c>
      <c r="G316" s="5" t="s">
        <v>40</v>
      </c>
      <c r="H316" s="6">
        <v>45961</v>
      </c>
      <c r="I316" s="6">
        <v>45961</v>
      </c>
      <c r="J316" s="6">
        <v>45964</v>
      </c>
      <c r="K316" s="5" t="s">
        <v>135</v>
      </c>
      <c r="L316" s="5" t="s">
        <v>136</v>
      </c>
      <c r="M316" s="5" t="s">
        <v>43</v>
      </c>
      <c r="N316" s="5" t="s">
        <v>137</v>
      </c>
      <c r="O316" s="7">
        <v>1022.89</v>
      </c>
      <c r="P316" s="5" t="s">
        <v>45</v>
      </c>
      <c r="Q316" s="7">
        <v>1022.89</v>
      </c>
      <c r="R316" s="5" t="s">
        <v>45</v>
      </c>
      <c r="S316" s="7">
        <v>301.02999999999997</v>
      </c>
      <c r="T316" s="5" t="s">
        <v>46</v>
      </c>
      <c r="U316" s="5" t="s">
        <v>47</v>
      </c>
      <c r="V316" s="5" t="s">
        <v>47</v>
      </c>
      <c r="W316" s="5" t="s">
        <v>47</v>
      </c>
      <c r="X316" s="5" t="s">
        <v>47</v>
      </c>
    </row>
    <row r="317" spans="1:24" x14ac:dyDescent="0.25">
      <c r="A317" s="5" t="s">
        <v>34</v>
      </c>
      <c r="B317" s="5" t="s">
        <v>161</v>
      </c>
      <c r="C317" s="5" t="s">
        <v>162</v>
      </c>
      <c r="D317" s="5" t="s">
        <v>37</v>
      </c>
      <c r="E317" s="5" t="s">
        <v>60</v>
      </c>
      <c r="F317" s="5" t="s">
        <v>61</v>
      </c>
      <c r="G317" s="5" t="s">
        <v>40</v>
      </c>
      <c r="H317" s="6">
        <v>45961</v>
      </c>
      <c r="I317" s="6">
        <v>45961</v>
      </c>
      <c r="J317" s="6">
        <v>45964</v>
      </c>
      <c r="K317" s="5" t="s">
        <v>135</v>
      </c>
      <c r="L317" s="5" t="s">
        <v>136</v>
      </c>
      <c r="M317" s="5" t="s">
        <v>43</v>
      </c>
      <c r="N317" s="5" t="s">
        <v>137</v>
      </c>
      <c r="O317" s="7">
        <v>322.51</v>
      </c>
      <c r="P317" s="5" t="s">
        <v>45</v>
      </c>
      <c r="Q317" s="7">
        <v>322.51</v>
      </c>
      <c r="R317" s="5" t="s">
        <v>45</v>
      </c>
      <c r="S317" s="7">
        <v>94.91</v>
      </c>
      <c r="T317" s="5" t="s">
        <v>46</v>
      </c>
      <c r="U317" s="5" t="s">
        <v>47</v>
      </c>
      <c r="V317" s="5" t="s">
        <v>47</v>
      </c>
      <c r="W317" s="5" t="s">
        <v>47</v>
      </c>
      <c r="X317" s="5" t="s">
        <v>47</v>
      </c>
    </row>
    <row r="318" spans="1:24" x14ac:dyDescent="0.25">
      <c r="A318" s="5" t="s">
        <v>34</v>
      </c>
      <c r="B318" s="5" t="s">
        <v>161</v>
      </c>
      <c r="C318" s="5" t="s">
        <v>162</v>
      </c>
      <c r="D318" s="5" t="s">
        <v>37</v>
      </c>
      <c r="E318" s="5" t="s">
        <v>74</v>
      </c>
      <c r="F318" s="5" t="s">
        <v>75</v>
      </c>
      <c r="G318" s="5" t="s">
        <v>40</v>
      </c>
      <c r="H318" s="6">
        <v>45961</v>
      </c>
      <c r="I318" s="6">
        <v>45961</v>
      </c>
      <c r="J318" s="6">
        <v>45964</v>
      </c>
      <c r="K318" s="5" t="s">
        <v>135</v>
      </c>
      <c r="L318" s="5" t="s">
        <v>136</v>
      </c>
      <c r="M318" s="5" t="s">
        <v>43</v>
      </c>
      <c r="N318" s="5" t="s">
        <v>137</v>
      </c>
      <c r="O318" s="7">
        <v>13678.31</v>
      </c>
      <c r="P318" s="5" t="s">
        <v>45</v>
      </c>
      <c r="Q318" s="7">
        <v>13678.31</v>
      </c>
      <c r="R318" s="5" t="s">
        <v>45</v>
      </c>
      <c r="S318" s="7">
        <v>4025.4</v>
      </c>
      <c r="T318" s="5" t="s">
        <v>46</v>
      </c>
      <c r="U318" s="5" t="s">
        <v>47</v>
      </c>
      <c r="V318" s="5" t="s">
        <v>47</v>
      </c>
      <c r="W318" s="5" t="s">
        <v>47</v>
      </c>
      <c r="X318" s="5" t="s">
        <v>47</v>
      </c>
    </row>
    <row r="319" spans="1:24" x14ac:dyDescent="0.25">
      <c r="A319" s="5" t="s">
        <v>34</v>
      </c>
      <c r="B319" s="5" t="s">
        <v>161</v>
      </c>
      <c r="C319" s="5" t="s">
        <v>162</v>
      </c>
      <c r="D319" s="5" t="s">
        <v>37</v>
      </c>
      <c r="E319" s="5" t="s">
        <v>68</v>
      </c>
      <c r="F319" s="5" t="s">
        <v>69</v>
      </c>
      <c r="G319" s="5" t="s">
        <v>40</v>
      </c>
      <c r="H319" s="6">
        <v>45961</v>
      </c>
      <c r="I319" s="6">
        <v>45961</v>
      </c>
      <c r="J319" s="6">
        <v>45964</v>
      </c>
      <c r="K319" s="5" t="s">
        <v>135</v>
      </c>
      <c r="L319" s="5" t="s">
        <v>136</v>
      </c>
      <c r="M319" s="5" t="s">
        <v>43</v>
      </c>
      <c r="N319" s="5" t="s">
        <v>137</v>
      </c>
      <c r="O319" s="7">
        <v>3375.39</v>
      </c>
      <c r="P319" s="5" t="s">
        <v>45</v>
      </c>
      <c r="Q319" s="7">
        <v>3375.39</v>
      </c>
      <c r="R319" s="5" t="s">
        <v>45</v>
      </c>
      <c r="S319" s="7">
        <v>993.35</v>
      </c>
      <c r="T319" s="5" t="s">
        <v>46</v>
      </c>
      <c r="U319" s="5" t="s">
        <v>47</v>
      </c>
      <c r="V319" s="5" t="s">
        <v>47</v>
      </c>
      <c r="W319" s="5" t="s">
        <v>47</v>
      </c>
      <c r="X319" s="5" t="s">
        <v>47</v>
      </c>
    </row>
    <row r="320" spans="1:24" x14ac:dyDescent="0.25">
      <c r="A320" s="5" t="s">
        <v>34</v>
      </c>
      <c r="B320" s="5" t="s">
        <v>161</v>
      </c>
      <c r="C320" s="5" t="s">
        <v>162</v>
      </c>
      <c r="D320" s="5" t="s">
        <v>37</v>
      </c>
      <c r="E320" s="5" t="s">
        <v>64</v>
      </c>
      <c r="F320" s="5" t="s">
        <v>65</v>
      </c>
      <c r="G320" s="5" t="s">
        <v>40</v>
      </c>
      <c r="H320" s="6">
        <v>45961</v>
      </c>
      <c r="I320" s="6">
        <v>45961</v>
      </c>
      <c r="J320" s="6">
        <v>45964</v>
      </c>
      <c r="K320" s="5" t="s">
        <v>135</v>
      </c>
      <c r="L320" s="5" t="s">
        <v>136</v>
      </c>
      <c r="M320" s="5" t="s">
        <v>43</v>
      </c>
      <c r="N320" s="5" t="s">
        <v>137</v>
      </c>
      <c r="O320" s="7">
        <v>2519.89</v>
      </c>
      <c r="P320" s="5" t="s">
        <v>45</v>
      </c>
      <c r="Q320" s="7">
        <v>2519.89</v>
      </c>
      <c r="R320" s="5" t="s">
        <v>45</v>
      </c>
      <c r="S320" s="7">
        <v>741.58</v>
      </c>
      <c r="T320" s="5" t="s">
        <v>46</v>
      </c>
      <c r="U320" s="5" t="s">
        <v>47</v>
      </c>
      <c r="V320" s="5" t="s">
        <v>47</v>
      </c>
      <c r="W320" s="5" t="s">
        <v>47</v>
      </c>
      <c r="X320" s="5" t="s">
        <v>47</v>
      </c>
    </row>
    <row r="321" spans="1:24" x14ac:dyDescent="0.25">
      <c r="A321" s="5" t="s">
        <v>34</v>
      </c>
      <c r="B321" s="5" t="s">
        <v>161</v>
      </c>
      <c r="C321" s="5" t="s">
        <v>162</v>
      </c>
      <c r="D321" s="5" t="s">
        <v>37</v>
      </c>
      <c r="E321" s="5" t="s">
        <v>92</v>
      </c>
      <c r="F321" s="5" t="s">
        <v>93</v>
      </c>
      <c r="G321" s="5" t="s">
        <v>40</v>
      </c>
      <c r="H321" s="6">
        <v>45961</v>
      </c>
      <c r="I321" s="6">
        <v>45961</v>
      </c>
      <c r="J321" s="6">
        <v>45964</v>
      </c>
      <c r="K321" s="5" t="s">
        <v>135</v>
      </c>
      <c r="L321" s="5" t="s">
        <v>136</v>
      </c>
      <c r="M321" s="5" t="s">
        <v>43</v>
      </c>
      <c r="N321" s="5" t="s">
        <v>137</v>
      </c>
      <c r="O321" s="7">
        <v>321.42</v>
      </c>
      <c r="P321" s="5" t="s">
        <v>45</v>
      </c>
      <c r="Q321" s="7">
        <v>321.42</v>
      </c>
      <c r="R321" s="5" t="s">
        <v>45</v>
      </c>
      <c r="S321" s="7">
        <v>94.59</v>
      </c>
      <c r="T321" s="5" t="s">
        <v>46</v>
      </c>
      <c r="U321" s="5" t="s">
        <v>47</v>
      </c>
      <c r="V321" s="5" t="s">
        <v>47</v>
      </c>
      <c r="W321" s="5" t="s">
        <v>47</v>
      </c>
      <c r="X321" s="5" t="s">
        <v>47</v>
      </c>
    </row>
    <row r="322" spans="1:24" x14ac:dyDescent="0.25">
      <c r="A322" s="5" t="s">
        <v>34</v>
      </c>
      <c r="B322" s="5" t="s">
        <v>161</v>
      </c>
      <c r="C322" s="5" t="s">
        <v>162</v>
      </c>
      <c r="D322" s="5" t="s">
        <v>37</v>
      </c>
      <c r="E322" s="5" t="s">
        <v>106</v>
      </c>
      <c r="F322" s="5" t="s">
        <v>107</v>
      </c>
      <c r="G322" s="5" t="s">
        <v>40</v>
      </c>
      <c r="H322" s="6">
        <v>45961</v>
      </c>
      <c r="I322" s="6">
        <v>45961</v>
      </c>
      <c r="J322" s="6">
        <v>45964</v>
      </c>
      <c r="K322" s="5" t="s">
        <v>135</v>
      </c>
      <c r="L322" s="5" t="s">
        <v>136</v>
      </c>
      <c r="M322" s="5" t="s">
        <v>43</v>
      </c>
      <c r="N322" s="5" t="s">
        <v>137</v>
      </c>
      <c r="O322" s="7">
        <v>162.22999999999999</v>
      </c>
      <c r="P322" s="5" t="s">
        <v>45</v>
      </c>
      <c r="Q322" s="7">
        <v>162.22999999999999</v>
      </c>
      <c r="R322" s="5" t="s">
        <v>45</v>
      </c>
      <c r="S322" s="7">
        <v>47.74</v>
      </c>
      <c r="T322" s="5" t="s">
        <v>46</v>
      </c>
      <c r="U322" s="5" t="s">
        <v>47</v>
      </c>
      <c r="V322" s="5" t="s">
        <v>47</v>
      </c>
      <c r="W322" s="5" t="s">
        <v>47</v>
      </c>
      <c r="X322" s="5" t="s">
        <v>47</v>
      </c>
    </row>
    <row r="323" spans="1:24" x14ac:dyDescent="0.25">
      <c r="A323" s="5" t="s">
        <v>34</v>
      </c>
      <c r="B323" s="5" t="s">
        <v>163</v>
      </c>
      <c r="C323" s="5" t="s">
        <v>164</v>
      </c>
      <c r="D323" s="5" t="s">
        <v>37</v>
      </c>
      <c r="E323" s="5" t="s">
        <v>74</v>
      </c>
      <c r="F323" s="5" t="s">
        <v>75</v>
      </c>
      <c r="G323" s="5" t="s">
        <v>40</v>
      </c>
      <c r="H323" s="6">
        <v>45961</v>
      </c>
      <c r="I323" s="6">
        <v>45961</v>
      </c>
      <c r="J323" s="6">
        <v>45964</v>
      </c>
      <c r="K323" s="5" t="s">
        <v>41</v>
      </c>
      <c r="L323" s="5" t="s">
        <v>42</v>
      </c>
      <c r="M323" s="5" t="s">
        <v>43</v>
      </c>
      <c r="N323" s="5" t="s">
        <v>44</v>
      </c>
      <c r="O323" s="7">
        <v>1292.54</v>
      </c>
      <c r="P323" s="5" t="s">
        <v>45</v>
      </c>
      <c r="Q323" s="7">
        <v>1292.54</v>
      </c>
      <c r="R323" s="5" t="s">
        <v>45</v>
      </c>
      <c r="S323" s="7">
        <v>380.38</v>
      </c>
      <c r="T323" s="5" t="s">
        <v>46</v>
      </c>
      <c r="U323" s="5" t="s">
        <v>47</v>
      </c>
      <c r="V323" s="5" t="s">
        <v>47</v>
      </c>
      <c r="W323" s="5" t="s">
        <v>47</v>
      </c>
      <c r="X323" s="5" t="s">
        <v>47</v>
      </c>
    </row>
    <row r="324" spans="1:24" x14ac:dyDescent="0.25">
      <c r="A324" s="5" t="s">
        <v>34</v>
      </c>
      <c r="B324" s="5" t="s">
        <v>163</v>
      </c>
      <c r="C324" s="5" t="s">
        <v>164</v>
      </c>
      <c r="D324" s="5" t="s">
        <v>37</v>
      </c>
      <c r="E324" s="5" t="s">
        <v>100</v>
      </c>
      <c r="F324" s="5" t="s">
        <v>101</v>
      </c>
      <c r="G324" s="5" t="s">
        <v>40</v>
      </c>
      <c r="H324" s="6">
        <v>45961</v>
      </c>
      <c r="I324" s="6">
        <v>45961</v>
      </c>
      <c r="J324" s="6">
        <v>45964</v>
      </c>
      <c r="K324" s="5" t="s">
        <v>41</v>
      </c>
      <c r="L324" s="5" t="s">
        <v>42</v>
      </c>
      <c r="M324" s="5" t="s">
        <v>43</v>
      </c>
      <c r="N324" s="5" t="s">
        <v>44</v>
      </c>
      <c r="O324" s="7">
        <v>810.85</v>
      </c>
      <c r="P324" s="5" t="s">
        <v>45</v>
      </c>
      <c r="Q324" s="7">
        <v>810.85</v>
      </c>
      <c r="R324" s="5" t="s">
        <v>45</v>
      </c>
      <c r="S324" s="7">
        <v>238.63</v>
      </c>
      <c r="T324" s="5" t="s">
        <v>46</v>
      </c>
      <c r="U324" s="5" t="s">
        <v>47</v>
      </c>
      <c r="V324" s="5" t="s">
        <v>47</v>
      </c>
      <c r="W324" s="5" t="s">
        <v>47</v>
      </c>
      <c r="X324" s="5" t="s">
        <v>47</v>
      </c>
    </row>
    <row r="325" spans="1:24" x14ac:dyDescent="0.25">
      <c r="A325" s="5" t="s">
        <v>34</v>
      </c>
      <c r="B325" s="5" t="s">
        <v>163</v>
      </c>
      <c r="C325" s="5" t="s">
        <v>164</v>
      </c>
      <c r="D325" s="5" t="s">
        <v>37</v>
      </c>
      <c r="E325" s="5" t="s">
        <v>60</v>
      </c>
      <c r="F325" s="5" t="s">
        <v>61</v>
      </c>
      <c r="G325" s="5" t="s">
        <v>40</v>
      </c>
      <c r="H325" s="6">
        <v>45961</v>
      </c>
      <c r="I325" s="6">
        <v>45961</v>
      </c>
      <c r="J325" s="6">
        <v>45964</v>
      </c>
      <c r="K325" s="5" t="s">
        <v>41</v>
      </c>
      <c r="L325" s="5" t="s">
        <v>42</v>
      </c>
      <c r="M325" s="5" t="s">
        <v>43</v>
      </c>
      <c r="N325" s="5" t="s">
        <v>44</v>
      </c>
      <c r="O325" s="7">
        <v>937.48</v>
      </c>
      <c r="P325" s="5" t="s">
        <v>45</v>
      </c>
      <c r="Q325" s="7">
        <v>937.48</v>
      </c>
      <c r="R325" s="5" t="s">
        <v>45</v>
      </c>
      <c r="S325" s="7">
        <v>275.89</v>
      </c>
      <c r="T325" s="5" t="s">
        <v>46</v>
      </c>
      <c r="U325" s="5" t="s">
        <v>47</v>
      </c>
      <c r="V325" s="5" t="s">
        <v>47</v>
      </c>
      <c r="W325" s="5" t="s">
        <v>47</v>
      </c>
      <c r="X325" s="5" t="s">
        <v>47</v>
      </c>
    </row>
    <row r="326" spans="1:24" x14ac:dyDescent="0.25">
      <c r="A326" s="5" t="s">
        <v>34</v>
      </c>
      <c r="B326" s="5" t="s">
        <v>163</v>
      </c>
      <c r="C326" s="5" t="s">
        <v>164</v>
      </c>
      <c r="D326" s="5" t="s">
        <v>37</v>
      </c>
      <c r="E326" s="5" t="s">
        <v>84</v>
      </c>
      <c r="F326" s="5" t="s">
        <v>85</v>
      </c>
      <c r="G326" s="5" t="s">
        <v>40</v>
      </c>
      <c r="H326" s="6">
        <v>45961</v>
      </c>
      <c r="I326" s="6">
        <v>45961</v>
      </c>
      <c r="J326" s="6">
        <v>45964</v>
      </c>
      <c r="K326" s="5" t="s">
        <v>41</v>
      </c>
      <c r="L326" s="5" t="s">
        <v>42</v>
      </c>
      <c r="M326" s="5" t="s">
        <v>43</v>
      </c>
      <c r="N326" s="5" t="s">
        <v>44</v>
      </c>
      <c r="O326" s="7">
        <v>815.05</v>
      </c>
      <c r="P326" s="5" t="s">
        <v>45</v>
      </c>
      <c r="Q326" s="7">
        <v>815.05</v>
      </c>
      <c r="R326" s="5" t="s">
        <v>45</v>
      </c>
      <c r="S326" s="7">
        <v>239.86</v>
      </c>
      <c r="T326" s="5" t="s">
        <v>46</v>
      </c>
      <c r="U326" s="5" t="s">
        <v>47</v>
      </c>
      <c r="V326" s="5" t="s">
        <v>47</v>
      </c>
      <c r="W326" s="5" t="s">
        <v>47</v>
      </c>
      <c r="X326" s="5" t="s">
        <v>47</v>
      </c>
    </row>
    <row r="327" spans="1:24" x14ac:dyDescent="0.25">
      <c r="A327" s="5" t="s">
        <v>34</v>
      </c>
      <c r="B327" s="5" t="s">
        <v>163</v>
      </c>
      <c r="C327" s="5" t="s">
        <v>164</v>
      </c>
      <c r="D327" s="5" t="s">
        <v>37</v>
      </c>
      <c r="E327" s="5" t="s">
        <v>56</v>
      </c>
      <c r="F327" s="5" t="s">
        <v>57</v>
      </c>
      <c r="G327" s="5" t="s">
        <v>40</v>
      </c>
      <c r="H327" s="6">
        <v>45961</v>
      </c>
      <c r="I327" s="6">
        <v>45961</v>
      </c>
      <c r="J327" s="6">
        <v>45964</v>
      </c>
      <c r="K327" s="5" t="s">
        <v>41</v>
      </c>
      <c r="L327" s="5" t="s">
        <v>42</v>
      </c>
      <c r="M327" s="5" t="s">
        <v>43</v>
      </c>
      <c r="N327" s="5" t="s">
        <v>44</v>
      </c>
      <c r="O327" s="7">
        <v>908.45</v>
      </c>
      <c r="P327" s="5" t="s">
        <v>45</v>
      </c>
      <c r="Q327" s="7">
        <v>908.45</v>
      </c>
      <c r="R327" s="5" t="s">
        <v>45</v>
      </c>
      <c r="S327" s="7">
        <v>267.35000000000002</v>
      </c>
      <c r="T327" s="5" t="s">
        <v>46</v>
      </c>
      <c r="U327" s="5" t="s">
        <v>47</v>
      </c>
      <c r="V327" s="5" t="s">
        <v>47</v>
      </c>
      <c r="W327" s="5" t="s">
        <v>47</v>
      </c>
      <c r="X327" s="5" t="s">
        <v>47</v>
      </c>
    </row>
    <row r="328" spans="1:24" x14ac:dyDescent="0.25">
      <c r="A328" s="5" t="s">
        <v>34</v>
      </c>
      <c r="B328" s="5" t="s">
        <v>165</v>
      </c>
      <c r="C328" s="5" t="s">
        <v>166</v>
      </c>
      <c r="D328" s="5" t="s">
        <v>37</v>
      </c>
      <c r="E328" s="5" t="s">
        <v>64</v>
      </c>
      <c r="F328" s="5" t="s">
        <v>65</v>
      </c>
      <c r="G328" s="5" t="s">
        <v>40</v>
      </c>
      <c r="H328" s="6">
        <v>45961</v>
      </c>
      <c r="I328" s="6">
        <v>45961</v>
      </c>
      <c r="J328" s="6">
        <v>45964</v>
      </c>
      <c r="K328" s="5" t="s">
        <v>167</v>
      </c>
      <c r="L328" s="5" t="s">
        <v>168</v>
      </c>
      <c r="M328" s="5" t="s">
        <v>43</v>
      </c>
      <c r="N328" s="5" t="s">
        <v>169</v>
      </c>
      <c r="O328" s="7">
        <v>424.12</v>
      </c>
      <c r="P328" s="5" t="s">
        <v>45</v>
      </c>
      <c r="Q328" s="7">
        <v>424.12</v>
      </c>
      <c r="R328" s="5" t="s">
        <v>45</v>
      </c>
      <c r="S328" s="7">
        <v>124.81</v>
      </c>
      <c r="T328" s="5" t="s">
        <v>46</v>
      </c>
      <c r="U328" s="5" t="s">
        <v>47</v>
      </c>
      <c r="V328" s="5" t="s">
        <v>47</v>
      </c>
      <c r="W328" s="5" t="s">
        <v>47</v>
      </c>
      <c r="X328" s="5" t="s">
        <v>47</v>
      </c>
    </row>
    <row r="329" spans="1:24" x14ac:dyDescent="0.25">
      <c r="A329" s="5" t="s">
        <v>34</v>
      </c>
      <c r="B329" s="5" t="s">
        <v>165</v>
      </c>
      <c r="C329" s="5" t="s">
        <v>166</v>
      </c>
      <c r="D329" s="5" t="s">
        <v>37</v>
      </c>
      <c r="E329" s="5" t="s">
        <v>116</v>
      </c>
      <c r="F329" s="5" t="s">
        <v>117</v>
      </c>
      <c r="G329" s="5" t="s">
        <v>40</v>
      </c>
      <c r="H329" s="6">
        <v>45961</v>
      </c>
      <c r="I329" s="6">
        <v>45961</v>
      </c>
      <c r="J329" s="6">
        <v>45964</v>
      </c>
      <c r="K329" s="5" t="s">
        <v>167</v>
      </c>
      <c r="L329" s="5" t="s">
        <v>168</v>
      </c>
      <c r="M329" s="5" t="s">
        <v>43</v>
      </c>
      <c r="N329" s="5" t="s">
        <v>169</v>
      </c>
      <c r="O329" s="7">
        <v>1163.28</v>
      </c>
      <c r="P329" s="5" t="s">
        <v>45</v>
      </c>
      <c r="Q329" s="7">
        <v>1163.28</v>
      </c>
      <c r="R329" s="5" t="s">
        <v>45</v>
      </c>
      <c r="S329" s="7">
        <v>342.34</v>
      </c>
      <c r="T329" s="5" t="s">
        <v>46</v>
      </c>
      <c r="U329" s="5" t="s">
        <v>47</v>
      </c>
      <c r="V329" s="5" t="s">
        <v>47</v>
      </c>
      <c r="W329" s="5" t="s">
        <v>47</v>
      </c>
      <c r="X329" s="5" t="s">
        <v>47</v>
      </c>
    </row>
    <row r="330" spans="1:24" x14ac:dyDescent="0.25">
      <c r="A330" s="5" t="s">
        <v>34</v>
      </c>
      <c r="B330" s="5" t="s">
        <v>165</v>
      </c>
      <c r="C330" s="5" t="s">
        <v>166</v>
      </c>
      <c r="D330" s="5" t="s">
        <v>37</v>
      </c>
      <c r="E330" s="5" t="s">
        <v>74</v>
      </c>
      <c r="F330" s="5" t="s">
        <v>75</v>
      </c>
      <c r="G330" s="5" t="s">
        <v>40</v>
      </c>
      <c r="H330" s="6">
        <v>45961</v>
      </c>
      <c r="I330" s="6">
        <v>45961</v>
      </c>
      <c r="J330" s="6">
        <v>45964</v>
      </c>
      <c r="K330" s="5" t="s">
        <v>167</v>
      </c>
      <c r="L330" s="5" t="s">
        <v>168</v>
      </c>
      <c r="M330" s="5" t="s">
        <v>43</v>
      </c>
      <c r="N330" s="5" t="s">
        <v>169</v>
      </c>
      <c r="O330" s="7">
        <v>3376.95</v>
      </c>
      <c r="P330" s="5" t="s">
        <v>45</v>
      </c>
      <c r="Q330" s="7">
        <v>3376.95</v>
      </c>
      <c r="R330" s="5" t="s">
        <v>45</v>
      </c>
      <c r="S330" s="7">
        <v>993.81</v>
      </c>
      <c r="T330" s="5" t="s">
        <v>46</v>
      </c>
      <c r="U330" s="5" t="s">
        <v>47</v>
      </c>
      <c r="V330" s="5" t="s">
        <v>47</v>
      </c>
      <c r="W330" s="5" t="s">
        <v>47</v>
      </c>
      <c r="X330" s="5" t="s">
        <v>47</v>
      </c>
    </row>
    <row r="331" spans="1:24" x14ac:dyDescent="0.25">
      <c r="A331" s="5" t="s">
        <v>34</v>
      </c>
      <c r="B331" s="5" t="s">
        <v>165</v>
      </c>
      <c r="C331" s="5" t="s">
        <v>166</v>
      </c>
      <c r="D331" s="5" t="s">
        <v>37</v>
      </c>
      <c r="E331" s="5" t="s">
        <v>106</v>
      </c>
      <c r="F331" s="5" t="s">
        <v>107</v>
      </c>
      <c r="G331" s="5" t="s">
        <v>40</v>
      </c>
      <c r="H331" s="6">
        <v>45961</v>
      </c>
      <c r="I331" s="6">
        <v>45961</v>
      </c>
      <c r="J331" s="6">
        <v>45964</v>
      </c>
      <c r="K331" s="5" t="s">
        <v>167</v>
      </c>
      <c r="L331" s="5" t="s">
        <v>168</v>
      </c>
      <c r="M331" s="5" t="s">
        <v>43</v>
      </c>
      <c r="N331" s="5" t="s">
        <v>169</v>
      </c>
      <c r="O331" s="7">
        <v>1022.78</v>
      </c>
      <c r="P331" s="5" t="s">
        <v>45</v>
      </c>
      <c r="Q331" s="7">
        <v>1022.78</v>
      </c>
      <c r="R331" s="5" t="s">
        <v>45</v>
      </c>
      <c r="S331" s="7">
        <v>300.99</v>
      </c>
      <c r="T331" s="5" t="s">
        <v>46</v>
      </c>
      <c r="U331" s="5" t="s">
        <v>47</v>
      </c>
      <c r="V331" s="5" t="s">
        <v>47</v>
      </c>
      <c r="W331" s="5" t="s">
        <v>47</v>
      </c>
      <c r="X331" s="5" t="s">
        <v>47</v>
      </c>
    </row>
    <row r="332" spans="1:24" x14ac:dyDescent="0.25">
      <c r="A332" s="5" t="s">
        <v>34</v>
      </c>
      <c r="B332" s="5" t="s">
        <v>165</v>
      </c>
      <c r="C332" s="5" t="s">
        <v>166</v>
      </c>
      <c r="D332" s="5" t="s">
        <v>37</v>
      </c>
      <c r="E332" s="5" t="s">
        <v>84</v>
      </c>
      <c r="F332" s="5" t="s">
        <v>85</v>
      </c>
      <c r="G332" s="5" t="s">
        <v>40</v>
      </c>
      <c r="H332" s="6">
        <v>45961</v>
      </c>
      <c r="I332" s="6">
        <v>45961</v>
      </c>
      <c r="J332" s="6">
        <v>45964</v>
      </c>
      <c r="K332" s="5" t="s">
        <v>167</v>
      </c>
      <c r="L332" s="5" t="s">
        <v>168</v>
      </c>
      <c r="M332" s="5" t="s">
        <v>43</v>
      </c>
      <c r="N332" s="5" t="s">
        <v>169</v>
      </c>
      <c r="O332" s="7">
        <v>2857.99</v>
      </c>
      <c r="P332" s="5" t="s">
        <v>45</v>
      </c>
      <c r="Q332" s="7">
        <v>2857.99</v>
      </c>
      <c r="R332" s="5" t="s">
        <v>45</v>
      </c>
      <c r="S332" s="7">
        <v>841.08</v>
      </c>
      <c r="T332" s="5" t="s">
        <v>46</v>
      </c>
      <c r="U332" s="5" t="s">
        <v>47</v>
      </c>
      <c r="V332" s="5" t="s">
        <v>47</v>
      </c>
      <c r="W332" s="5" t="s">
        <v>47</v>
      </c>
      <c r="X332" s="5" t="s">
        <v>47</v>
      </c>
    </row>
    <row r="333" spans="1:24" x14ac:dyDescent="0.25">
      <c r="A333" s="5" t="s">
        <v>34</v>
      </c>
      <c r="B333" s="5" t="s">
        <v>165</v>
      </c>
      <c r="C333" s="5" t="s">
        <v>166</v>
      </c>
      <c r="D333" s="5" t="s">
        <v>37</v>
      </c>
      <c r="E333" s="5" t="s">
        <v>72</v>
      </c>
      <c r="F333" s="5" t="s">
        <v>73</v>
      </c>
      <c r="G333" s="5" t="s">
        <v>40</v>
      </c>
      <c r="H333" s="6">
        <v>45961</v>
      </c>
      <c r="I333" s="6">
        <v>45961</v>
      </c>
      <c r="J333" s="6">
        <v>45964</v>
      </c>
      <c r="K333" s="5" t="s">
        <v>167</v>
      </c>
      <c r="L333" s="5" t="s">
        <v>168</v>
      </c>
      <c r="M333" s="5" t="s">
        <v>43</v>
      </c>
      <c r="N333" s="5" t="s">
        <v>169</v>
      </c>
      <c r="O333" s="7">
        <v>549.48</v>
      </c>
      <c r="P333" s="5" t="s">
        <v>45</v>
      </c>
      <c r="Q333" s="7">
        <v>549.48</v>
      </c>
      <c r="R333" s="5" t="s">
        <v>45</v>
      </c>
      <c r="S333" s="7">
        <v>161.71</v>
      </c>
      <c r="T333" s="5" t="s">
        <v>46</v>
      </c>
      <c r="U333" s="5" t="s">
        <v>47</v>
      </c>
      <c r="V333" s="5" t="s">
        <v>47</v>
      </c>
      <c r="W333" s="5" t="s">
        <v>47</v>
      </c>
      <c r="X333" s="5" t="s">
        <v>47</v>
      </c>
    </row>
    <row r="334" spans="1:24" x14ac:dyDescent="0.25">
      <c r="A334" s="5" t="s">
        <v>34</v>
      </c>
      <c r="B334" s="5" t="s">
        <v>165</v>
      </c>
      <c r="C334" s="5" t="s">
        <v>166</v>
      </c>
      <c r="D334" s="5" t="s">
        <v>37</v>
      </c>
      <c r="E334" s="5" t="s">
        <v>60</v>
      </c>
      <c r="F334" s="5" t="s">
        <v>61</v>
      </c>
      <c r="G334" s="5" t="s">
        <v>40</v>
      </c>
      <c r="H334" s="6">
        <v>45961</v>
      </c>
      <c r="I334" s="6">
        <v>45961</v>
      </c>
      <c r="J334" s="6">
        <v>45964</v>
      </c>
      <c r="K334" s="5" t="s">
        <v>167</v>
      </c>
      <c r="L334" s="5" t="s">
        <v>168</v>
      </c>
      <c r="M334" s="5" t="s">
        <v>43</v>
      </c>
      <c r="N334" s="5" t="s">
        <v>169</v>
      </c>
      <c r="O334" s="7">
        <v>6600.8</v>
      </c>
      <c r="P334" s="5" t="s">
        <v>45</v>
      </c>
      <c r="Q334" s="7">
        <v>6600.8</v>
      </c>
      <c r="R334" s="5" t="s">
        <v>45</v>
      </c>
      <c r="S334" s="7">
        <v>1942.55</v>
      </c>
      <c r="T334" s="5" t="s">
        <v>46</v>
      </c>
      <c r="U334" s="5" t="s">
        <v>47</v>
      </c>
      <c r="V334" s="5" t="s">
        <v>47</v>
      </c>
      <c r="W334" s="5" t="s">
        <v>47</v>
      </c>
      <c r="X334" s="5" t="s">
        <v>47</v>
      </c>
    </row>
    <row r="335" spans="1:24" x14ac:dyDescent="0.25">
      <c r="A335" s="5" t="s">
        <v>34</v>
      </c>
      <c r="B335" s="5" t="s">
        <v>165</v>
      </c>
      <c r="C335" s="5" t="s">
        <v>166</v>
      </c>
      <c r="D335" s="5" t="s">
        <v>37</v>
      </c>
      <c r="E335" s="5" t="s">
        <v>98</v>
      </c>
      <c r="F335" s="5" t="s">
        <v>99</v>
      </c>
      <c r="G335" s="5" t="s">
        <v>40</v>
      </c>
      <c r="H335" s="6">
        <v>45961</v>
      </c>
      <c r="I335" s="6">
        <v>45961</v>
      </c>
      <c r="J335" s="6">
        <v>45964</v>
      </c>
      <c r="K335" s="5" t="s">
        <v>167</v>
      </c>
      <c r="L335" s="5" t="s">
        <v>168</v>
      </c>
      <c r="M335" s="5" t="s">
        <v>43</v>
      </c>
      <c r="N335" s="5" t="s">
        <v>169</v>
      </c>
      <c r="O335" s="7">
        <v>2937.25</v>
      </c>
      <c r="P335" s="5" t="s">
        <v>45</v>
      </c>
      <c r="Q335" s="7">
        <v>2937.25</v>
      </c>
      <c r="R335" s="5" t="s">
        <v>45</v>
      </c>
      <c r="S335" s="7">
        <v>864.41</v>
      </c>
      <c r="T335" s="5" t="s">
        <v>46</v>
      </c>
      <c r="U335" s="5" t="s">
        <v>47</v>
      </c>
      <c r="V335" s="5" t="s">
        <v>47</v>
      </c>
      <c r="W335" s="5" t="s">
        <v>47</v>
      </c>
      <c r="X335" s="5" t="s">
        <v>47</v>
      </c>
    </row>
    <row r="336" spans="1:24" x14ac:dyDescent="0.25">
      <c r="A336" s="5" t="s">
        <v>34</v>
      </c>
      <c r="B336" s="5" t="s">
        <v>165</v>
      </c>
      <c r="C336" s="5" t="s">
        <v>166</v>
      </c>
      <c r="D336" s="5" t="s">
        <v>37</v>
      </c>
      <c r="E336" s="5" t="s">
        <v>38</v>
      </c>
      <c r="F336" s="5" t="s">
        <v>39</v>
      </c>
      <c r="G336" s="5" t="s">
        <v>40</v>
      </c>
      <c r="H336" s="6">
        <v>45961</v>
      </c>
      <c r="I336" s="6">
        <v>45961</v>
      </c>
      <c r="J336" s="6">
        <v>45964</v>
      </c>
      <c r="K336" s="5" t="s">
        <v>167</v>
      </c>
      <c r="L336" s="5" t="s">
        <v>168</v>
      </c>
      <c r="M336" s="5" t="s">
        <v>43</v>
      </c>
      <c r="N336" s="5" t="s">
        <v>169</v>
      </c>
      <c r="O336" s="7">
        <v>472.31</v>
      </c>
      <c r="P336" s="5" t="s">
        <v>45</v>
      </c>
      <c r="Q336" s="7">
        <v>472.31</v>
      </c>
      <c r="R336" s="5" t="s">
        <v>45</v>
      </c>
      <c r="S336" s="7">
        <v>139</v>
      </c>
      <c r="T336" s="5" t="s">
        <v>46</v>
      </c>
      <c r="U336" s="5" t="s">
        <v>47</v>
      </c>
      <c r="V336" s="5" t="s">
        <v>47</v>
      </c>
      <c r="W336" s="5" t="s">
        <v>47</v>
      </c>
      <c r="X336" s="5" t="s">
        <v>47</v>
      </c>
    </row>
    <row r="337" spans="1:24" x14ac:dyDescent="0.25">
      <c r="A337" s="5" t="s">
        <v>34</v>
      </c>
      <c r="B337" s="5" t="s">
        <v>165</v>
      </c>
      <c r="C337" s="5" t="s">
        <v>166</v>
      </c>
      <c r="D337" s="5" t="s">
        <v>37</v>
      </c>
      <c r="E337" s="5" t="s">
        <v>104</v>
      </c>
      <c r="F337" s="5" t="s">
        <v>105</v>
      </c>
      <c r="G337" s="5" t="s">
        <v>40</v>
      </c>
      <c r="H337" s="6">
        <v>45961</v>
      </c>
      <c r="I337" s="6">
        <v>45961</v>
      </c>
      <c r="J337" s="6">
        <v>45964</v>
      </c>
      <c r="K337" s="5" t="s">
        <v>167</v>
      </c>
      <c r="L337" s="5" t="s">
        <v>168</v>
      </c>
      <c r="M337" s="5" t="s">
        <v>43</v>
      </c>
      <c r="N337" s="5" t="s">
        <v>169</v>
      </c>
      <c r="O337" s="7">
        <v>3031.83</v>
      </c>
      <c r="P337" s="5" t="s">
        <v>45</v>
      </c>
      <c r="Q337" s="7">
        <v>3031.83</v>
      </c>
      <c r="R337" s="5" t="s">
        <v>45</v>
      </c>
      <c r="S337" s="7">
        <v>892.24</v>
      </c>
      <c r="T337" s="5" t="s">
        <v>46</v>
      </c>
      <c r="U337" s="5" t="s">
        <v>47</v>
      </c>
      <c r="V337" s="5" t="s">
        <v>47</v>
      </c>
      <c r="W337" s="5" t="s">
        <v>47</v>
      </c>
      <c r="X337" s="5" t="s">
        <v>47</v>
      </c>
    </row>
    <row r="338" spans="1:24" x14ac:dyDescent="0.25">
      <c r="A338" s="5" t="s">
        <v>34</v>
      </c>
      <c r="B338" s="5" t="s">
        <v>165</v>
      </c>
      <c r="C338" s="5" t="s">
        <v>166</v>
      </c>
      <c r="D338" s="5" t="s">
        <v>37</v>
      </c>
      <c r="E338" s="5" t="s">
        <v>90</v>
      </c>
      <c r="F338" s="5" t="s">
        <v>91</v>
      </c>
      <c r="G338" s="5" t="s">
        <v>40</v>
      </c>
      <c r="H338" s="6">
        <v>45961</v>
      </c>
      <c r="I338" s="6">
        <v>45961</v>
      </c>
      <c r="J338" s="6">
        <v>45964</v>
      </c>
      <c r="K338" s="5" t="s">
        <v>167</v>
      </c>
      <c r="L338" s="5" t="s">
        <v>168</v>
      </c>
      <c r="M338" s="5" t="s">
        <v>43</v>
      </c>
      <c r="N338" s="5" t="s">
        <v>169</v>
      </c>
      <c r="O338" s="7">
        <v>882.12</v>
      </c>
      <c r="P338" s="5" t="s">
        <v>45</v>
      </c>
      <c r="Q338" s="7">
        <v>882.12</v>
      </c>
      <c r="R338" s="5" t="s">
        <v>45</v>
      </c>
      <c r="S338" s="7">
        <v>259.60000000000002</v>
      </c>
      <c r="T338" s="5" t="s">
        <v>46</v>
      </c>
      <c r="U338" s="5" t="s">
        <v>47</v>
      </c>
      <c r="V338" s="5" t="s">
        <v>47</v>
      </c>
      <c r="W338" s="5" t="s">
        <v>47</v>
      </c>
      <c r="X338" s="5" t="s">
        <v>47</v>
      </c>
    </row>
    <row r="339" spans="1:24" x14ac:dyDescent="0.25">
      <c r="A339" s="5" t="s">
        <v>34</v>
      </c>
      <c r="B339" s="5" t="s">
        <v>165</v>
      </c>
      <c r="C339" s="5" t="s">
        <v>166</v>
      </c>
      <c r="D339" s="5" t="s">
        <v>37</v>
      </c>
      <c r="E339" s="5" t="s">
        <v>50</v>
      </c>
      <c r="F339" s="5" t="s">
        <v>51</v>
      </c>
      <c r="G339" s="5" t="s">
        <v>40</v>
      </c>
      <c r="H339" s="6">
        <v>45961</v>
      </c>
      <c r="I339" s="6">
        <v>45961</v>
      </c>
      <c r="J339" s="6">
        <v>45964</v>
      </c>
      <c r="K339" s="5" t="s">
        <v>167</v>
      </c>
      <c r="L339" s="5" t="s">
        <v>168</v>
      </c>
      <c r="M339" s="5" t="s">
        <v>43</v>
      </c>
      <c r="N339" s="5" t="s">
        <v>169</v>
      </c>
      <c r="O339" s="7">
        <v>1036.02</v>
      </c>
      <c r="P339" s="5" t="s">
        <v>45</v>
      </c>
      <c r="Q339" s="7">
        <v>1036.02</v>
      </c>
      <c r="R339" s="5" t="s">
        <v>45</v>
      </c>
      <c r="S339" s="7">
        <v>304.89</v>
      </c>
      <c r="T339" s="5" t="s">
        <v>46</v>
      </c>
      <c r="U339" s="5" t="s">
        <v>47</v>
      </c>
      <c r="V339" s="5" t="s">
        <v>47</v>
      </c>
      <c r="W339" s="5" t="s">
        <v>47</v>
      </c>
      <c r="X339" s="5" t="s">
        <v>47</v>
      </c>
    </row>
    <row r="340" spans="1:24" x14ac:dyDescent="0.25">
      <c r="A340" s="5" t="s">
        <v>34</v>
      </c>
      <c r="B340" s="5" t="s">
        <v>165</v>
      </c>
      <c r="C340" s="5" t="s">
        <v>166</v>
      </c>
      <c r="D340" s="5" t="s">
        <v>37</v>
      </c>
      <c r="E340" s="5" t="s">
        <v>48</v>
      </c>
      <c r="F340" s="5" t="s">
        <v>49</v>
      </c>
      <c r="G340" s="5" t="s">
        <v>40</v>
      </c>
      <c r="H340" s="6">
        <v>45961</v>
      </c>
      <c r="I340" s="6">
        <v>45961</v>
      </c>
      <c r="J340" s="6">
        <v>45964</v>
      </c>
      <c r="K340" s="5" t="s">
        <v>167</v>
      </c>
      <c r="L340" s="5" t="s">
        <v>168</v>
      </c>
      <c r="M340" s="5" t="s">
        <v>43</v>
      </c>
      <c r="N340" s="5" t="s">
        <v>169</v>
      </c>
      <c r="O340" s="7">
        <v>1152.4000000000001</v>
      </c>
      <c r="P340" s="5" t="s">
        <v>45</v>
      </c>
      <c r="Q340" s="7">
        <v>1152.4000000000001</v>
      </c>
      <c r="R340" s="5" t="s">
        <v>45</v>
      </c>
      <c r="S340" s="7">
        <v>339.14</v>
      </c>
      <c r="T340" s="5" t="s">
        <v>46</v>
      </c>
      <c r="U340" s="5" t="s">
        <v>47</v>
      </c>
      <c r="V340" s="5" t="s">
        <v>47</v>
      </c>
      <c r="W340" s="5" t="s">
        <v>47</v>
      </c>
      <c r="X340" s="5" t="s">
        <v>47</v>
      </c>
    </row>
    <row r="341" spans="1:24" x14ac:dyDescent="0.25">
      <c r="A341" s="5" t="s">
        <v>34</v>
      </c>
      <c r="B341" s="5" t="s">
        <v>165</v>
      </c>
      <c r="C341" s="5" t="s">
        <v>166</v>
      </c>
      <c r="D341" s="5" t="s">
        <v>37</v>
      </c>
      <c r="E341" s="5" t="s">
        <v>78</v>
      </c>
      <c r="F341" s="5" t="s">
        <v>79</v>
      </c>
      <c r="G341" s="5" t="s">
        <v>40</v>
      </c>
      <c r="H341" s="6">
        <v>45961</v>
      </c>
      <c r="I341" s="6">
        <v>45961</v>
      </c>
      <c r="J341" s="6">
        <v>45964</v>
      </c>
      <c r="K341" s="5" t="s">
        <v>167</v>
      </c>
      <c r="L341" s="5" t="s">
        <v>168</v>
      </c>
      <c r="M341" s="5" t="s">
        <v>43</v>
      </c>
      <c r="N341" s="5" t="s">
        <v>169</v>
      </c>
      <c r="O341" s="7">
        <v>444.9</v>
      </c>
      <c r="P341" s="5" t="s">
        <v>45</v>
      </c>
      <c r="Q341" s="7">
        <v>444.9</v>
      </c>
      <c r="R341" s="5" t="s">
        <v>45</v>
      </c>
      <c r="S341" s="7">
        <v>130.93</v>
      </c>
      <c r="T341" s="5" t="s">
        <v>46</v>
      </c>
      <c r="U341" s="5" t="s">
        <v>47</v>
      </c>
      <c r="V341" s="5" t="s">
        <v>47</v>
      </c>
      <c r="W341" s="5" t="s">
        <v>47</v>
      </c>
      <c r="X341" s="5" t="s">
        <v>47</v>
      </c>
    </row>
    <row r="342" spans="1:24" x14ac:dyDescent="0.25">
      <c r="A342" s="5" t="s">
        <v>34</v>
      </c>
      <c r="B342" s="5" t="s">
        <v>165</v>
      </c>
      <c r="C342" s="5" t="s">
        <v>166</v>
      </c>
      <c r="D342" s="5" t="s">
        <v>37</v>
      </c>
      <c r="E342" s="5" t="s">
        <v>110</v>
      </c>
      <c r="F342" s="5" t="s">
        <v>111</v>
      </c>
      <c r="G342" s="5" t="s">
        <v>40</v>
      </c>
      <c r="H342" s="6">
        <v>45961</v>
      </c>
      <c r="I342" s="6">
        <v>45961</v>
      </c>
      <c r="J342" s="6">
        <v>45964</v>
      </c>
      <c r="K342" s="5" t="s">
        <v>167</v>
      </c>
      <c r="L342" s="5" t="s">
        <v>168</v>
      </c>
      <c r="M342" s="5" t="s">
        <v>43</v>
      </c>
      <c r="N342" s="5" t="s">
        <v>169</v>
      </c>
      <c r="O342" s="7">
        <v>1088.44</v>
      </c>
      <c r="P342" s="5" t="s">
        <v>45</v>
      </c>
      <c r="Q342" s="7">
        <v>1088.44</v>
      </c>
      <c r="R342" s="5" t="s">
        <v>45</v>
      </c>
      <c r="S342" s="7">
        <v>320.32</v>
      </c>
      <c r="T342" s="5" t="s">
        <v>46</v>
      </c>
      <c r="U342" s="5" t="s">
        <v>47</v>
      </c>
      <c r="V342" s="5" t="s">
        <v>47</v>
      </c>
      <c r="W342" s="5" t="s">
        <v>47</v>
      </c>
      <c r="X342" s="5" t="s">
        <v>47</v>
      </c>
    </row>
    <row r="343" spans="1:24" x14ac:dyDescent="0.25">
      <c r="A343" s="5" t="s">
        <v>34</v>
      </c>
      <c r="B343" s="5" t="s">
        <v>165</v>
      </c>
      <c r="C343" s="5" t="s">
        <v>166</v>
      </c>
      <c r="D343" s="5" t="s">
        <v>37</v>
      </c>
      <c r="E343" s="5" t="s">
        <v>96</v>
      </c>
      <c r="F343" s="5" t="s">
        <v>97</v>
      </c>
      <c r="G343" s="5" t="s">
        <v>40</v>
      </c>
      <c r="H343" s="6">
        <v>45961</v>
      </c>
      <c r="I343" s="6">
        <v>45961</v>
      </c>
      <c r="J343" s="6">
        <v>45964</v>
      </c>
      <c r="K343" s="5" t="s">
        <v>167</v>
      </c>
      <c r="L343" s="5" t="s">
        <v>168</v>
      </c>
      <c r="M343" s="5" t="s">
        <v>43</v>
      </c>
      <c r="N343" s="5" t="s">
        <v>169</v>
      </c>
      <c r="O343" s="7">
        <v>4955.49</v>
      </c>
      <c r="P343" s="5" t="s">
        <v>45</v>
      </c>
      <c r="Q343" s="7">
        <v>4955.49</v>
      </c>
      <c r="R343" s="5" t="s">
        <v>45</v>
      </c>
      <c r="S343" s="7">
        <v>1458.35</v>
      </c>
      <c r="T343" s="5" t="s">
        <v>46</v>
      </c>
      <c r="U343" s="5" t="s">
        <v>47</v>
      </c>
      <c r="V343" s="5" t="s">
        <v>47</v>
      </c>
      <c r="W343" s="5" t="s">
        <v>47</v>
      </c>
      <c r="X343" s="5" t="s">
        <v>47</v>
      </c>
    </row>
    <row r="344" spans="1:24" x14ac:dyDescent="0.25">
      <c r="A344" s="5" t="s">
        <v>34</v>
      </c>
      <c r="B344" s="5" t="s">
        <v>165</v>
      </c>
      <c r="C344" s="5" t="s">
        <v>166</v>
      </c>
      <c r="D344" s="5" t="s">
        <v>37</v>
      </c>
      <c r="E344" s="5" t="s">
        <v>94</v>
      </c>
      <c r="F344" s="5" t="s">
        <v>95</v>
      </c>
      <c r="G344" s="5" t="s">
        <v>40</v>
      </c>
      <c r="H344" s="6">
        <v>45961</v>
      </c>
      <c r="I344" s="6">
        <v>45961</v>
      </c>
      <c r="J344" s="6">
        <v>45964</v>
      </c>
      <c r="K344" s="5" t="s">
        <v>167</v>
      </c>
      <c r="L344" s="5" t="s">
        <v>168</v>
      </c>
      <c r="M344" s="5" t="s">
        <v>43</v>
      </c>
      <c r="N344" s="5" t="s">
        <v>169</v>
      </c>
      <c r="O344" s="7">
        <v>8044.61</v>
      </c>
      <c r="P344" s="5" t="s">
        <v>45</v>
      </c>
      <c r="Q344" s="7">
        <v>8044.61</v>
      </c>
      <c r="R344" s="5" t="s">
        <v>45</v>
      </c>
      <c r="S344" s="7">
        <v>2367.4499999999998</v>
      </c>
      <c r="T344" s="5" t="s">
        <v>46</v>
      </c>
      <c r="U344" s="5" t="s">
        <v>47</v>
      </c>
      <c r="V344" s="5" t="s">
        <v>47</v>
      </c>
      <c r="W344" s="5" t="s">
        <v>47</v>
      </c>
      <c r="X344" s="5" t="s">
        <v>47</v>
      </c>
    </row>
    <row r="345" spans="1:24" x14ac:dyDescent="0.25">
      <c r="A345" s="5" t="s">
        <v>34</v>
      </c>
      <c r="B345" s="5" t="s">
        <v>165</v>
      </c>
      <c r="C345" s="5" t="s">
        <v>166</v>
      </c>
      <c r="D345" s="5" t="s">
        <v>37</v>
      </c>
      <c r="E345" s="5" t="s">
        <v>118</v>
      </c>
      <c r="F345" s="5" t="s">
        <v>119</v>
      </c>
      <c r="G345" s="5" t="s">
        <v>40</v>
      </c>
      <c r="H345" s="6">
        <v>45961</v>
      </c>
      <c r="I345" s="6">
        <v>45961</v>
      </c>
      <c r="J345" s="6">
        <v>45964</v>
      </c>
      <c r="K345" s="5" t="s">
        <v>167</v>
      </c>
      <c r="L345" s="5" t="s">
        <v>168</v>
      </c>
      <c r="M345" s="5" t="s">
        <v>43</v>
      </c>
      <c r="N345" s="5" t="s">
        <v>169</v>
      </c>
      <c r="O345" s="7">
        <v>469.28</v>
      </c>
      <c r="P345" s="5" t="s">
        <v>45</v>
      </c>
      <c r="Q345" s="7">
        <v>469.28</v>
      </c>
      <c r="R345" s="5" t="s">
        <v>45</v>
      </c>
      <c r="S345" s="7">
        <v>138.1</v>
      </c>
      <c r="T345" s="5" t="s">
        <v>46</v>
      </c>
      <c r="U345" s="5" t="s">
        <v>47</v>
      </c>
      <c r="V345" s="5" t="s">
        <v>47</v>
      </c>
      <c r="W345" s="5" t="s">
        <v>47</v>
      </c>
      <c r="X345" s="5" t="s">
        <v>47</v>
      </c>
    </row>
    <row r="346" spans="1:24" x14ac:dyDescent="0.25">
      <c r="A346" s="5" t="s">
        <v>34</v>
      </c>
      <c r="B346" s="5" t="s">
        <v>165</v>
      </c>
      <c r="C346" s="5" t="s">
        <v>166</v>
      </c>
      <c r="D346" s="5" t="s">
        <v>37</v>
      </c>
      <c r="E346" s="5" t="s">
        <v>102</v>
      </c>
      <c r="F346" s="5" t="s">
        <v>103</v>
      </c>
      <c r="G346" s="5" t="s">
        <v>40</v>
      </c>
      <c r="H346" s="6">
        <v>45961</v>
      </c>
      <c r="I346" s="6">
        <v>45961</v>
      </c>
      <c r="J346" s="6">
        <v>45964</v>
      </c>
      <c r="K346" s="5" t="s">
        <v>167</v>
      </c>
      <c r="L346" s="5" t="s">
        <v>168</v>
      </c>
      <c r="M346" s="5" t="s">
        <v>43</v>
      </c>
      <c r="N346" s="5" t="s">
        <v>169</v>
      </c>
      <c r="O346" s="7">
        <v>1551.83</v>
      </c>
      <c r="P346" s="5" t="s">
        <v>45</v>
      </c>
      <c r="Q346" s="7">
        <v>1551.83</v>
      </c>
      <c r="R346" s="5" t="s">
        <v>45</v>
      </c>
      <c r="S346" s="7">
        <v>456.69</v>
      </c>
      <c r="T346" s="5" t="s">
        <v>46</v>
      </c>
      <c r="U346" s="5" t="s">
        <v>47</v>
      </c>
      <c r="V346" s="5" t="s">
        <v>47</v>
      </c>
      <c r="W346" s="5" t="s">
        <v>47</v>
      </c>
      <c r="X346" s="5" t="s">
        <v>47</v>
      </c>
    </row>
    <row r="347" spans="1:24" x14ac:dyDescent="0.25">
      <c r="A347" s="5" t="s">
        <v>34</v>
      </c>
      <c r="B347" s="5" t="s">
        <v>165</v>
      </c>
      <c r="C347" s="5" t="s">
        <v>166</v>
      </c>
      <c r="D347" s="5" t="s">
        <v>37</v>
      </c>
      <c r="E347" s="5" t="s">
        <v>108</v>
      </c>
      <c r="F347" s="5" t="s">
        <v>109</v>
      </c>
      <c r="G347" s="5" t="s">
        <v>40</v>
      </c>
      <c r="H347" s="6">
        <v>45961</v>
      </c>
      <c r="I347" s="6">
        <v>45961</v>
      </c>
      <c r="J347" s="6">
        <v>45964</v>
      </c>
      <c r="K347" s="5" t="s">
        <v>167</v>
      </c>
      <c r="L347" s="5" t="s">
        <v>168</v>
      </c>
      <c r="M347" s="5" t="s">
        <v>43</v>
      </c>
      <c r="N347" s="5" t="s">
        <v>169</v>
      </c>
      <c r="O347" s="7">
        <v>1077.46</v>
      </c>
      <c r="P347" s="5" t="s">
        <v>45</v>
      </c>
      <c r="Q347" s="7">
        <v>1077.46</v>
      </c>
      <c r="R347" s="5" t="s">
        <v>45</v>
      </c>
      <c r="S347" s="7">
        <v>317.08999999999997</v>
      </c>
      <c r="T347" s="5" t="s">
        <v>46</v>
      </c>
      <c r="U347" s="5" t="s">
        <v>47</v>
      </c>
      <c r="V347" s="5" t="s">
        <v>47</v>
      </c>
      <c r="W347" s="5" t="s">
        <v>47</v>
      </c>
      <c r="X347" s="5" t="s">
        <v>47</v>
      </c>
    </row>
    <row r="348" spans="1:24" x14ac:dyDescent="0.25">
      <c r="A348" s="5" t="s">
        <v>34</v>
      </c>
      <c r="B348" s="5" t="s">
        <v>165</v>
      </c>
      <c r="C348" s="5" t="s">
        <v>166</v>
      </c>
      <c r="D348" s="5" t="s">
        <v>37</v>
      </c>
      <c r="E348" s="5" t="s">
        <v>52</v>
      </c>
      <c r="F348" s="5" t="s">
        <v>53</v>
      </c>
      <c r="G348" s="5" t="s">
        <v>40</v>
      </c>
      <c r="H348" s="6">
        <v>45961</v>
      </c>
      <c r="I348" s="6">
        <v>45961</v>
      </c>
      <c r="J348" s="6">
        <v>45964</v>
      </c>
      <c r="K348" s="5" t="s">
        <v>167</v>
      </c>
      <c r="L348" s="5" t="s">
        <v>168</v>
      </c>
      <c r="M348" s="5" t="s">
        <v>43</v>
      </c>
      <c r="N348" s="5" t="s">
        <v>169</v>
      </c>
      <c r="O348" s="7">
        <v>297.93</v>
      </c>
      <c r="P348" s="5" t="s">
        <v>45</v>
      </c>
      <c r="Q348" s="7">
        <v>297.93</v>
      </c>
      <c r="R348" s="5" t="s">
        <v>45</v>
      </c>
      <c r="S348" s="7">
        <v>87.68</v>
      </c>
      <c r="T348" s="5" t="s">
        <v>46</v>
      </c>
      <c r="U348" s="5" t="s">
        <v>47</v>
      </c>
      <c r="V348" s="5" t="s">
        <v>47</v>
      </c>
      <c r="W348" s="5" t="s">
        <v>47</v>
      </c>
      <c r="X348" s="5" t="s">
        <v>47</v>
      </c>
    </row>
    <row r="349" spans="1:24" x14ac:dyDescent="0.25">
      <c r="A349" s="5" t="s">
        <v>34</v>
      </c>
      <c r="B349" s="5" t="s">
        <v>165</v>
      </c>
      <c r="C349" s="5" t="s">
        <v>166</v>
      </c>
      <c r="D349" s="5" t="s">
        <v>37</v>
      </c>
      <c r="E349" s="5" t="s">
        <v>100</v>
      </c>
      <c r="F349" s="5" t="s">
        <v>101</v>
      </c>
      <c r="G349" s="5" t="s">
        <v>40</v>
      </c>
      <c r="H349" s="6">
        <v>45961</v>
      </c>
      <c r="I349" s="6">
        <v>45961</v>
      </c>
      <c r="J349" s="6">
        <v>45964</v>
      </c>
      <c r="K349" s="5" t="s">
        <v>167</v>
      </c>
      <c r="L349" s="5" t="s">
        <v>168</v>
      </c>
      <c r="M349" s="5" t="s">
        <v>43</v>
      </c>
      <c r="N349" s="5" t="s">
        <v>169</v>
      </c>
      <c r="O349" s="7">
        <v>1503.98</v>
      </c>
      <c r="P349" s="5" t="s">
        <v>45</v>
      </c>
      <c r="Q349" s="7">
        <v>1503.98</v>
      </c>
      <c r="R349" s="5" t="s">
        <v>45</v>
      </c>
      <c r="S349" s="7">
        <v>442.61</v>
      </c>
      <c r="T349" s="5" t="s">
        <v>46</v>
      </c>
      <c r="U349" s="5" t="s">
        <v>47</v>
      </c>
      <c r="V349" s="5" t="s">
        <v>47</v>
      </c>
      <c r="W349" s="5" t="s">
        <v>47</v>
      </c>
      <c r="X349" s="5" t="s">
        <v>47</v>
      </c>
    </row>
    <row r="350" spans="1:24" x14ac:dyDescent="0.25">
      <c r="A350" s="5" t="s">
        <v>34</v>
      </c>
      <c r="B350" s="5" t="s">
        <v>165</v>
      </c>
      <c r="C350" s="5" t="s">
        <v>166</v>
      </c>
      <c r="D350" s="5" t="s">
        <v>37</v>
      </c>
      <c r="E350" s="5" t="s">
        <v>88</v>
      </c>
      <c r="F350" s="5" t="s">
        <v>89</v>
      </c>
      <c r="G350" s="5" t="s">
        <v>40</v>
      </c>
      <c r="H350" s="6">
        <v>45961</v>
      </c>
      <c r="I350" s="6">
        <v>45961</v>
      </c>
      <c r="J350" s="6">
        <v>45964</v>
      </c>
      <c r="K350" s="5" t="s">
        <v>167</v>
      </c>
      <c r="L350" s="5" t="s">
        <v>168</v>
      </c>
      <c r="M350" s="5" t="s">
        <v>43</v>
      </c>
      <c r="N350" s="5" t="s">
        <v>169</v>
      </c>
      <c r="O350" s="7">
        <v>657.47</v>
      </c>
      <c r="P350" s="5" t="s">
        <v>45</v>
      </c>
      <c r="Q350" s="7">
        <v>657.47</v>
      </c>
      <c r="R350" s="5" t="s">
        <v>45</v>
      </c>
      <c r="S350" s="7">
        <v>193.49</v>
      </c>
      <c r="T350" s="5" t="s">
        <v>46</v>
      </c>
      <c r="U350" s="5" t="s">
        <v>47</v>
      </c>
      <c r="V350" s="5" t="s">
        <v>47</v>
      </c>
      <c r="W350" s="5" t="s">
        <v>47</v>
      </c>
      <c r="X350" s="5" t="s">
        <v>47</v>
      </c>
    </row>
    <row r="351" spans="1:24" x14ac:dyDescent="0.25">
      <c r="A351" s="5" t="s">
        <v>34</v>
      </c>
      <c r="B351" s="5" t="s">
        <v>165</v>
      </c>
      <c r="C351" s="5" t="s">
        <v>166</v>
      </c>
      <c r="D351" s="5" t="s">
        <v>37</v>
      </c>
      <c r="E351" s="5" t="s">
        <v>62</v>
      </c>
      <c r="F351" s="5" t="s">
        <v>63</v>
      </c>
      <c r="G351" s="5" t="s">
        <v>40</v>
      </c>
      <c r="H351" s="6">
        <v>45961</v>
      </c>
      <c r="I351" s="6">
        <v>45961</v>
      </c>
      <c r="J351" s="6">
        <v>45964</v>
      </c>
      <c r="K351" s="5" t="s">
        <v>167</v>
      </c>
      <c r="L351" s="5" t="s">
        <v>168</v>
      </c>
      <c r="M351" s="5" t="s">
        <v>43</v>
      </c>
      <c r="N351" s="5" t="s">
        <v>169</v>
      </c>
      <c r="O351" s="7">
        <v>581.89</v>
      </c>
      <c r="P351" s="5" t="s">
        <v>45</v>
      </c>
      <c r="Q351" s="7">
        <v>581.89</v>
      </c>
      <c r="R351" s="5" t="s">
        <v>45</v>
      </c>
      <c r="S351" s="7">
        <v>171.24</v>
      </c>
      <c r="T351" s="5" t="s">
        <v>46</v>
      </c>
      <c r="U351" s="5" t="s">
        <v>47</v>
      </c>
      <c r="V351" s="5" t="s">
        <v>47</v>
      </c>
      <c r="W351" s="5" t="s">
        <v>47</v>
      </c>
      <c r="X351" s="5" t="s">
        <v>47</v>
      </c>
    </row>
    <row r="352" spans="1:24" x14ac:dyDescent="0.25">
      <c r="A352" s="5" t="s">
        <v>34</v>
      </c>
      <c r="B352" s="5" t="s">
        <v>165</v>
      </c>
      <c r="C352" s="5" t="s">
        <v>166</v>
      </c>
      <c r="D352" s="5" t="s">
        <v>37</v>
      </c>
      <c r="E352" s="5" t="s">
        <v>92</v>
      </c>
      <c r="F352" s="5" t="s">
        <v>93</v>
      </c>
      <c r="G352" s="5" t="s">
        <v>40</v>
      </c>
      <c r="H352" s="6">
        <v>45961</v>
      </c>
      <c r="I352" s="6">
        <v>45961</v>
      </c>
      <c r="J352" s="6">
        <v>45964</v>
      </c>
      <c r="K352" s="5" t="s">
        <v>167</v>
      </c>
      <c r="L352" s="5" t="s">
        <v>168</v>
      </c>
      <c r="M352" s="5" t="s">
        <v>43</v>
      </c>
      <c r="N352" s="5" t="s">
        <v>169</v>
      </c>
      <c r="O352" s="7">
        <v>1108.17</v>
      </c>
      <c r="P352" s="5" t="s">
        <v>45</v>
      </c>
      <c r="Q352" s="7">
        <v>1108.17</v>
      </c>
      <c r="R352" s="5" t="s">
        <v>45</v>
      </c>
      <c r="S352" s="7">
        <v>326.12</v>
      </c>
      <c r="T352" s="5" t="s">
        <v>46</v>
      </c>
      <c r="U352" s="5" t="s">
        <v>47</v>
      </c>
      <c r="V352" s="5" t="s">
        <v>47</v>
      </c>
      <c r="W352" s="5" t="s">
        <v>47</v>
      </c>
      <c r="X352" s="5" t="s">
        <v>47</v>
      </c>
    </row>
    <row r="353" spans="1:24" x14ac:dyDescent="0.25">
      <c r="A353" s="5" t="s">
        <v>34</v>
      </c>
      <c r="B353" s="5" t="s">
        <v>165</v>
      </c>
      <c r="C353" s="5" t="s">
        <v>166</v>
      </c>
      <c r="D353" s="5" t="s">
        <v>37</v>
      </c>
      <c r="E353" s="5" t="s">
        <v>112</v>
      </c>
      <c r="F353" s="5" t="s">
        <v>113</v>
      </c>
      <c r="G353" s="5" t="s">
        <v>40</v>
      </c>
      <c r="H353" s="6">
        <v>45961</v>
      </c>
      <c r="I353" s="6">
        <v>45961</v>
      </c>
      <c r="J353" s="6">
        <v>45964</v>
      </c>
      <c r="K353" s="5" t="s">
        <v>167</v>
      </c>
      <c r="L353" s="5" t="s">
        <v>168</v>
      </c>
      <c r="M353" s="5" t="s">
        <v>43</v>
      </c>
      <c r="N353" s="5" t="s">
        <v>169</v>
      </c>
      <c r="O353" s="7">
        <v>421.68</v>
      </c>
      <c r="P353" s="5" t="s">
        <v>45</v>
      </c>
      <c r="Q353" s="7">
        <v>421.68</v>
      </c>
      <c r="R353" s="5" t="s">
        <v>45</v>
      </c>
      <c r="S353" s="7">
        <v>124.1</v>
      </c>
      <c r="T353" s="5" t="s">
        <v>46</v>
      </c>
      <c r="U353" s="5" t="s">
        <v>47</v>
      </c>
      <c r="V353" s="5" t="s">
        <v>47</v>
      </c>
      <c r="W353" s="5" t="s">
        <v>47</v>
      </c>
      <c r="X353" s="5" t="s">
        <v>47</v>
      </c>
    </row>
    <row r="354" spans="1:24" x14ac:dyDescent="0.25">
      <c r="A354" s="5" t="s">
        <v>34</v>
      </c>
      <c r="B354" s="5" t="s">
        <v>165</v>
      </c>
      <c r="C354" s="5" t="s">
        <v>166</v>
      </c>
      <c r="D354" s="5" t="s">
        <v>37</v>
      </c>
      <c r="E354" s="5" t="s">
        <v>70</v>
      </c>
      <c r="F354" s="5" t="s">
        <v>71</v>
      </c>
      <c r="G354" s="5" t="s">
        <v>40</v>
      </c>
      <c r="H354" s="6">
        <v>45961</v>
      </c>
      <c r="I354" s="6">
        <v>45961</v>
      </c>
      <c r="J354" s="6">
        <v>45964</v>
      </c>
      <c r="K354" s="5" t="s">
        <v>167</v>
      </c>
      <c r="L354" s="5" t="s">
        <v>168</v>
      </c>
      <c r="M354" s="5" t="s">
        <v>43</v>
      </c>
      <c r="N354" s="5" t="s">
        <v>169</v>
      </c>
      <c r="O354" s="7">
        <v>1096.3599999999999</v>
      </c>
      <c r="P354" s="5" t="s">
        <v>45</v>
      </c>
      <c r="Q354" s="7">
        <v>1096.3599999999999</v>
      </c>
      <c r="R354" s="5" t="s">
        <v>45</v>
      </c>
      <c r="S354" s="7">
        <v>322.64999999999998</v>
      </c>
      <c r="T354" s="5" t="s">
        <v>46</v>
      </c>
      <c r="U354" s="5" t="s">
        <v>47</v>
      </c>
      <c r="V354" s="5" t="s">
        <v>47</v>
      </c>
      <c r="W354" s="5" t="s">
        <v>47</v>
      </c>
      <c r="X354" s="5" t="s">
        <v>47</v>
      </c>
    </row>
    <row r="355" spans="1:24" x14ac:dyDescent="0.25">
      <c r="A355" s="5" t="s">
        <v>34</v>
      </c>
      <c r="B355" s="5" t="s">
        <v>165</v>
      </c>
      <c r="C355" s="5" t="s">
        <v>166</v>
      </c>
      <c r="D355" s="5" t="s">
        <v>37</v>
      </c>
      <c r="E355" s="5" t="s">
        <v>66</v>
      </c>
      <c r="F355" s="5" t="s">
        <v>67</v>
      </c>
      <c r="G355" s="5" t="s">
        <v>40</v>
      </c>
      <c r="H355" s="6">
        <v>45961</v>
      </c>
      <c r="I355" s="6">
        <v>45961</v>
      </c>
      <c r="J355" s="6">
        <v>45964</v>
      </c>
      <c r="K355" s="5" t="s">
        <v>167</v>
      </c>
      <c r="L355" s="5" t="s">
        <v>168</v>
      </c>
      <c r="M355" s="5" t="s">
        <v>43</v>
      </c>
      <c r="N355" s="5" t="s">
        <v>169</v>
      </c>
      <c r="O355" s="7">
        <v>2972.79</v>
      </c>
      <c r="P355" s="5" t="s">
        <v>45</v>
      </c>
      <c r="Q355" s="7">
        <v>2972.79</v>
      </c>
      <c r="R355" s="5" t="s">
        <v>45</v>
      </c>
      <c r="S355" s="7">
        <v>874.86</v>
      </c>
      <c r="T355" s="5" t="s">
        <v>46</v>
      </c>
      <c r="U355" s="5" t="s">
        <v>47</v>
      </c>
      <c r="V355" s="5" t="s">
        <v>47</v>
      </c>
      <c r="W355" s="5" t="s">
        <v>47</v>
      </c>
      <c r="X355" s="5" t="s">
        <v>47</v>
      </c>
    </row>
    <row r="356" spans="1:24" x14ac:dyDescent="0.25">
      <c r="A356" s="5" t="s">
        <v>34</v>
      </c>
      <c r="B356" s="5" t="s">
        <v>165</v>
      </c>
      <c r="C356" s="5" t="s">
        <v>166</v>
      </c>
      <c r="D356" s="5" t="s">
        <v>37</v>
      </c>
      <c r="E356" s="5" t="s">
        <v>122</v>
      </c>
      <c r="F356" s="5" t="s">
        <v>123</v>
      </c>
      <c r="G356" s="5" t="s">
        <v>40</v>
      </c>
      <c r="H356" s="6">
        <v>45961</v>
      </c>
      <c r="I356" s="6">
        <v>45961</v>
      </c>
      <c r="J356" s="6">
        <v>45964</v>
      </c>
      <c r="K356" s="5" t="s">
        <v>167</v>
      </c>
      <c r="L356" s="5" t="s">
        <v>168</v>
      </c>
      <c r="M356" s="5" t="s">
        <v>43</v>
      </c>
      <c r="N356" s="5" t="s">
        <v>169</v>
      </c>
      <c r="O356" s="7">
        <v>558.41</v>
      </c>
      <c r="P356" s="5" t="s">
        <v>45</v>
      </c>
      <c r="Q356" s="7">
        <v>558.41</v>
      </c>
      <c r="R356" s="5" t="s">
        <v>45</v>
      </c>
      <c r="S356" s="7">
        <v>164.33</v>
      </c>
      <c r="T356" s="5" t="s">
        <v>46</v>
      </c>
      <c r="U356" s="5" t="s">
        <v>47</v>
      </c>
      <c r="V356" s="5" t="s">
        <v>47</v>
      </c>
      <c r="W356" s="5" t="s">
        <v>47</v>
      </c>
      <c r="X356" s="5" t="s">
        <v>47</v>
      </c>
    </row>
    <row r="357" spans="1:24" x14ac:dyDescent="0.25">
      <c r="A357" s="5" t="s">
        <v>34</v>
      </c>
      <c r="B357" s="5" t="s">
        <v>165</v>
      </c>
      <c r="C357" s="5" t="s">
        <v>166</v>
      </c>
      <c r="D357" s="5" t="s">
        <v>37</v>
      </c>
      <c r="E357" s="5" t="s">
        <v>58</v>
      </c>
      <c r="F357" s="5" t="s">
        <v>59</v>
      </c>
      <c r="G357" s="5" t="s">
        <v>40</v>
      </c>
      <c r="H357" s="6">
        <v>45961</v>
      </c>
      <c r="I357" s="6">
        <v>45961</v>
      </c>
      <c r="J357" s="6">
        <v>45964</v>
      </c>
      <c r="K357" s="5" t="s">
        <v>167</v>
      </c>
      <c r="L357" s="5" t="s">
        <v>168</v>
      </c>
      <c r="M357" s="5" t="s">
        <v>43</v>
      </c>
      <c r="N357" s="5" t="s">
        <v>169</v>
      </c>
      <c r="O357" s="7">
        <v>4954.67</v>
      </c>
      <c r="P357" s="5" t="s">
        <v>45</v>
      </c>
      <c r="Q357" s="7">
        <v>4954.67</v>
      </c>
      <c r="R357" s="5" t="s">
        <v>45</v>
      </c>
      <c r="S357" s="7">
        <v>1458.11</v>
      </c>
      <c r="T357" s="5" t="s">
        <v>46</v>
      </c>
      <c r="U357" s="5" t="s">
        <v>47</v>
      </c>
      <c r="V357" s="5" t="s">
        <v>47</v>
      </c>
      <c r="W357" s="5" t="s">
        <v>47</v>
      </c>
      <c r="X357" s="5" t="s">
        <v>47</v>
      </c>
    </row>
    <row r="358" spans="1:24" x14ac:dyDescent="0.25">
      <c r="A358" s="5" t="s">
        <v>34</v>
      </c>
      <c r="B358" s="5" t="s">
        <v>165</v>
      </c>
      <c r="C358" s="5" t="s">
        <v>166</v>
      </c>
      <c r="D358" s="5" t="s">
        <v>37</v>
      </c>
      <c r="E358" s="5" t="s">
        <v>68</v>
      </c>
      <c r="F358" s="5" t="s">
        <v>69</v>
      </c>
      <c r="G358" s="5" t="s">
        <v>40</v>
      </c>
      <c r="H358" s="6">
        <v>45961</v>
      </c>
      <c r="I358" s="6">
        <v>45961</v>
      </c>
      <c r="J358" s="6">
        <v>45964</v>
      </c>
      <c r="K358" s="5" t="s">
        <v>167</v>
      </c>
      <c r="L358" s="5" t="s">
        <v>168</v>
      </c>
      <c r="M358" s="5" t="s">
        <v>43</v>
      </c>
      <c r="N358" s="5" t="s">
        <v>169</v>
      </c>
      <c r="O358" s="7">
        <v>604.23</v>
      </c>
      <c r="P358" s="5" t="s">
        <v>45</v>
      </c>
      <c r="Q358" s="7">
        <v>604.23</v>
      </c>
      <c r="R358" s="5" t="s">
        <v>45</v>
      </c>
      <c r="S358" s="7">
        <v>177.82</v>
      </c>
      <c r="T358" s="5" t="s">
        <v>46</v>
      </c>
      <c r="U358" s="5" t="s">
        <v>47</v>
      </c>
      <c r="V358" s="5" t="s">
        <v>47</v>
      </c>
      <c r="W358" s="5" t="s">
        <v>47</v>
      </c>
      <c r="X358" s="5" t="s">
        <v>47</v>
      </c>
    </row>
    <row r="359" spans="1:24" x14ac:dyDescent="0.25">
      <c r="A359" s="5" t="s">
        <v>34</v>
      </c>
      <c r="B359" s="5" t="s">
        <v>165</v>
      </c>
      <c r="C359" s="5" t="s">
        <v>166</v>
      </c>
      <c r="D359" s="5" t="s">
        <v>37</v>
      </c>
      <c r="E359" s="5" t="s">
        <v>82</v>
      </c>
      <c r="F359" s="5" t="s">
        <v>83</v>
      </c>
      <c r="G359" s="5" t="s">
        <v>40</v>
      </c>
      <c r="H359" s="6">
        <v>45961</v>
      </c>
      <c r="I359" s="6">
        <v>45961</v>
      </c>
      <c r="J359" s="6">
        <v>45964</v>
      </c>
      <c r="K359" s="5" t="s">
        <v>167</v>
      </c>
      <c r="L359" s="5" t="s">
        <v>168</v>
      </c>
      <c r="M359" s="5" t="s">
        <v>43</v>
      </c>
      <c r="N359" s="5" t="s">
        <v>169</v>
      </c>
      <c r="O359" s="7">
        <v>1037.8599999999999</v>
      </c>
      <c r="P359" s="5" t="s">
        <v>45</v>
      </c>
      <c r="Q359" s="7">
        <v>1037.8599999999999</v>
      </c>
      <c r="R359" s="5" t="s">
        <v>45</v>
      </c>
      <c r="S359" s="7">
        <v>305.43</v>
      </c>
      <c r="T359" s="5" t="s">
        <v>46</v>
      </c>
      <c r="U359" s="5" t="s">
        <v>47</v>
      </c>
      <c r="V359" s="5" t="s">
        <v>47</v>
      </c>
      <c r="W359" s="5" t="s">
        <v>47</v>
      </c>
      <c r="X359" s="5" t="s">
        <v>47</v>
      </c>
    </row>
    <row r="360" spans="1:24" x14ac:dyDescent="0.25">
      <c r="A360" s="5" t="s">
        <v>34</v>
      </c>
      <c r="B360" s="5" t="s">
        <v>165</v>
      </c>
      <c r="C360" s="5" t="s">
        <v>166</v>
      </c>
      <c r="D360" s="5" t="s">
        <v>37</v>
      </c>
      <c r="E360" s="5" t="s">
        <v>80</v>
      </c>
      <c r="F360" s="5" t="s">
        <v>81</v>
      </c>
      <c r="G360" s="5" t="s">
        <v>40</v>
      </c>
      <c r="H360" s="6">
        <v>45961</v>
      </c>
      <c r="I360" s="6">
        <v>45961</v>
      </c>
      <c r="J360" s="6">
        <v>45964</v>
      </c>
      <c r="K360" s="5" t="s">
        <v>167</v>
      </c>
      <c r="L360" s="5" t="s">
        <v>168</v>
      </c>
      <c r="M360" s="5" t="s">
        <v>43</v>
      </c>
      <c r="N360" s="5" t="s">
        <v>169</v>
      </c>
      <c r="O360" s="7">
        <v>1012.38</v>
      </c>
      <c r="P360" s="5" t="s">
        <v>45</v>
      </c>
      <c r="Q360" s="7">
        <v>1012.38</v>
      </c>
      <c r="R360" s="5" t="s">
        <v>45</v>
      </c>
      <c r="S360" s="7">
        <v>297.93</v>
      </c>
      <c r="T360" s="5" t="s">
        <v>46</v>
      </c>
      <c r="U360" s="5" t="s">
        <v>47</v>
      </c>
      <c r="V360" s="5" t="s">
        <v>47</v>
      </c>
      <c r="W360" s="5" t="s">
        <v>47</v>
      </c>
      <c r="X360" s="5" t="s">
        <v>47</v>
      </c>
    </row>
    <row r="361" spans="1:24" x14ac:dyDescent="0.25">
      <c r="A361" s="5" t="s">
        <v>34</v>
      </c>
      <c r="B361" s="5" t="s">
        <v>165</v>
      </c>
      <c r="C361" s="5" t="s">
        <v>166</v>
      </c>
      <c r="D361" s="5" t="s">
        <v>37</v>
      </c>
      <c r="E361" s="5" t="s">
        <v>76</v>
      </c>
      <c r="F361" s="5" t="s">
        <v>77</v>
      </c>
      <c r="G361" s="5" t="s">
        <v>40</v>
      </c>
      <c r="H361" s="6">
        <v>45961</v>
      </c>
      <c r="I361" s="6">
        <v>45961</v>
      </c>
      <c r="J361" s="6">
        <v>45964</v>
      </c>
      <c r="K361" s="5" t="s">
        <v>167</v>
      </c>
      <c r="L361" s="5" t="s">
        <v>168</v>
      </c>
      <c r="M361" s="5" t="s">
        <v>43</v>
      </c>
      <c r="N361" s="5" t="s">
        <v>169</v>
      </c>
      <c r="O361" s="7">
        <v>453.93</v>
      </c>
      <c r="P361" s="5" t="s">
        <v>45</v>
      </c>
      <c r="Q361" s="7">
        <v>453.93</v>
      </c>
      <c r="R361" s="5" t="s">
        <v>45</v>
      </c>
      <c r="S361" s="7">
        <v>133.59</v>
      </c>
      <c r="T361" s="5" t="s">
        <v>46</v>
      </c>
      <c r="U361" s="5" t="s">
        <v>47</v>
      </c>
      <c r="V361" s="5" t="s">
        <v>47</v>
      </c>
      <c r="W361" s="5" t="s">
        <v>47</v>
      </c>
      <c r="X361" s="5" t="s">
        <v>47</v>
      </c>
    </row>
    <row r="362" spans="1:24" x14ac:dyDescent="0.25">
      <c r="A362" s="5" t="s">
        <v>34</v>
      </c>
      <c r="B362" s="5" t="s">
        <v>165</v>
      </c>
      <c r="C362" s="5" t="s">
        <v>166</v>
      </c>
      <c r="D362" s="5" t="s">
        <v>37</v>
      </c>
      <c r="E362" s="5" t="s">
        <v>114</v>
      </c>
      <c r="F362" s="5" t="s">
        <v>115</v>
      </c>
      <c r="G362" s="5" t="s">
        <v>40</v>
      </c>
      <c r="H362" s="6">
        <v>45961</v>
      </c>
      <c r="I362" s="6">
        <v>45961</v>
      </c>
      <c r="J362" s="6">
        <v>45964</v>
      </c>
      <c r="K362" s="5" t="s">
        <v>167</v>
      </c>
      <c r="L362" s="5" t="s">
        <v>168</v>
      </c>
      <c r="M362" s="5" t="s">
        <v>43</v>
      </c>
      <c r="N362" s="5" t="s">
        <v>169</v>
      </c>
      <c r="O362" s="7">
        <v>3694.69</v>
      </c>
      <c r="P362" s="5" t="s">
        <v>45</v>
      </c>
      <c r="Q362" s="7">
        <v>3694.69</v>
      </c>
      <c r="R362" s="5" t="s">
        <v>45</v>
      </c>
      <c r="S362" s="7">
        <v>1087.31</v>
      </c>
      <c r="T362" s="5" t="s">
        <v>46</v>
      </c>
      <c r="U362" s="5" t="s">
        <v>47</v>
      </c>
      <c r="V362" s="5" t="s">
        <v>47</v>
      </c>
      <c r="W362" s="5" t="s">
        <v>47</v>
      </c>
      <c r="X362" s="5" t="s">
        <v>47</v>
      </c>
    </row>
    <row r="363" spans="1:24" x14ac:dyDescent="0.25">
      <c r="A363" s="5" t="s">
        <v>34</v>
      </c>
      <c r="B363" s="5" t="s">
        <v>165</v>
      </c>
      <c r="C363" s="5" t="s">
        <v>166</v>
      </c>
      <c r="D363" s="5" t="s">
        <v>37</v>
      </c>
      <c r="E363" s="5" t="s">
        <v>56</v>
      </c>
      <c r="F363" s="5" t="s">
        <v>57</v>
      </c>
      <c r="G363" s="5" t="s">
        <v>40</v>
      </c>
      <c r="H363" s="6">
        <v>45961</v>
      </c>
      <c r="I363" s="6">
        <v>45961</v>
      </c>
      <c r="J363" s="6">
        <v>45964</v>
      </c>
      <c r="K363" s="5" t="s">
        <v>167</v>
      </c>
      <c r="L363" s="5" t="s">
        <v>168</v>
      </c>
      <c r="M363" s="5" t="s">
        <v>43</v>
      </c>
      <c r="N363" s="5" t="s">
        <v>169</v>
      </c>
      <c r="O363" s="7">
        <v>5406.03</v>
      </c>
      <c r="P363" s="5" t="s">
        <v>45</v>
      </c>
      <c r="Q363" s="7">
        <v>5406.03</v>
      </c>
      <c r="R363" s="5" t="s">
        <v>45</v>
      </c>
      <c r="S363" s="7">
        <v>1590.94</v>
      </c>
      <c r="T363" s="5" t="s">
        <v>46</v>
      </c>
      <c r="U363" s="5" t="s">
        <v>47</v>
      </c>
      <c r="V363" s="5" t="s">
        <v>47</v>
      </c>
      <c r="W363" s="5" t="s">
        <v>47</v>
      </c>
      <c r="X363" s="5" t="s">
        <v>47</v>
      </c>
    </row>
    <row r="364" spans="1:24" x14ac:dyDescent="0.25">
      <c r="A364" s="5" t="s">
        <v>34</v>
      </c>
      <c r="B364" s="5" t="s">
        <v>165</v>
      </c>
      <c r="C364" s="5" t="s">
        <v>166</v>
      </c>
      <c r="D364" s="5" t="s">
        <v>37</v>
      </c>
      <c r="E364" s="5" t="s">
        <v>86</v>
      </c>
      <c r="F364" s="5" t="s">
        <v>87</v>
      </c>
      <c r="G364" s="5" t="s">
        <v>40</v>
      </c>
      <c r="H364" s="6">
        <v>45961</v>
      </c>
      <c r="I364" s="6">
        <v>45961</v>
      </c>
      <c r="J364" s="6">
        <v>45964</v>
      </c>
      <c r="K364" s="5" t="s">
        <v>167</v>
      </c>
      <c r="L364" s="5" t="s">
        <v>168</v>
      </c>
      <c r="M364" s="5" t="s">
        <v>43</v>
      </c>
      <c r="N364" s="5" t="s">
        <v>169</v>
      </c>
      <c r="O364" s="7">
        <v>1203.17</v>
      </c>
      <c r="P364" s="5" t="s">
        <v>45</v>
      </c>
      <c r="Q364" s="7">
        <v>1203.17</v>
      </c>
      <c r="R364" s="5" t="s">
        <v>45</v>
      </c>
      <c r="S364" s="7">
        <v>354.08</v>
      </c>
      <c r="T364" s="5" t="s">
        <v>46</v>
      </c>
      <c r="U364" s="5" t="s">
        <v>47</v>
      </c>
      <c r="V364" s="5" t="s">
        <v>47</v>
      </c>
      <c r="W364" s="5" t="s">
        <v>47</v>
      </c>
      <c r="X364" s="5" t="s">
        <v>47</v>
      </c>
    </row>
    <row r="365" spans="1:24" x14ac:dyDescent="0.25">
      <c r="A365" s="5" t="s">
        <v>34</v>
      </c>
      <c r="B365" s="5" t="s">
        <v>165</v>
      </c>
      <c r="C365" s="5" t="s">
        <v>166</v>
      </c>
      <c r="D365" s="5" t="s">
        <v>37</v>
      </c>
      <c r="E365" s="5" t="s">
        <v>54</v>
      </c>
      <c r="F365" s="5" t="s">
        <v>55</v>
      </c>
      <c r="G365" s="5" t="s">
        <v>40</v>
      </c>
      <c r="H365" s="6">
        <v>45961</v>
      </c>
      <c r="I365" s="6">
        <v>45961</v>
      </c>
      <c r="J365" s="6">
        <v>45964</v>
      </c>
      <c r="K365" s="5" t="s">
        <v>167</v>
      </c>
      <c r="L365" s="5" t="s">
        <v>168</v>
      </c>
      <c r="M365" s="5" t="s">
        <v>43</v>
      </c>
      <c r="N365" s="5" t="s">
        <v>169</v>
      </c>
      <c r="O365" s="7">
        <v>699.91</v>
      </c>
      <c r="P365" s="5" t="s">
        <v>45</v>
      </c>
      <c r="Q365" s="7">
        <v>699.91</v>
      </c>
      <c r="R365" s="5" t="s">
        <v>45</v>
      </c>
      <c r="S365" s="7">
        <v>205.98</v>
      </c>
      <c r="T365" s="5" t="s">
        <v>46</v>
      </c>
      <c r="U365" s="5" t="s">
        <v>47</v>
      </c>
      <c r="V365" s="5" t="s">
        <v>47</v>
      </c>
      <c r="W365" s="5" t="s">
        <v>47</v>
      </c>
      <c r="X365" s="5" t="s">
        <v>47</v>
      </c>
    </row>
    <row r="366" spans="1:24" x14ac:dyDescent="0.25">
      <c r="A366" s="5" t="s">
        <v>34</v>
      </c>
      <c r="B366" s="5" t="s">
        <v>170</v>
      </c>
      <c r="C366" s="5" t="s">
        <v>171</v>
      </c>
      <c r="D366" s="5" t="s">
        <v>37</v>
      </c>
      <c r="E366" s="5" t="s">
        <v>118</v>
      </c>
      <c r="F366" s="5" t="s">
        <v>119</v>
      </c>
      <c r="G366" s="5" t="s">
        <v>40</v>
      </c>
      <c r="H366" s="6">
        <v>45961</v>
      </c>
      <c r="I366" s="6">
        <v>45961</v>
      </c>
      <c r="J366" s="6">
        <v>45964</v>
      </c>
      <c r="K366" s="5" t="s">
        <v>172</v>
      </c>
      <c r="L366" s="5" t="s">
        <v>173</v>
      </c>
      <c r="M366" s="5" t="s">
        <v>43</v>
      </c>
      <c r="N366" s="5" t="s">
        <v>174</v>
      </c>
      <c r="O366" s="7">
        <v>11165.4</v>
      </c>
      <c r="P366" s="5" t="s">
        <v>45</v>
      </c>
      <c r="Q366" s="7">
        <v>11165.4</v>
      </c>
      <c r="R366" s="5" t="s">
        <v>45</v>
      </c>
      <c r="S366" s="7">
        <v>3285.87</v>
      </c>
      <c r="T366" s="5" t="s">
        <v>46</v>
      </c>
      <c r="U366" s="5" t="s">
        <v>47</v>
      </c>
      <c r="V366" s="5" t="s">
        <v>47</v>
      </c>
      <c r="W366" s="5" t="s">
        <v>47</v>
      </c>
      <c r="X366" s="5" t="s">
        <v>47</v>
      </c>
    </row>
    <row r="367" spans="1:24" x14ac:dyDescent="0.25">
      <c r="A367" s="5" t="s">
        <v>34</v>
      </c>
      <c r="B367" s="5" t="s">
        <v>170</v>
      </c>
      <c r="C367" s="5" t="s">
        <v>171</v>
      </c>
      <c r="D367" s="5" t="s">
        <v>37</v>
      </c>
      <c r="E367" s="5" t="s">
        <v>52</v>
      </c>
      <c r="F367" s="5" t="s">
        <v>53</v>
      </c>
      <c r="G367" s="5" t="s">
        <v>40</v>
      </c>
      <c r="H367" s="6">
        <v>45961</v>
      </c>
      <c r="I367" s="6">
        <v>45961</v>
      </c>
      <c r="J367" s="6">
        <v>45964</v>
      </c>
      <c r="K367" s="5" t="s">
        <v>172</v>
      </c>
      <c r="L367" s="5" t="s">
        <v>173</v>
      </c>
      <c r="M367" s="5" t="s">
        <v>43</v>
      </c>
      <c r="N367" s="5" t="s">
        <v>174</v>
      </c>
      <c r="O367" s="7">
        <v>918.4</v>
      </c>
      <c r="P367" s="5" t="s">
        <v>45</v>
      </c>
      <c r="Q367" s="7">
        <v>918.4</v>
      </c>
      <c r="R367" s="5" t="s">
        <v>45</v>
      </c>
      <c r="S367" s="7">
        <v>270.27999999999997</v>
      </c>
      <c r="T367" s="5" t="s">
        <v>46</v>
      </c>
      <c r="U367" s="5" t="s">
        <v>47</v>
      </c>
      <c r="V367" s="5" t="s">
        <v>47</v>
      </c>
      <c r="W367" s="5" t="s">
        <v>47</v>
      </c>
      <c r="X367" s="5" t="s">
        <v>47</v>
      </c>
    </row>
    <row r="368" spans="1:24" x14ac:dyDescent="0.25">
      <c r="A368" s="5" t="s">
        <v>34</v>
      </c>
      <c r="B368" s="5" t="s">
        <v>170</v>
      </c>
      <c r="C368" s="5" t="s">
        <v>171</v>
      </c>
      <c r="D368" s="5" t="s">
        <v>37</v>
      </c>
      <c r="E368" s="5" t="s">
        <v>82</v>
      </c>
      <c r="F368" s="5" t="s">
        <v>83</v>
      </c>
      <c r="G368" s="5" t="s">
        <v>40</v>
      </c>
      <c r="H368" s="6">
        <v>45961</v>
      </c>
      <c r="I368" s="6">
        <v>45961</v>
      </c>
      <c r="J368" s="6">
        <v>45964</v>
      </c>
      <c r="K368" s="5" t="s">
        <v>172</v>
      </c>
      <c r="L368" s="5" t="s">
        <v>173</v>
      </c>
      <c r="M368" s="5" t="s">
        <v>43</v>
      </c>
      <c r="N368" s="5" t="s">
        <v>174</v>
      </c>
      <c r="O368" s="7">
        <v>16363.42</v>
      </c>
      <c r="P368" s="5" t="s">
        <v>45</v>
      </c>
      <c r="Q368" s="7">
        <v>16363.42</v>
      </c>
      <c r="R368" s="5" t="s">
        <v>45</v>
      </c>
      <c r="S368" s="7">
        <v>4815.6000000000004</v>
      </c>
      <c r="T368" s="5" t="s">
        <v>46</v>
      </c>
      <c r="U368" s="5" t="s">
        <v>47</v>
      </c>
      <c r="V368" s="5" t="s">
        <v>47</v>
      </c>
      <c r="W368" s="5" t="s">
        <v>47</v>
      </c>
      <c r="X368" s="5" t="s">
        <v>47</v>
      </c>
    </row>
    <row r="369" spans="1:24" x14ac:dyDescent="0.25">
      <c r="A369" s="5" t="s">
        <v>34</v>
      </c>
      <c r="B369" s="5" t="s">
        <v>170</v>
      </c>
      <c r="C369" s="5" t="s">
        <v>171</v>
      </c>
      <c r="D369" s="5" t="s">
        <v>37</v>
      </c>
      <c r="E369" s="5" t="s">
        <v>74</v>
      </c>
      <c r="F369" s="5" t="s">
        <v>75</v>
      </c>
      <c r="G369" s="5" t="s">
        <v>40</v>
      </c>
      <c r="H369" s="6">
        <v>45961</v>
      </c>
      <c r="I369" s="6">
        <v>45961</v>
      </c>
      <c r="J369" s="6">
        <v>45964</v>
      </c>
      <c r="K369" s="5" t="s">
        <v>172</v>
      </c>
      <c r="L369" s="5" t="s">
        <v>173</v>
      </c>
      <c r="M369" s="5" t="s">
        <v>43</v>
      </c>
      <c r="N369" s="5" t="s">
        <v>174</v>
      </c>
      <c r="O369" s="7">
        <v>107419.24</v>
      </c>
      <c r="P369" s="5" t="s">
        <v>45</v>
      </c>
      <c r="Q369" s="7">
        <v>107419.24</v>
      </c>
      <c r="R369" s="5" t="s">
        <v>45</v>
      </c>
      <c r="S369" s="7">
        <v>31612.49</v>
      </c>
      <c r="T369" s="5" t="s">
        <v>46</v>
      </c>
      <c r="U369" s="5" t="s">
        <v>47</v>
      </c>
      <c r="V369" s="5" t="s">
        <v>47</v>
      </c>
      <c r="W369" s="5" t="s">
        <v>47</v>
      </c>
      <c r="X369" s="5" t="s">
        <v>47</v>
      </c>
    </row>
    <row r="370" spans="1:24" x14ac:dyDescent="0.25">
      <c r="A370" s="5" t="s">
        <v>34</v>
      </c>
      <c r="B370" s="5" t="s">
        <v>170</v>
      </c>
      <c r="C370" s="5" t="s">
        <v>171</v>
      </c>
      <c r="D370" s="5" t="s">
        <v>37</v>
      </c>
      <c r="E370" s="5" t="s">
        <v>116</v>
      </c>
      <c r="F370" s="5" t="s">
        <v>117</v>
      </c>
      <c r="G370" s="5" t="s">
        <v>40</v>
      </c>
      <c r="H370" s="6">
        <v>45961</v>
      </c>
      <c r="I370" s="6">
        <v>45961</v>
      </c>
      <c r="J370" s="6">
        <v>45964</v>
      </c>
      <c r="K370" s="5" t="s">
        <v>172</v>
      </c>
      <c r="L370" s="5" t="s">
        <v>173</v>
      </c>
      <c r="M370" s="5" t="s">
        <v>43</v>
      </c>
      <c r="N370" s="5" t="s">
        <v>174</v>
      </c>
      <c r="O370" s="7">
        <v>8392.27</v>
      </c>
      <c r="P370" s="5" t="s">
        <v>45</v>
      </c>
      <c r="Q370" s="7">
        <v>8392.27</v>
      </c>
      <c r="R370" s="5" t="s">
        <v>45</v>
      </c>
      <c r="S370" s="7">
        <v>2469.77</v>
      </c>
      <c r="T370" s="5" t="s">
        <v>46</v>
      </c>
      <c r="U370" s="5" t="s">
        <v>47</v>
      </c>
      <c r="V370" s="5" t="s">
        <v>47</v>
      </c>
      <c r="W370" s="5" t="s">
        <v>47</v>
      </c>
      <c r="X370" s="5" t="s">
        <v>47</v>
      </c>
    </row>
    <row r="371" spans="1:24" x14ac:dyDescent="0.25">
      <c r="A371" s="5" t="s">
        <v>34</v>
      </c>
      <c r="B371" s="5" t="s">
        <v>170</v>
      </c>
      <c r="C371" s="5" t="s">
        <v>171</v>
      </c>
      <c r="D371" s="5" t="s">
        <v>37</v>
      </c>
      <c r="E371" s="5" t="s">
        <v>96</v>
      </c>
      <c r="F371" s="5" t="s">
        <v>97</v>
      </c>
      <c r="G371" s="5" t="s">
        <v>40</v>
      </c>
      <c r="H371" s="6">
        <v>45961</v>
      </c>
      <c r="I371" s="6">
        <v>45961</v>
      </c>
      <c r="J371" s="6">
        <v>45964</v>
      </c>
      <c r="K371" s="5" t="s">
        <v>147</v>
      </c>
      <c r="L371" s="5" t="s">
        <v>148</v>
      </c>
      <c r="M371" s="5" t="s">
        <v>43</v>
      </c>
      <c r="N371" s="5" t="s">
        <v>149</v>
      </c>
      <c r="O371" s="7">
        <v>240.43</v>
      </c>
      <c r="P371" s="5" t="s">
        <v>45</v>
      </c>
      <c r="Q371" s="7">
        <v>240.43</v>
      </c>
      <c r="R371" s="5" t="s">
        <v>45</v>
      </c>
      <c r="S371" s="7">
        <v>70.760000000000005</v>
      </c>
      <c r="T371" s="5" t="s">
        <v>46</v>
      </c>
      <c r="U371" s="5" t="s">
        <v>47</v>
      </c>
      <c r="V371" s="5" t="s">
        <v>47</v>
      </c>
      <c r="W371" s="5" t="s">
        <v>47</v>
      </c>
      <c r="X371" s="5" t="s">
        <v>47</v>
      </c>
    </row>
    <row r="372" spans="1:24" x14ac:dyDescent="0.25">
      <c r="A372" s="5" t="s">
        <v>34</v>
      </c>
      <c r="B372" s="5" t="s">
        <v>170</v>
      </c>
      <c r="C372" s="5" t="s">
        <v>171</v>
      </c>
      <c r="D372" s="5" t="s">
        <v>37</v>
      </c>
      <c r="E372" s="5" t="s">
        <v>62</v>
      </c>
      <c r="F372" s="5" t="s">
        <v>63</v>
      </c>
      <c r="G372" s="5" t="s">
        <v>40</v>
      </c>
      <c r="H372" s="6">
        <v>45961</v>
      </c>
      <c r="I372" s="6">
        <v>45961</v>
      </c>
      <c r="J372" s="6">
        <v>45964</v>
      </c>
      <c r="K372" s="5" t="s">
        <v>172</v>
      </c>
      <c r="L372" s="5" t="s">
        <v>173</v>
      </c>
      <c r="M372" s="5" t="s">
        <v>43</v>
      </c>
      <c r="N372" s="5" t="s">
        <v>174</v>
      </c>
      <c r="O372" s="7">
        <v>12779.84</v>
      </c>
      <c r="P372" s="5" t="s">
        <v>45</v>
      </c>
      <c r="Q372" s="7">
        <v>12779.84</v>
      </c>
      <c r="R372" s="5" t="s">
        <v>45</v>
      </c>
      <c r="S372" s="7">
        <v>3760.99</v>
      </c>
      <c r="T372" s="5" t="s">
        <v>46</v>
      </c>
      <c r="U372" s="5" t="s">
        <v>47</v>
      </c>
      <c r="V372" s="5" t="s">
        <v>47</v>
      </c>
      <c r="W372" s="5" t="s">
        <v>47</v>
      </c>
      <c r="X372" s="5" t="s">
        <v>47</v>
      </c>
    </row>
    <row r="373" spans="1:24" x14ac:dyDescent="0.25">
      <c r="A373" s="5" t="s">
        <v>34</v>
      </c>
      <c r="B373" s="5" t="s">
        <v>170</v>
      </c>
      <c r="C373" s="5" t="s">
        <v>171</v>
      </c>
      <c r="D373" s="5" t="s">
        <v>37</v>
      </c>
      <c r="E373" s="5" t="s">
        <v>80</v>
      </c>
      <c r="F373" s="5" t="s">
        <v>81</v>
      </c>
      <c r="G373" s="5" t="s">
        <v>40</v>
      </c>
      <c r="H373" s="6">
        <v>45961</v>
      </c>
      <c r="I373" s="6">
        <v>45961</v>
      </c>
      <c r="J373" s="6">
        <v>45964</v>
      </c>
      <c r="K373" s="5" t="s">
        <v>172</v>
      </c>
      <c r="L373" s="5" t="s">
        <v>173</v>
      </c>
      <c r="M373" s="5" t="s">
        <v>43</v>
      </c>
      <c r="N373" s="5" t="s">
        <v>174</v>
      </c>
      <c r="O373" s="7">
        <v>4196.88</v>
      </c>
      <c r="P373" s="5" t="s">
        <v>45</v>
      </c>
      <c r="Q373" s="7">
        <v>4196.88</v>
      </c>
      <c r="R373" s="5" t="s">
        <v>45</v>
      </c>
      <c r="S373" s="7">
        <v>1235.0999999999999</v>
      </c>
      <c r="T373" s="5" t="s">
        <v>46</v>
      </c>
      <c r="U373" s="5" t="s">
        <v>47</v>
      </c>
      <c r="V373" s="5" t="s">
        <v>47</v>
      </c>
      <c r="W373" s="5" t="s">
        <v>47</v>
      </c>
      <c r="X373" s="5" t="s">
        <v>47</v>
      </c>
    </row>
    <row r="374" spans="1:24" x14ac:dyDescent="0.25">
      <c r="A374" s="5" t="s">
        <v>34</v>
      </c>
      <c r="B374" s="5" t="s">
        <v>170</v>
      </c>
      <c r="C374" s="5" t="s">
        <v>171</v>
      </c>
      <c r="D374" s="5" t="s">
        <v>37</v>
      </c>
      <c r="E374" s="5" t="s">
        <v>86</v>
      </c>
      <c r="F374" s="5" t="s">
        <v>87</v>
      </c>
      <c r="G374" s="5" t="s">
        <v>40</v>
      </c>
      <c r="H374" s="6">
        <v>45961</v>
      </c>
      <c r="I374" s="6">
        <v>45961</v>
      </c>
      <c r="J374" s="6">
        <v>45964</v>
      </c>
      <c r="K374" s="5" t="s">
        <v>172</v>
      </c>
      <c r="L374" s="5" t="s">
        <v>173</v>
      </c>
      <c r="M374" s="5" t="s">
        <v>43</v>
      </c>
      <c r="N374" s="5" t="s">
        <v>174</v>
      </c>
      <c r="O374" s="7">
        <v>25922.15</v>
      </c>
      <c r="P374" s="5" t="s">
        <v>45</v>
      </c>
      <c r="Q374" s="7">
        <v>25922.15</v>
      </c>
      <c r="R374" s="5" t="s">
        <v>45</v>
      </c>
      <c r="S374" s="7">
        <v>7628.65</v>
      </c>
      <c r="T374" s="5" t="s">
        <v>46</v>
      </c>
      <c r="U374" s="5" t="s">
        <v>47</v>
      </c>
      <c r="V374" s="5" t="s">
        <v>47</v>
      </c>
      <c r="W374" s="5" t="s">
        <v>47</v>
      </c>
      <c r="X374" s="5" t="s">
        <v>47</v>
      </c>
    </row>
    <row r="375" spans="1:24" x14ac:dyDescent="0.25">
      <c r="A375" s="5" t="s">
        <v>34</v>
      </c>
      <c r="B375" s="5" t="s">
        <v>170</v>
      </c>
      <c r="C375" s="5" t="s">
        <v>171</v>
      </c>
      <c r="D375" s="5" t="s">
        <v>37</v>
      </c>
      <c r="E375" s="5" t="s">
        <v>142</v>
      </c>
      <c r="F375" s="5" t="s">
        <v>143</v>
      </c>
      <c r="G375" s="5" t="s">
        <v>40</v>
      </c>
      <c r="H375" s="6">
        <v>45961</v>
      </c>
      <c r="I375" s="6">
        <v>45961</v>
      </c>
      <c r="J375" s="6">
        <v>45964</v>
      </c>
      <c r="K375" s="5" t="s">
        <v>172</v>
      </c>
      <c r="L375" s="5" t="s">
        <v>173</v>
      </c>
      <c r="M375" s="5" t="s">
        <v>43</v>
      </c>
      <c r="N375" s="5" t="s">
        <v>174</v>
      </c>
      <c r="O375" s="7">
        <v>351.64</v>
      </c>
      <c r="P375" s="5" t="s">
        <v>45</v>
      </c>
      <c r="Q375" s="7">
        <v>351.64</v>
      </c>
      <c r="R375" s="5" t="s">
        <v>45</v>
      </c>
      <c r="S375" s="7">
        <v>103.48</v>
      </c>
      <c r="T375" s="5" t="s">
        <v>46</v>
      </c>
      <c r="U375" s="5" t="s">
        <v>47</v>
      </c>
      <c r="V375" s="5" t="s">
        <v>47</v>
      </c>
      <c r="W375" s="5" t="s">
        <v>47</v>
      </c>
      <c r="X375" s="5" t="s">
        <v>47</v>
      </c>
    </row>
    <row r="376" spans="1:24" x14ac:dyDescent="0.25">
      <c r="A376" s="5" t="s">
        <v>34</v>
      </c>
      <c r="B376" s="5" t="s">
        <v>170</v>
      </c>
      <c r="C376" s="5" t="s">
        <v>171</v>
      </c>
      <c r="D376" s="5" t="s">
        <v>37</v>
      </c>
      <c r="E376" s="5" t="s">
        <v>138</v>
      </c>
      <c r="F376" s="5" t="s">
        <v>139</v>
      </c>
      <c r="G376" s="5" t="s">
        <v>40</v>
      </c>
      <c r="H376" s="6">
        <v>45961</v>
      </c>
      <c r="I376" s="6">
        <v>45961</v>
      </c>
      <c r="J376" s="6">
        <v>45964</v>
      </c>
      <c r="K376" s="5" t="s">
        <v>172</v>
      </c>
      <c r="L376" s="5" t="s">
        <v>173</v>
      </c>
      <c r="M376" s="5" t="s">
        <v>43</v>
      </c>
      <c r="N376" s="5" t="s">
        <v>174</v>
      </c>
      <c r="O376" s="7">
        <v>5516.8</v>
      </c>
      <c r="P376" s="5" t="s">
        <v>45</v>
      </c>
      <c r="Q376" s="7">
        <v>5516.8</v>
      </c>
      <c r="R376" s="5" t="s">
        <v>45</v>
      </c>
      <c r="S376" s="7">
        <v>1623.54</v>
      </c>
      <c r="T376" s="5" t="s">
        <v>46</v>
      </c>
      <c r="U376" s="5" t="s">
        <v>47</v>
      </c>
      <c r="V376" s="5" t="s">
        <v>47</v>
      </c>
      <c r="W376" s="5" t="s">
        <v>47</v>
      </c>
      <c r="X376" s="5" t="s">
        <v>47</v>
      </c>
    </row>
    <row r="377" spans="1:24" x14ac:dyDescent="0.25">
      <c r="A377" s="5" t="s">
        <v>34</v>
      </c>
      <c r="B377" s="5" t="s">
        <v>170</v>
      </c>
      <c r="C377" s="5" t="s">
        <v>171</v>
      </c>
      <c r="D377" s="5" t="s">
        <v>37</v>
      </c>
      <c r="E377" s="5" t="s">
        <v>102</v>
      </c>
      <c r="F377" s="5" t="s">
        <v>103</v>
      </c>
      <c r="G377" s="5" t="s">
        <v>40</v>
      </c>
      <c r="H377" s="6">
        <v>45961</v>
      </c>
      <c r="I377" s="6">
        <v>45961</v>
      </c>
      <c r="J377" s="6">
        <v>45964</v>
      </c>
      <c r="K377" s="5" t="s">
        <v>172</v>
      </c>
      <c r="L377" s="5" t="s">
        <v>173</v>
      </c>
      <c r="M377" s="5" t="s">
        <v>43</v>
      </c>
      <c r="N377" s="5" t="s">
        <v>174</v>
      </c>
      <c r="O377" s="7">
        <v>27817.4</v>
      </c>
      <c r="P377" s="5" t="s">
        <v>45</v>
      </c>
      <c r="Q377" s="7">
        <v>27817.4</v>
      </c>
      <c r="R377" s="5" t="s">
        <v>45</v>
      </c>
      <c r="S377" s="7">
        <v>8186.4</v>
      </c>
      <c r="T377" s="5" t="s">
        <v>46</v>
      </c>
      <c r="U377" s="5" t="s">
        <v>47</v>
      </c>
      <c r="V377" s="5" t="s">
        <v>47</v>
      </c>
      <c r="W377" s="5" t="s">
        <v>47</v>
      </c>
      <c r="X377" s="5" t="s">
        <v>47</v>
      </c>
    </row>
    <row r="378" spans="1:24" x14ac:dyDescent="0.25">
      <c r="A378" s="5" t="s">
        <v>34</v>
      </c>
      <c r="B378" s="5" t="s">
        <v>170</v>
      </c>
      <c r="C378" s="5" t="s">
        <v>171</v>
      </c>
      <c r="D378" s="5" t="s">
        <v>37</v>
      </c>
      <c r="E378" s="5" t="s">
        <v>142</v>
      </c>
      <c r="F378" s="5" t="s">
        <v>143</v>
      </c>
      <c r="G378" s="5" t="s">
        <v>40</v>
      </c>
      <c r="H378" s="6">
        <v>45961</v>
      </c>
      <c r="I378" s="6">
        <v>45961</v>
      </c>
      <c r="J378" s="6">
        <v>45961</v>
      </c>
      <c r="K378" s="5" t="s">
        <v>144</v>
      </c>
      <c r="L378" s="5" t="s">
        <v>145</v>
      </c>
      <c r="M378" s="5" t="s">
        <v>43</v>
      </c>
      <c r="N378" s="5" t="s">
        <v>146</v>
      </c>
      <c r="O378" s="7">
        <v>338.83</v>
      </c>
      <c r="P378" s="5" t="s">
        <v>45</v>
      </c>
      <c r="Q378" s="7">
        <v>338.83</v>
      </c>
      <c r="R378" s="5" t="s">
        <v>45</v>
      </c>
      <c r="S378" s="7">
        <v>99.71</v>
      </c>
      <c r="T378" s="5" t="s">
        <v>46</v>
      </c>
      <c r="U378" s="5" t="s">
        <v>47</v>
      </c>
      <c r="V378" s="5" t="s">
        <v>47</v>
      </c>
      <c r="W378" s="5" t="s">
        <v>47</v>
      </c>
      <c r="X378" s="5" t="s">
        <v>47</v>
      </c>
    </row>
    <row r="379" spans="1:24" x14ac:dyDescent="0.25">
      <c r="A379" s="5" t="s">
        <v>34</v>
      </c>
      <c r="B379" s="5" t="s">
        <v>170</v>
      </c>
      <c r="C379" s="5" t="s">
        <v>171</v>
      </c>
      <c r="D379" s="5" t="s">
        <v>37</v>
      </c>
      <c r="E379" s="5" t="s">
        <v>122</v>
      </c>
      <c r="F379" s="5" t="s">
        <v>123</v>
      </c>
      <c r="G379" s="5" t="s">
        <v>40</v>
      </c>
      <c r="H379" s="6">
        <v>45961</v>
      </c>
      <c r="I379" s="6">
        <v>45961</v>
      </c>
      <c r="J379" s="6">
        <v>45964</v>
      </c>
      <c r="K379" s="5" t="s">
        <v>172</v>
      </c>
      <c r="L379" s="5" t="s">
        <v>173</v>
      </c>
      <c r="M379" s="5" t="s">
        <v>43</v>
      </c>
      <c r="N379" s="5" t="s">
        <v>174</v>
      </c>
      <c r="O379" s="7">
        <v>196.18</v>
      </c>
      <c r="P379" s="5" t="s">
        <v>45</v>
      </c>
      <c r="Q379" s="7">
        <v>196.18</v>
      </c>
      <c r="R379" s="5" t="s">
        <v>45</v>
      </c>
      <c r="S379" s="7">
        <v>57.73</v>
      </c>
      <c r="T379" s="5" t="s">
        <v>46</v>
      </c>
      <c r="U379" s="5" t="s">
        <v>47</v>
      </c>
      <c r="V379" s="5" t="s">
        <v>47</v>
      </c>
      <c r="W379" s="5" t="s">
        <v>47</v>
      </c>
      <c r="X379" s="5" t="s">
        <v>47</v>
      </c>
    </row>
    <row r="380" spans="1:24" x14ac:dyDescent="0.25">
      <c r="A380" s="5" t="s">
        <v>34</v>
      </c>
      <c r="B380" s="5" t="s">
        <v>170</v>
      </c>
      <c r="C380" s="5" t="s">
        <v>171</v>
      </c>
      <c r="D380" s="5" t="s">
        <v>37</v>
      </c>
      <c r="E380" s="5" t="s">
        <v>60</v>
      </c>
      <c r="F380" s="5" t="s">
        <v>61</v>
      </c>
      <c r="G380" s="5" t="s">
        <v>40</v>
      </c>
      <c r="H380" s="6">
        <v>45961</v>
      </c>
      <c r="I380" s="6">
        <v>45961</v>
      </c>
      <c r="J380" s="6">
        <v>45964</v>
      </c>
      <c r="K380" s="5" t="s">
        <v>172</v>
      </c>
      <c r="L380" s="5" t="s">
        <v>173</v>
      </c>
      <c r="M380" s="5" t="s">
        <v>43</v>
      </c>
      <c r="N380" s="5" t="s">
        <v>174</v>
      </c>
      <c r="O380" s="7">
        <v>22236.080000000002</v>
      </c>
      <c r="P380" s="5" t="s">
        <v>45</v>
      </c>
      <c r="Q380" s="7">
        <v>22236.080000000002</v>
      </c>
      <c r="R380" s="5" t="s">
        <v>45</v>
      </c>
      <c r="S380" s="7">
        <v>6543.87</v>
      </c>
      <c r="T380" s="5" t="s">
        <v>46</v>
      </c>
      <c r="U380" s="5" t="s">
        <v>47</v>
      </c>
      <c r="V380" s="5" t="s">
        <v>47</v>
      </c>
      <c r="W380" s="5" t="s">
        <v>47</v>
      </c>
      <c r="X380" s="5" t="s">
        <v>47</v>
      </c>
    </row>
    <row r="381" spans="1:24" x14ac:dyDescent="0.25">
      <c r="A381" s="5" t="s">
        <v>34</v>
      </c>
      <c r="B381" s="5" t="s">
        <v>170</v>
      </c>
      <c r="C381" s="5" t="s">
        <v>171</v>
      </c>
      <c r="D381" s="5" t="s">
        <v>37</v>
      </c>
      <c r="E381" s="5" t="s">
        <v>64</v>
      </c>
      <c r="F381" s="5" t="s">
        <v>65</v>
      </c>
      <c r="G381" s="5" t="s">
        <v>40</v>
      </c>
      <c r="H381" s="6">
        <v>45961</v>
      </c>
      <c r="I381" s="6">
        <v>45961</v>
      </c>
      <c r="J381" s="6">
        <v>45964</v>
      </c>
      <c r="K381" s="5" t="s">
        <v>172</v>
      </c>
      <c r="L381" s="5" t="s">
        <v>173</v>
      </c>
      <c r="M381" s="5" t="s">
        <v>43</v>
      </c>
      <c r="N381" s="5" t="s">
        <v>174</v>
      </c>
      <c r="O381" s="7">
        <v>9474.51</v>
      </c>
      <c r="P381" s="5" t="s">
        <v>45</v>
      </c>
      <c r="Q381" s="7">
        <v>9474.51</v>
      </c>
      <c r="R381" s="5" t="s">
        <v>45</v>
      </c>
      <c r="S381" s="7">
        <v>2788.26</v>
      </c>
      <c r="T381" s="5" t="s">
        <v>46</v>
      </c>
      <c r="U381" s="5" t="s">
        <v>47</v>
      </c>
      <c r="V381" s="5" t="s">
        <v>47</v>
      </c>
      <c r="W381" s="5" t="s">
        <v>47</v>
      </c>
      <c r="X381" s="5" t="s">
        <v>47</v>
      </c>
    </row>
    <row r="382" spans="1:24" x14ac:dyDescent="0.25">
      <c r="A382" s="5" t="s">
        <v>34</v>
      </c>
      <c r="B382" s="5" t="s">
        <v>170</v>
      </c>
      <c r="C382" s="5" t="s">
        <v>171</v>
      </c>
      <c r="D382" s="5" t="s">
        <v>37</v>
      </c>
      <c r="E382" s="5" t="s">
        <v>50</v>
      </c>
      <c r="F382" s="5" t="s">
        <v>51</v>
      </c>
      <c r="G382" s="5" t="s">
        <v>40</v>
      </c>
      <c r="H382" s="6">
        <v>45961</v>
      </c>
      <c r="I382" s="6">
        <v>45961</v>
      </c>
      <c r="J382" s="6">
        <v>45964</v>
      </c>
      <c r="K382" s="5" t="s">
        <v>172</v>
      </c>
      <c r="L382" s="5" t="s">
        <v>173</v>
      </c>
      <c r="M382" s="5" t="s">
        <v>43</v>
      </c>
      <c r="N382" s="5" t="s">
        <v>174</v>
      </c>
      <c r="O382" s="7">
        <v>14055.43</v>
      </c>
      <c r="P382" s="5" t="s">
        <v>45</v>
      </c>
      <c r="Q382" s="7">
        <v>14055.43</v>
      </c>
      <c r="R382" s="5" t="s">
        <v>45</v>
      </c>
      <c r="S382" s="7">
        <v>4136.38</v>
      </c>
      <c r="T382" s="5" t="s">
        <v>46</v>
      </c>
      <c r="U382" s="5" t="s">
        <v>47</v>
      </c>
      <c r="V382" s="5" t="s">
        <v>47</v>
      </c>
      <c r="W382" s="5" t="s">
        <v>47</v>
      </c>
      <c r="X382" s="5" t="s">
        <v>47</v>
      </c>
    </row>
    <row r="383" spans="1:24" x14ac:dyDescent="0.25">
      <c r="A383" s="5" t="s">
        <v>34</v>
      </c>
      <c r="B383" s="5" t="s">
        <v>170</v>
      </c>
      <c r="C383" s="5" t="s">
        <v>171</v>
      </c>
      <c r="D383" s="5" t="s">
        <v>37</v>
      </c>
      <c r="E383" s="5" t="s">
        <v>58</v>
      </c>
      <c r="F383" s="5" t="s">
        <v>59</v>
      </c>
      <c r="G383" s="5" t="s">
        <v>40</v>
      </c>
      <c r="H383" s="6">
        <v>45961</v>
      </c>
      <c r="I383" s="6">
        <v>45961</v>
      </c>
      <c r="J383" s="6">
        <v>45964</v>
      </c>
      <c r="K383" s="5" t="s">
        <v>172</v>
      </c>
      <c r="L383" s="5" t="s">
        <v>173</v>
      </c>
      <c r="M383" s="5" t="s">
        <v>43</v>
      </c>
      <c r="N383" s="5" t="s">
        <v>174</v>
      </c>
      <c r="O383" s="7">
        <v>842.35</v>
      </c>
      <c r="P383" s="5" t="s">
        <v>45</v>
      </c>
      <c r="Q383" s="7">
        <v>842.35</v>
      </c>
      <c r="R383" s="5" t="s">
        <v>45</v>
      </c>
      <c r="S383" s="7">
        <v>247.9</v>
      </c>
      <c r="T383" s="5" t="s">
        <v>46</v>
      </c>
      <c r="U383" s="5" t="s">
        <v>47</v>
      </c>
      <c r="V383" s="5" t="s">
        <v>47</v>
      </c>
      <c r="W383" s="5" t="s">
        <v>47</v>
      </c>
      <c r="X383" s="5" t="s">
        <v>47</v>
      </c>
    </row>
    <row r="384" spans="1:24" x14ac:dyDescent="0.25">
      <c r="A384" s="5" t="s">
        <v>34</v>
      </c>
      <c r="B384" s="5" t="s">
        <v>170</v>
      </c>
      <c r="C384" s="5" t="s">
        <v>171</v>
      </c>
      <c r="D384" s="5" t="s">
        <v>37</v>
      </c>
      <c r="E384" s="5" t="s">
        <v>54</v>
      </c>
      <c r="F384" s="5" t="s">
        <v>55</v>
      </c>
      <c r="G384" s="5" t="s">
        <v>40</v>
      </c>
      <c r="H384" s="6">
        <v>45961</v>
      </c>
      <c r="I384" s="6">
        <v>45961</v>
      </c>
      <c r="J384" s="6">
        <v>45964</v>
      </c>
      <c r="K384" s="5" t="s">
        <v>172</v>
      </c>
      <c r="L384" s="5" t="s">
        <v>173</v>
      </c>
      <c r="M384" s="5" t="s">
        <v>43</v>
      </c>
      <c r="N384" s="5" t="s">
        <v>174</v>
      </c>
      <c r="O384" s="7">
        <v>2349.75</v>
      </c>
      <c r="P384" s="5" t="s">
        <v>45</v>
      </c>
      <c r="Q384" s="7">
        <v>2349.75</v>
      </c>
      <c r="R384" s="5" t="s">
        <v>45</v>
      </c>
      <c r="S384" s="7">
        <v>691.51</v>
      </c>
      <c r="T384" s="5" t="s">
        <v>46</v>
      </c>
      <c r="U384" s="5" t="s">
        <v>47</v>
      </c>
      <c r="V384" s="5" t="s">
        <v>47</v>
      </c>
      <c r="W384" s="5" t="s">
        <v>47</v>
      </c>
      <c r="X384" s="5" t="s">
        <v>47</v>
      </c>
    </row>
    <row r="385" spans="1:24" x14ac:dyDescent="0.25">
      <c r="A385" s="5" t="s">
        <v>34</v>
      </c>
      <c r="B385" s="5" t="s">
        <v>170</v>
      </c>
      <c r="C385" s="5" t="s">
        <v>171</v>
      </c>
      <c r="D385" s="5" t="s">
        <v>37</v>
      </c>
      <c r="E385" s="5" t="s">
        <v>92</v>
      </c>
      <c r="F385" s="5" t="s">
        <v>93</v>
      </c>
      <c r="G385" s="5" t="s">
        <v>40</v>
      </c>
      <c r="H385" s="6">
        <v>45961</v>
      </c>
      <c r="I385" s="6">
        <v>45961</v>
      </c>
      <c r="J385" s="6">
        <v>45964</v>
      </c>
      <c r="K385" s="5" t="s">
        <v>172</v>
      </c>
      <c r="L385" s="5" t="s">
        <v>173</v>
      </c>
      <c r="M385" s="5" t="s">
        <v>43</v>
      </c>
      <c r="N385" s="5" t="s">
        <v>174</v>
      </c>
      <c r="O385" s="7">
        <v>1443.11</v>
      </c>
      <c r="P385" s="5" t="s">
        <v>45</v>
      </c>
      <c r="Q385" s="7">
        <v>1443.11</v>
      </c>
      <c r="R385" s="5" t="s">
        <v>45</v>
      </c>
      <c r="S385" s="7">
        <v>424.69</v>
      </c>
      <c r="T385" s="5" t="s">
        <v>46</v>
      </c>
      <c r="U385" s="5" t="s">
        <v>47</v>
      </c>
      <c r="V385" s="5" t="s">
        <v>47</v>
      </c>
      <c r="W385" s="5" t="s">
        <v>47</v>
      </c>
      <c r="X385" s="5" t="s">
        <v>47</v>
      </c>
    </row>
    <row r="386" spans="1:24" x14ac:dyDescent="0.25">
      <c r="A386" s="5" t="s">
        <v>34</v>
      </c>
      <c r="B386" s="5" t="s">
        <v>170</v>
      </c>
      <c r="C386" s="5" t="s">
        <v>171</v>
      </c>
      <c r="D386" s="5" t="s">
        <v>37</v>
      </c>
      <c r="E386" s="5" t="s">
        <v>110</v>
      </c>
      <c r="F386" s="5" t="s">
        <v>111</v>
      </c>
      <c r="G386" s="5" t="s">
        <v>40</v>
      </c>
      <c r="H386" s="6">
        <v>45961</v>
      </c>
      <c r="I386" s="6">
        <v>45961</v>
      </c>
      <c r="J386" s="6">
        <v>45960</v>
      </c>
      <c r="K386" s="5" t="s">
        <v>150</v>
      </c>
      <c r="L386" s="5" t="s">
        <v>151</v>
      </c>
      <c r="M386" s="5" t="s">
        <v>43</v>
      </c>
      <c r="N386" s="5" t="s">
        <v>152</v>
      </c>
      <c r="O386" s="7">
        <v>375.69</v>
      </c>
      <c r="P386" s="5" t="s">
        <v>45</v>
      </c>
      <c r="Q386" s="7">
        <v>375.69</v>
      </c>
      <c r="R386" s="5" t="s">
        <v>45</v>
      </c>
      <c r="S386" s="7">
        <v>110.69</v>
      </c>
      <c r="T386" s="5" t="s">
        <v>46</v>
      </c>
      <c r="U386" s="5" t="s">
        <v>47</v>
      </c>
      <c r="V386" s="5" t="s">
        <v>47</v>
      </c>
      <c r="W386" s="5" t="s">
        <v>47</v>
      </c>
      <c r="X386" s="5" t="s">
        <v>47</v>
      </c>
    </row>
    <row r="387" spans="1:24" x14ac:dyDescent="0.25">
      <c r="A387" s="5" t="s">
        <v>34</v>
      </c>
      <c r="B387" s="5" t="s">
        <v>170</v>
      </c>
      <c r="C387" s="5" t="s">
        <v>171</v>
      </c>
      <c r="D387" s="5" t="s">
        <v>37</v>
      </c>
      <c r="E387" s="5" t="s">
        <v>78</v>
      </c>
      <c r="F387" s="5" t="s">
        <v>79</v>
      </c>
      <c r="G387" s="5" t="s">
        <v>40</v>
      </c>
      <c r="H387" s="6">
        <v>45961</v>
      </c>
      <c r="I387" s="6">
        <v>45961</v>
      </c>
      <c r="J387" s="6">
        <v>45964</v>
      </c>
      <c r="K387" s="5" t="s">
        <v>172</v>
      </c>
      <c r="L387" s="5" t="s">
        <v>173</v>
      </c>
      <c r="M387" s="5" t="s">
        <v>43</v>
      </c>
      <c r="N387" s="5" t="s">
        <v>174</v>
      </c>
      <c r="O387" s="7">
        <v>28653</v>
      </c>
      <c r="P387" s="5" t="s">
        <v>45</v>
      </c>
      <c r="Q387" s="7">
        <v>28653</v>
      </c>
      <c r="R387" s="5" t="s">
        <v>45</v>
      </c>
      <c r="S387" s="7">
        <v>8432.31</v>
      </c>
      <c r="T387" s="5" t="s">
        <v>46</v>
      </c>
      <c r="U387" s="5" t="s">
        <v>47</v>
      </c>
      <c r="V387" s="5" t="s">
        <v>47</v>
      </c>
      <c r="W387" s="5" t="s">
        <v>47</v>
      </c>
      <c r="X387" s="5" t="s">
        <v>47</v>
      </c>
    </row>
    <row r="388" spans="1:24" x14ac:dyDescent="0.25">
      <c r="A388" s="5" t="s">
        <v>34</v>
      </c>
      <c r="B388" s="5" t="s">
        <v>170</v>
      </c>
      <c r="C388" s="5" t="s">
        <v>171</v>
      </c>
      <c r="D388" s="5" t="s">
        <v>37</v>
      </c>
      <c r="E388" s="5" t="s">
        <v>38</v>
      </c>
      <c r="F388" s="5" t="s">
        <v>39</v>
      </c>
      <c r="G388" s="5" t="s">
        <v>40</v>
      </c>
      <c r="H388" s="6">
        <v>45961</v>
      </c>
      <c r="I388" s="6">
        <v>45961</v>
      </c>
      <c r="J388" s="6">
        <v>45964</v>
      </c>
      <c r="K388" s="5" t="s">
        <v>172</v>
      </c>
      <c r="L388" s="5" t="s">
        <v>173</v>
      </c>
      <c r="M388" s="5" t="s">
        <v>43</v>
      </c>
      <c r="N388" s="5" t="s">
        <v>174</v>
      </c>
      <c r="O388" s="7">
        <v>8907.52</v>
      </c>
      <c r="P388" s="5" t="s">
        <v>45</v>
      </c>
      <c r="Q388" s="7">
        <v>8907.52</v>
      </c>
      <c r="R388" s="5" t="s">
        <v>45</v>
      </c>
      <c r="S388" s="7">
        <v>2621.4</v>
      </c>
      <c r="T388" s="5" t="s">
        <v>46</v>
      </c>
      <c r="U388" s="5" t="s">
        <v>47</v>
      </c>
      <c r="V388" s="5" t="s">
        <v>47</v>
      </c>
      <c r="W388" s="5" t="s">
        <v>47</v>
      </c>
      <c r="X388" s="5" t="s">
        <v>47</v>
      </c>
    </row>
    <row r="389" spans="1:24" x14ac:dyDescent="0.25">
      <c r="A389" s="5" t="s">
        <v>34</v>
      </c>
      <c r="B389" s="5" t="s">
        <v>170</v>
      </c>
      <c r="C389" s="5" t="s">
        <v>171</v>
      </c>
      <c r="D389" s="5" t="s">
        <v>37</v>
      </c>
      <c r="E389" s="5" t="s">
        <v>64</v>
      </c>
      <c r="F389" s="5" t="s">
        <v>65</v>
      </c>
      <c r="G389" s="5" t="s">
        <v>40</v>
      </c>
      <c r="H389" s="6">
        <v>45961</v>
      </c>
      <c r="I389" s="6">
        <v>45961</v>
      </c>
      <c r="J389" s="6">
        <v>45950</v>
      </c>
      <c r="K389" s="5" t="s">
        <v>132</v>
      </c>
      <c r="L389" s="5" t="s">
        <v>133</v>
      </c>
      <c r="M389" s="5" t="s">
        <v>43</v>
      </c>
      <c r="N389" s="5" t="s">
        <v>134</v>
      </c>
      <c r="O389" s="7">
        <v>-78.44</v>
      </c>
      <c r="P389" s="5" t="s">
        <v>45</v>
      </c>
      <c r="Q389" s="7">
        <v>-78.44</v>
      </c>
      <c r="R389" s="5" t="s">
        <v>45</v>
      </c>
      <c r="S389" s="7">
        <v>-23.14</v>
      </c>
      <c r="T389" s="5" t="s">
        <v>46</v>
      </c>
      <c r="U389" s="5" t="s">
        <v>47</v>
      </c>
      <c r="V389" s="5" t="s">
        <v>47</v>
      </c>
      <c r="W389" s="5" t="s">
        <v>47</v>
      </c>
      <c r="X389" s="5" t="s">
        <v>47</v>
      </c>
    </row>
    <row r="390" spans="1:24" x14ac:dyDescent="0.25">
      <c r="A390" s="5" t="s">
        <v>34</v>
      </c>
      <c r="B390" s="5" t="s">
        <v>170</v>
      </c>
      <c r="C390" s="5" t="s">
        <v>171</v>
      </c>
      <c r="D390" s="5" t="s">
        <v>37</v>
      </c>
      <c r="E390" s="5" t="s">
        <v>98</v>
      </c>
      <c r="F390" s="5" t="s">
        <v>99</v>
      </c>
      <c r="G390" s="5" t="s">
        <v>40</v>
      </c>
      <c r="H390" s="6">
        <v>45961</v>
      </c>
      <c r="I390" s="6">
        <v>45961</v>
      </c>
      <c r="J390" s="6">
        <v>45964</v>
      </c>
      <c r="K390" s="5" t="s">
        <v>172</v>
      </c>
      <c r="L390" s="5" t="s">
        <v>173</v>
      </c>
      <c r="M390" s="5" t="s">
        <v>43</v>
      </c>
      <c r="N390" s="5" t="s">
        <v>174</v>
      </c>
      <c r="O390" s="7">
        <v>884.46</v>
      </c>
      <c r="P390" s="5" t="s">
        <v>45</v>
      </c>
      <c r="Q390" s="7">
        <v>884.46</v>
      </c>
      <c r="R390" s="5" t="s">
        <v>45</v>
      </c>
      <c r="S390" s="7">
        <v>260.29000000000002</v>
      </c>
      <c r="T390" s="5" t="s">
        <v>46</v>
      </c>
      <c r="U390" s="5" t="s">
        <v>47</v>
      </c>
      <c r="V390" s="5" t="s">
        <v>47</v>
      </c>
      <c r="W390" s="5" t="s">
        <v>47</v>
      </c>
      <c r="X390" s="5" t="s">
        <v>47</v>
      </c>
    </row>
    <row r="391" spans="1:24" x14ac:dyDescent="0.25">
      <c r="A391" s="5" t="s">
        <v>34</v>
      </c>
      <c r="B391" s="5" t="s">
        <v>170</v>
      </c>
      <c r="C391" s="5" t="s">
        <v>171</v>
      </c>
      <c r="D391" s="5" t="s">
        <v>37</v>
      </c>
      <c r="E391" s="5" t="s">
        <v>96</v>
      </c>
      <c r="F391" s="5" t="s">
        <v>97</v>
      </c>
      <c r="G391" s="5" t="s">
        <v>40</v>
      </c>
      <c r="H391" s="6">
        <v>45961</v>
      </c>
      <c r="I391" s="6">
        <v>45961</v>
      </c>
      <c r="J391" s="6">
        <v>45964</v>
      </c>
      <c r="K391" s="5" t="s">
        <v>172</v>
      </c>
      <c r="L391" s="5" t="s">
        <v>173</v>
      </c>
      <c r="M391" s="5" t="s">
        <v>43</v>
      </c>
      <c r="N391" s="5" t="s">
        <v>174</v>
      </c>
      <c r="O391" s="7">
        <v>67144.66</v>
      </c>
      <c r="P391" s="5" t="s">
        <v>45</v>
      </c>
      <c r="Q391" s="7">
        <v>67144.66</v>
      </c>
      <c r="R391" s="5" t="s">
        <v>45</v>
      </c>
      <c r="S391" s="7">
        <v>19760.05</v>
      </c>
      <c r="T391" s="5" t="s">
        <v>46</v>
      </c>
      <c r="U391" s="5" t="s">
        <v>47</v>
      </c>
      <c r="V391" s="5" t="s">
        <v>47</v>
      </c>
      <c r="W391" s="5" t="s">
        <v>47</v>
      </c>
      <c r="X391" s="5" t="s">
        <v>47</v>
      </c>
    </row>
    <row r="392" spans="1:24" x14ac:dyDescent="0.25">
      <c r="A392" s="5" t="s">
        <v>34</v>
      </c>
      <c r="B392" s="5" t="s">
        <v>170</v>
      </c>
      <c r="C392" s="5" t="s">
        <v>171</v>
      </c>
      <c r="D392" s="5" t="s">
        <v>37</v>
      </c>
      <c r="E392" s="5" t="s">
        <v>72</v>
      </c>
      <c r="F392" s="5" t="s">
        <v>73</v>
      </c>
      <c r="G392" s="5" t="s">
        <v>40</v>
      </c>
      <c r="H392" s="6">
        <v>45961</v>
      </c>
      <c r="I392" s="6">
        <v>45961</v>
      </c>
      <c r="J392" s="6">
        <v>45964</v>
      </c>
      <c r="K392" s="5" t="s">
        <v>172</v>
      </c>
      <c r="L392" s="5" t="s">
        <v>173</v>
      </c>
      <c r="M392" s="5" t="s">
        <v>43</v>
      </c>
      <c r="N392" s="5" t="s">
        <v>174</v>
      </c>
      <c r="O392" s="7">
        <v>1811.76</v>
      </c>
      <c r="P392" s="5" t="s">
        <v>45</v>
      </c>
      <c r="Q392" s="7">
        <v>1811.76</v>
      </c>
      <c r="R392" s="5" t="s">
        <v>45</v>
      </c>
      <c r="S392" s="7">
        <v>533.17999999999995</v>
      </c>
      <c r="T392" s="5" t="s">
        <v>46</v>
      </c>
      <c r="U392" s="5" t="s">
        <v>47</v>
      </c>
      <c r="V392" s="5" t="s">
        <v>47</v>
      </c>
      <c r="W392" s="5" t="s">
        <v>47</v>
      </c>
      <c r="X392" s="5" t="s">
        <v>47</v>
      </c>
    </row>
    <row r="393" spans="1:24" x14ac:dyDescent="0.25">
      <c r="A393" s="5" t="s">
        <v>34</v>
      </c>
      <c r="B393" s="5" t="s">
        <v>170</v>
      </c>
      <c r="C393" s="5" t="s">
        <v>171</v>
      </c>
      <c r="D393" s="5" t="s">
        <v>37</v>
      </c>
      <c r="E393" s="5" t="s">
        <v>110</v>
      </c>
      <c r="F393" s="5" t="s">
        <v>111</v>
      </c>
      <c r="G393" s="5" t="s">
        <v>40</v>
      </c>
      <c r="H393" s="6">
        <v>45961</v>
      </c>
      <c r="I393" s="6">
        <v>45961</v>
      </c>
      <c r="J393" s="6">
        <v>45964</v>
      </c>
      <c r="K393" s="5" t="s">
        <v>172</v>
      </c>
      <c r="L393" s="5" t="s">
        <v>173</v>
      </c>
      <c r="M393" s="5" t="s">
        <v>43</v>
      </c>
      <c r="N393" s="5" t="s">
        <v>174</v>
      </c>
      <c r="O393" s="7">
        <v>20642.96</v>
      </c>
      <c r="P393" s="5" t="s">
        <v>45</v>
      </c>
      <c r="Q393" s="7">
        <v>20642.96</v>
      </c>
      <c r="R393" s="5" t="s">
        <v>45</v>
      </c>
      <c r="S393" s="7">
        <v>6075.03</v>
      </c>
      <c r="T393" s="5" t="s">
        <v>46</v>
      </c>
      <c r="U393" s="5" t="s">
        <v>47</v>
      </c>
      <c r="V393" s="5" t="s">
        <v>47</v>
      </c>
      <c r="W393" s="5" t="s">
        <v>47</v>
      </c>
      <c r="X393" s="5" t="s">
        <v>47</v>
      </c>
    </row>
    <row r="394" spans="1:24" x14ac:dyDescent="0.25">
      <c r="A394" s="5" t="s">
        <v>34</v>
      </c>
      <c r="B394" s="5" t="s">
        <v>170</v>
      </c>
      <c r="C394" s="5" t="s">
        <v>171</v>
      </c>
      <c r="D394" s="5" t="s">
        <v>37</v>
      </c>
      <c r="E394" s="5" t="s">
        <v>84</v>
      </c>
      <c r="F394" s="5" t="s">
        <v>85</v>
      </c>
      <c r="G394" s="5" t="s">
        <v>40</v>
      </c>
      <c r="H394" s="6">
        <v>45961</v>
      </c>
      <c r="I394" s="6">
        <v>45961</v>
      </c>
      <c r="J394" s="6">
        <v>45964</v>
      </c>
      <c r="K394" s="5" t="s">
        <v>172</v>
      </c>
      <c r="L394" s="5" t="s">
        <v>173</v>
      </c>
      <c r="M394" s="5" t="s">
        <v>43</v>
      </c>
      <c r="N394" s="5" t="s">
        <v>174</v>
      </c>
      <c r="O394" s="7">
        <v>3271.22</v>
      </c>
      <c r="P394" s="5" t="s">
        <v>45</v>
      </c>
      <c r="Q394" s="7">
        <v>3271.22</v>
      </c>
      <c r="R394" s="5" t="s">
        <v>45</v>
      </c>
      <c r="S394" s="7">
        <v>962.69</v>
      </c>
      <c r="T394" s="5" t="s">
        <v>46</v>
      </c>
      <c r="U394" s="5" t="s">
        <v>47</v>
      </c>
      <c r="V394" s="5" t="s">
        <v>47</v>
      </c>
      <c r="W394" s="5" t="s">
        <v>47</v>
      </c>
      <c r="X394" s="5" t="s">
        <v>47</v>
      </c>
    </row>
    <row r="395" spans="1:24" x14ac:dyDescent="0.25">
      <c r="A395" s="5" t="s">
        <v>34</v>
      </c>
      <c r="B395" s="5" t="s">
        <v>170</v>
      </c>
      <c r="C395" s="5" t="s">
        <v>171</v>
      </c>
      <c r="D395" s="5" t="s">
        <v>37</v>
      </c>
      <c r="E395" s="5" t="s">
        <v>68</v>
      </c>
      <c r="F395" s="5" t="s">
        <v>69</v>
      </c>
      <c r="G395" s="5" t="s">
        <v>40</v>
      </c>
      <c r="H395" s="6">
        <v>45961</v>
      </c>
      <c r="I395" s="6">
        <v>45961</v>
      </c>
      <c r="J395" s="6">
        <v>45964</v>
      </c>
      <c r="K395" s="5" t="s">
        <v>172</v>
      </c>
      <c r="L395" s="5" t="s">
        <v>173</v>
      </c>
      <c r="M395" s="5" t="s">
        <v>43</v>
      </c>
      <c r="N395" s="5" t="s">
        <v>174</v>
      </c>
      <c r="O395" s="7">
        <v>7036.64</v>
      </c>
      <c r="P395" s="5" t="s">
        <v>45</v>
      </c>
      <c r="Q395" s="7">
        <v>7036.64</v>
      </c>
      <c r="R395" s="5" t="s">
        <v>45</v>
      </c>
      <c r="S395" s="7">
        <v>2070.8200000000002</v>
      </c>
      <c r="T395" s="5" t="s">
        <v>46</v>
      </c>
      <c r="U395" s="5" t="s">
        <v>47</v>
      </c>
      <c r="V395" s="5" t="s">
        <v>47</v>
      </c>
      <c r="W395" s="5" t="s">
        <v>47</v>
      </c>
      <c r="X395" s="5" t="s">
        <v>47</v>
      </c>
    </row>
    <row r="396" spans="1:24" x14ac:dyDescent="0.25">
      <c r="A396" s="5" t="s">
        <v>34</v>
      </c>
      <c r="B396" s="5" t="s">
        <v>170</v>
      </c>
      <c r="C396" s="5" t="s">
        <v>171</v>
      </c>
      <c r="D396" s="5" t="s">
        <v>37</v>
      </c>
      <c r="E396" s="5" t="s">
        <v>70</v>
      </c>
      <c r="F396" s="5" t="s">
        <v>71</v>
      </c>
      <c r="G396" s="5" t="s">
        <v>40</v>
      </c>
      <c r="H396" s="6">
        <v>45961</v>
      </c>
      <c r="I396" s="6">
        <v>45961</v>
      </c>
      <c r="J396" s="6">
        <v>45964</v>
      </c>
      <c r="K396" s="5" t="s">
        <v>172</v>
      </c>
      <c r="L396" s="5" t="s">
        <v>173</v>
      </c>
      <c r="M396" s="5" t="s">
        <v>43</v>
      </c>
      <c r="N396" s="5" t="s">
        <v>174</v>
      </c>
      <c r="O396" s="7">
        <v>2359.09</v>
      </c>
      <c r="P396" s="5" t="s">
        <v>45</v>
      </c>
      <c r="Q396" s="7">
        <v>2359.09</v>
      </c>
      <c r="R396" s="5" t="s">
        <v>45</v>
      </c>
      <c r="S396" s="7">
        <v>694.26</v>
      </c>
      <c r="T396" s="5" t="s">
        <v>46</v>
      </c>
      <c r="U396" s="5" t="s">
        <v>47</v>
      </c>
      <c r="V396" s="5" t="s">
        <v>47</v>
      </c>
      <c r="W396" s="5" t="s">
        <v>47</v>
      </c>
      <c r="X396" s="5" t="s">
        <v>47</v>
      </c>
    </row>
    <row r="397" spans="1:24" x14ac:dyDescent="0.25">
      <c r="A397" s="5" t="s">
        <v>34</v>
      </c>
      <c r="B397" s="5" t="s">
        <v>170</v>
      </c>
      <c r="C397" s="5" t="s">
        <v>171</v>
      </c>
      <c r="D397" s="5" t="s">
        <v>37</v>
      </c>
      <c r="E397" s="5" t="s">
        <v>48</v>
      </c>
      <c r="F397" s="5" t="s">
        <v>49</v>
      </c>
      <c r="G397" s="5" t="s">
        <v>40</v>
      </c>
      <c r="H397" s="6">
        <v>45961</v>
      </c>
      <c r="I397" s="6">
        <v>45961</v>
      </c>
      <c r="J397" s="6">
        <v>45964</v>
      </c>
      <c r="K397" s="5" t="s">
        <v>172</v>
      </c>
      <c r="L397" s="5" t="s">
        <v>173</v>
      </c>
      <c r="M397" s="5" t="s">
        <v>43</v>
      </c>
      <c r="N397" s="5" t="s">
        <v>174</v>
      </c>
      <c r="O397" s="7">
        <v>18162.28</v>
      </c>
      <c r="P397" s="5" t="s">
        <v>45</v>
      </c>
      <c r="Q397" s="7">
        <v>18162.28</v>
      </c>
      <c r="R397" s="5" t="s">
        <v>45</v>
      </c>
      <c r="S397" s="7">
        <v>5344.99</v>
      </c>
      <c r="T397" s="5" t="s">
        <v>46</v>
      </c>
      <c r="U397" s="5" t="s">
        <v>47</v>
      </c>
      <c r="V397" s="5" t="s">
        <v>47</v>
      </c>
      <c r="W397" s="5" t="s">
        <v>47</v>
      </c>
      <c r="X397" s="5" t="s">
        <v>47</v>
      </c>
    </row>
    <row r="398" spans="1:24" x14ac:dyDescent="0.25">
      <c r="A398" s="5" t="s">
        <v>34</v>
      </c>
      <c r="B398" s="5" t="s">
        <v>170</v>
      </c>
      <c r="C398" s="5" t="s">
        <v>171</v>
      </c>
      <c r="D398" s="5" t="s">
        <v>37</v>
      </c>
      <c r="E398" s="5" t="s">
        <v>104</v>
      </c>
      <c r="F398" s="5" t="s">
        <v>105</v>
      </c>
      <c r="G398" s="5" t="s">
        <v>40</v>
      </c>
      <c r="H398" s="6">
        <v>45961</v>
      </c>
      <c r="I398" s="6">
        <v>45961</v>
      </c>
      <c r="J398" s="6">
        <v>45964</v>
      </c>
      <c r="K398" s="5" t="s">
        <v>172</v>
      </c>
      <c r="L398" s="5" t="s">
        <v>173</v>
      </c>
      <c r="M398" s="5" t="s">
        <v>43</v>
      </c>
      <c r="N398" s="5" t="s">
        <v>174</v>
      </c>
      <c r="O398" s="7">
        <v>9439.85</v>
      </c>
      <c r="P398" s="5" t="s">
        <v>45</v>
      </c>
      <c r="Q398" s="7">
        <v>9439.85</v>
      </c>
      <c r="R398" s="5" t="s">
        <v>45</v>
      </c>
      <c r="S398" s="7">
        <v>2778.06</v>
      </c>
      <c r="T398" s="5" t="s">
        <v>46</v>
      </c>
      <c r="U398" s="5" t="s">
        <v>47</v>
      </c>
      <c r="V398" s="5" t="s">
        <v>47</v>
      </c>
      <c r="W398" s="5" t="s">
        <v>47</v>
      </c>
      <c r="X398" s="5" t="s">
        <v>47</v>
      </c>
    </row>
    <row r="399" spans="1:24" x14ac:dyDescent="0.25">
      <c r="A399" s="5" t="s">
        <v>34</v>
      </c>
      <c r="B399" s="5" t="s">
        <v>170</v>
      </c>
      <c r="C399" s="5" t="s">
        <v>171</v>
      </c>
      <c r="D399" s="5" t="s">
        <v>37</v>
      </c>
      <c r="E399" s="5" t="s">
        <v>100</v>
      </c>
      <c r="F399" s="5" t="s">
        <v>101</v>
      </c>
      <c r="G399" s="5" t="s">
        <v>40</v>
      </c>
      <c r="H399" s="6">
        <v>45961</v>
      </c>
      <c r="I399" s="6">
        <v>45961</v>
      </c>
      <c r="J399" s="6">
        <v>45964</v>
      </c>
      <c r="K399" s="5" t="s">
        <v>172</v>
      </c>
      <c r="L399" s="5" t="s">
        <v>173</v>
      </c>
      <c r="M399" s="5" t="s">
        <v>43</v>
      </c>
      <c r="N399" s="5" t="s">
        <v>174</v>
      </c>
      <c r="O399" s="7">
        <v>7085.47</v>
      </c>
      <c r="P399" s="5" t="s">
        <v>45</v>
      </c>
      <c r="Q399" s="7">
        <v>7085.47</v>
      </c>
      <c r="R399" s="5" t="s">
        <v>45</v>
      </c>
      <c r="S399" s="7">
        <v>2085.19</v>
      </c>
      <c r="T399" s="5" t="s">
        <v>46</v>
      </c>
      <c r="U399" s="5" t="s">
        <v>47</v>
      </c>
      <c r="V399" s="5" t="s">
        <v>47</v>
      </c>
      <c r="W399" s="5" t="s">
        <v>47</v>
      </c>
      <c r="X399" s="5" t="s">
        <v>47</v>
      </c>
    </row>
    <row r="400" spans="1:24" x14ac:dyDescent="0.25">
      <c r="A400" s="5" t="s">
        <v>34</v>
      </c>
      <c r="B400" s="5" t="s">
        <v>170</v>
      </c>
      <c r="C400" s="5" t="s">
        <v>171</v>
      </c>
      <c r="D400" s="5" t="s">
        <v>37</v>
      </c>
      <c r="E400" s="5" t="s">
        <v>106</v>
      </c>
      <c r="F400" s="5" t="s">
        <v>107</v>
      </c>
      <c r="G400" s="5" t="s">
        <v>40</v>
      </c>
      <c r="H400" s="6">
        <v>45961</v>
      </c>
      <c r="I400" s="6">
        <v>45961</v>
      </c>
      <c r="J400" s="6">
        <v>45964</v>
      </c>
      <c r="K400" s="5" t="s">
        <v>172</v>
      </c>
      <c r="L400" s="5" t="s">
        <v>173</v>
      </c>
      <c r="M400" s="5" t="s">
        <v>43</v>
      </c>
      <c r="N400" s="5" t="s">
        <v>174</v>
      </c>
      <c r="O400" s="7">
        <v>2772.28</v>
      </c>
      <c r="P400" s="5" t="s">
        <v>45</v>
      </c>
      <c r="Q400" s="7">
        <v>2772.28</v>
      </c>
      <c r="R400" s="5" t="s">
        <v>45</v>
      </c>
      <c r="S400" s="7">
        <v>815.86</v>
      </c>
      <c r="T400" s="5" t="s">
        <v>46</v>
      </c>
      <c r="U400" s="5" t="s">
        <v>47</v>
      </c>
      <c r="V400" s="5" t="s">
        <v>47</v>
      </c>
      <c r="W400" s="5" t="s">
        <v>47</v>
      </c>
      <c r="X400" s="5" t="s">
        <v>47</v>
      </c>
    </row>
    <row r="401" spans="1:24" x14ac:dyDescent="0.25">
      <c r="A401" s="5" t="s">
        <v>34</v>
      </c>
      <c r="B401" s="5" t="s">
        <v>175</v>
      </c>
      <c r="C401" s="5" t="s">
        <v>176</v>
      </c>
      <c r="D401" s="5" t="s">
        <v>37</v>
      </c>
      <c r="E401" s="5" t="s">
        <v>118</v>
      </c>
      <c r="F401" s="5" t="s">
        <v>119</v>
      </c>
      <c r="G401" s="5" t="s">
        <v>40</v>
      </c>
      <c r="H401" s="6">
        <v>45961</v>
      </c>
      <c r="I401" s="6">
        <v>45961</v>
      </c>
      <c r="J401" s="6">
        <v>45964</v>
      </c>
      <c r="K401" s="5" t="s">
        <v>167</v>
      </c>
      <c r="L401" s="5" t="s">
        <v>168</v>
      </c>
      <c r="M401" s="5" t="s">
        <v>43</v>
      </c>
      <c r="N401" s="5" t="s">
        <v>169</v>
      </c>
      <c r="O401" s="7">
        <v>199.56</v>
      </c>
      <c r="P401" s="5" t="s">
        <v>45</v>
      </c>
      <c r="Q401" s="7">
        <v>199.56</v>
      </c>
      <c r="R401" s="5" t="s">
        <v>45</v>
      </c>
      <c r="S401" s="7">
        <v>58.73</v>
      </c>
      <c r="T401" s="5" t="s">
        <v>46</v>
      </c>
      <c r="U401" s="5" t="s">
        <v>47</v>
      </c>
      <c r="V401" s="5" t="s">
        <v>47</v>
      </c>
      <c r="W401" s="5" t="s">
        <v>47</v>
      </c>
      <c r="X401" s="5" t="s">
        <v>47</v>
      </c>
    </row>
    <row r="402" spans="1:24" x14ac:dyDescent="0.25">
      <c r="A402" s="5" t="s">
        <v>34</v>
      </c>
      <c r="B402" s="5" t="s">
        <v>175</v>
      </c>
      <c r="C402" s="5" t="s">
        <v>176</v>
      </c>
      <c r="D402" s="5" t="s">
        <v>37</v>
      </c>
      <c r="E402" s="5" t="s">
        <v>106</v>
      </c>
      <c r="F402" s="5" t="s">
        <v>107</v>
      </c>
      <c r="G402" s="5" t="s">
        <v>40</v>
      </c>
      <c r="H402" s="6">
        <v>45961</v>
      </c>
      <c r="I402" s="6">
        <v>45961</v>
      </c>
      <c r="J402" s="6">
        <v>45964</v>
      </c>
      <c r="K402" s="5" t="s">
        <v>167</v>
      </c>
      <c r="L402" s="5" t="s">
        <v>168</v>
      </c>
      <c r="M402" s="5" t="s">
        <v>43</v>
      </c>
      <c r="N402" s="5" t="s">
        <v>169</v>
      </c>
      <c r="O402" s="7">
        <v>486.05</v>
      </c>
      <c r="P402" s="5" t="s">
        <v>45</v>
      </c>
      <c r="Q402" s="7">
        <v>486.05</v>
      </c>
      <c r="R402" s="5" t="s">
        <v>45</v>
      </c>
      <c r="S402" s="7">
        <v>143.04</v>
      </c>
      <c r="T402" s="5" t="s">
        <v>46</v>
      </c>
      <c r="U402" s="5" t="s">
        <v>47</v>
      </c>
      <c r="V402" s="5" t="s">
        <v>47</v>
      </c>
      <c r="W402" s="5" t="s">
        <v>47</v>
      </c>
      <c r="X402" s="5" t="s">
        <v>47</v>
      </c>
    </row>
    <row r="403" spans="1:24" x14ac:dyDescent="0.25">
      <c r="A403" s="5" t="s">
        <v>34</v>
      </c>
      <c r="B403" s="5" t="s">
        <v>175</v>
      </c>
      <c r="C403" s="5" t="s">
        <v>176</v>
      </c>
      <c r="D403" s="5" t="s">
        <v>37</v>
      </c>
      <c r="E403" s="5" t="s">
        <v>68</v>
      </c>
      <c r="F403" s="5" t="s">
        <v>69</v>
      </c>
      <c r="G403" s="5" t="s">
        <v>40</v>
      </c>
      <c r="H403" s="6">
        <v>45961</v>
      </c>
      <c r="I403" s="6">
        <v>45961</v>
      </c>
      <c r="J403" s="6">
        <v>45964</v>
      </c>
      <c r="K403" s="5" t="s">
        <v>167</v>
      </c>
      <c r="L403" s="5" t="s">
        <v>168</v>
      </c>
      <c r="M403" s="5" t="s">
        <v>43</v>
      </c>
      <c r="N403" s="5" t="s">
        <v>169</v>
      </c>
      <c r="O403" s="7">
        <v>150.61000000000001</v>
      </c>
      <c r="P403" s="5" t="s">
        <v>45</v>
      </c>
      <c r="Q403" s="7">
        <v>150.61000000000001</v>
      </c>
      <c r="R403" s="5" t="s">
        <v>45</v>
      </c>
      <c r="S403" s="7">
        <v>44.32</v>
      </c>
      <c r="T403" s="5" t="s">
        <v>46</v>
      </c>
      <c r="U403" s="5" t="s">
        <v>47</v>
      </c>
      <c r="V403" s="5" t="s">
        <v>47</v>
      </c>
      <c r="W403" s="5" t="s">
        <v>47</v>
      </c>
      <c r="X403" s="5" t="s">
        <v>47</v>
      </c>
    </row>
    <row r="404" spans="1:24" x14ac:dyDescent="0.25">
      <c r="A404" s="5" t="s">
        <v>34</v>
      </c>
      <c r="B404" s="5" t="s">
        <v>175</v>
      </c>
      <c r="C404" s="5" t="s">
        <v>176</v>
      </c>
      <c r="D404" s="5" t="s">
        <v>37</v>
      </c>
      <c r="E404" s="5" t="s">
        <v>78</v>
      </c>
      <c r="F404" s="5" t="s">
        <v>79</v>
      </c>
      <c r="G404" s="5" t="s">
        <v>40</v>
      </c>
      <c r="H404" s="6">
        <v>45961</v>
      </c>
      <c r="I404" s="6">
        <v>45961</v>
      </c>
      <c r="J404" s="6">
        <v>45964</v>
      </c>
      <c r="K404" s="5" t="s">
        <v>167</v>
      </c>
      <c r="L404" s="5" t="s">
        <v>168</v>
      </c>
      <c r="M404" s="5" t="s">
        <v>43</v>
      </c>
      <c r="N404" s="5" t="s">
        <v>169</v>
      </c>
      <c r="O404" s="7">
        <v>55.11</v>
      </c>
      <c r="P404" s="5" t="s">
        <v>45</v>
      </c>
      <c r="Q404" s="7">
        <v>55.11</v>
      </c>
      <c r="R404" s="5" t="s">
        <v>45</v>
      </c>
      <c r="S404" s="7">
        <v>16.22</v>
      </c>
      <c r="T404" s="5" t="s">
        <v>46</v>
      </c>
      <c r="U404" s="5" t="s">
        <v>47</v>
      </c>
      <c r="V404" s="5" t="s">
        <v>47</v>
      </c>
      <c r="W404" s="5" t="s">
        <v>47</v>
      </c>
      <c r="X404" s="5" t="s">
        <v>47</v>
      </c>
    </row>
    <row r="405" spans="1:24" x14ac:dyDescent="0.25">
      <c r="A405" s="5" t="s">
        <v>34</v>
      </c>
      <c r="B405" s="5" t="s">
        <v>175</v>
      </c>
      <c r="C405" s="5" t="s">
        <v>176</v>
      </c>
      <c r="D405" s="5" t="s">
        <v>37</v>
      </c>
      <c r="E405" s="5" t="s">
        <v>122</v>
      </c>
      <c r="F405" s="5" t="s">
        <v>123</v>
      </c>
      <c r="G405" s="5" t="s">
        <v>40</v>
      </c>
      <c r="H405" s="6">
        <v>45961</v>
      </c>
      <c r="I405" s="6">
        <v>45961</v>
      </c>
      <c r="J405" s="6">
        <v>45964</v>
      </c>
      <c r="K405" s="5" t="s">
        <v>167</v>
      </c>
      <c r="L405" s="5" t="s">
        <v>168</v>
      </c>
      <c r="M405" s="5" t="s">
        <v>43</v>
      </c>
      <c r="N405" s="5" t="s">
        <v>169</v>
      </c>
      <c r="O405" s="7">
        <v>254.95</v>
      </c>
      <c r="P405" s="5" t="s">
        <v>45</v>
      </c>
      <c r="Q405" s="7">
        <v>254.95</v>
      </c>
      <c r="R405" s="5" t="s">
        <v>45</v>
      </c>
      <c r="S405" s="7">
        <v>75.03</v>
      </c>
      <c r="T405" s="5" t="s">
        <v>46</v>
      </c>
      <c r="U405" s="5" t="s">
        <v>47</v>
      </c>
      <c r="V405" s="5" t="s">
        <v>47</v>
      </c>
      <c r="W405" s="5" t="s">
        <v>47</v>
      </c>
      <c r="X405" s="5" t="s">
        <v>47</v>
      </c>
    </row>
    <row r="406" spans="1:24" x14ac:dyDescent="0.25">
      <c r="A406" s="5" t="s">
        <v>34</v>
      </c>
      <c r="B406" s="5" t="s">
        <v>175</v>
      </c>
      <c r="C406" s="5" t="s">
        <v>176</v>
      </c>
      <c r="D406" s="5" t="s">
        <v>37</v>
      </c>
      <c r="E406" s="5" t="s">
        <v>86</v>
      </c>
      <c r="F406" s="5" t="s">
        <v>87</v>
      </c>
      <c r="G406" s="5" t="s">
        <v>40</v>
      </c>
      <c r="H406" s="6">
        <v>45961</v>
      </c>
      <c r="I406" s="6">
        <v>45961</v>
      </c>
      <c r="J406" s="6">
        <v>45964</v>
      </c>
      <c r="K406" s="5" t="s">
        <v>167</v>
      </c>
      <c r="L406" s="5" t="s">
        <v>168</v>
      </c>
      <c r="M406" s="5" t="s">
        <v>43</v>
      </c>
      <c r="N406" s="5" t="s">
        <v>169</v>
      </c>
      <c r="O406" s="7">
        <v>576.05999999999995</v>
      </c>
      <c r="P406" s="5" t="s">
        <v>45</v>
      </c>
      <c r="Q406" s="7">
        <v>576.05999999999995</v>
      </c>
      <c r="R406" s="5" t="s">
        <v>45</v>
      </c>
      <c r="S406" s="7">
        <v>169.53</v>
      </c>
      <c r="T406" s="5" t="s">
        <v>46</v>
      </c>
      <c r="U406" s="5" t="s">
        <v>47</v>
      </c>
      <c r="V406" s="5" t="s">
        <v>47</v>
      </c>
      <c r="W406" s="5" t="s">
        <v>47</v>
      </c>
      <c r="X406" s="5" t="s">
        <v>47</v>
      </c>
    </row>
    <row r="407" spans="1:24" x14ac:dyDescent="0.25">
      <c r="A407" s="5" t="s">
        <v>34</v>
      </c>
      <c r="B407" s="5" t="s">
        <v>175</v>
      </c>
      <c r="C407" s="5" t="s">
        <v>176</v>
      </c>
      <c r="D407" s="5" t="s">
        <v>37</v>
      </c>
      <c r="E407" s="5" t="s">
        <v>38</v>
      </c>
      <c r="F407" s="5" t="s">
        <v>39</v>
      </c>
      <c r="G407" s="5" t="s">
        <v>40</v>
      </c>
      <c r="H407" s="6">
        <v>45961</v>
      </c>
      <c r="I407" s="6">
        <v>45961</v>
      </c>
      <c r="J407" s="6">
        <v>45964</v>
      </c>
      <c r="K407" s="5" t="s">
        <v>167</v>
      </c>
      <c r="L407" s="5" t="s">
        <v>168</v>
      </c>
      <c r="M407" s="5" t="s">
        <v>43</v>
      </c>
      <c r="N407" s="5" t="s">
        <v>169</v>
      </c>
      <c r="O407" s="7">
        <v>308.23</v>
      </c>
      <c r="P407" s="5" t="s">
        <v>45</v>
      </c>
      <c r="Q407" s="7">
        <v>308.23</v>
      </c>
      <c r="R407" s="5" t="s">
        <v>45</v>
      </c>
      <c r="S407" s="7">
        <v>90.71</v>
      </c>
      <c r="T407" s="5" t="s">
        <v>46</v>
      </c>
      <c r="U407" s="5" t="s">
        <v>47</v>
      </c>
      <c r="V407" s="5" t="s">
        <v>47</v>
      </c>
      <c r="W407" s="5" t="s">
        <v>47</v>
      </c>
      <c r="X407" s="5" t="s">
        <v>47</v>
      </c>
    </row>
    <row r="408" spans="1:24" x14ac:dyDescent="0.25">
      <c r="A408" s="5" t="s">
        <v>34</v>
      </c>
      <c r="B408" s="5" t="s">
        <v>175</v>
      </c>
      <c r="C408" s="5" t="s">
        <v>176</v>
      </c>
      <c r="D408" s="5" t="s">
        <v>37</v>
      </c>
      <c r="E408" s="5" t="s">
        <v>52</v>
      </c>
      <c r="F408" s="5" t="s">
        <v>53</v>
      </c>
      <c r="G408" s="5" t="s">
        <v>40</v>
      </c>
      <c r="H408" s="6">
        <v>45961</v>
      </c>
      <c r="I408" s="6">
        <v>45961</v>
      </c>
      <c r="J408" s="6">
        <v>45964</v>
      </c>
      <c r="K408" s="5" t="s">
        <v>167</v>
      </c>
      <c r="L408" s="5" t="s">
        <v>168</v>
      </c>
      <c r="M408" s="5" t="s">
        <v>43</v>
      </c>
      <c r="N408" s="5" t="s">
        <v>169</v>
      </c>
      <c r="O408" s="7">
        <v>150.34</v>
      </c>
      <c r="P408" s="5" t="s">
        <v>45</v>
      </c>
      <c r="Q408" s="7">
        <v>150.34</v>
      </c>
      <c r="R408" s="5" t="s">
        <v>45</v>
      </c>
      <c r="S408" s="7">
        <v>44.24</v>
      </c>
      <c r="T408" s="5" t="s">
        <v>46</v>
      </c>
      <c r="U408" s="5" t="s">
        <v>47</v>
      </c>
      <c r="V408" s="5" t="s">
        <v>47</v>
      </c>
      <c r="W408" s="5" t="s">
        <v>47</v>
      </c>
      <c r="X408" s="5" t="s">
        <v>47</v>
      </c>
    </row>
    <row r="409" spans="1:24" x14ac:dyDescent="0.25">
      <c r="A409" s="5" t="s">
        <v>34</v>
      </c>
      <c r="B409" s="5" t="s">
        <v>175</v>
      </c>
      <c r="C409" s="5" t="s">
        <v>176</v>
      </c>
      <c r="D409" s="5" t="s">
        <v>37</v>
      </c>
      <c r="E409" s="5" t="s">
        <v>74</v>
      </c>
      <c r="F409" s="5" t="s">
        <v>75</v>
      </c>
      <c r="G409" s="5" t="s">
        <v>40</v>
      </c>
      <c r="H409" s="6">
        <v>45961</v>
      </c>
      <c r="I409" s="6">
        <v>45961</v>
      </c>
      <c r="J409" s="6">
        <v>45964</v>
      </c>
      <c r="K409" s="5" t="s">
        <v>167</v>
      </c>
      <c r="L409" s="5" t="s">
        <v>168</v>
      </c>
      <c r="M409" s="5" t="s">
        <v>43</v>
      </c>
      <c r="N409" s="5" t="s">
        <v>169</v>
      </c>
      <c r="O409" s="7">
        <v>2202.71</v>
      </c>
      <c r="P409" s="5" t="s">
        <v>45</v>
      </c>
      <c r="Q409" s="7">
        <v>2202.71</v>
      </c>
      <c r="R409" s="5" t="s">
        <v>45</v>
      </c>
      <c r="S409" s="7">
        <v>648.24</v>
      </c>
      <c r="T409" s="5" t="s">
        <v>46</v>
      </c>
      <c r="U409" s="5" t="s">
        <v>47</v>
      </c>
      <c r="V409" s="5" t="s">
        <v>47</v>
      </c>
      <c r="W409" s="5" t="s">
        <v>47</v>
      </c>
      <c r="X409" s="5" t="s">
        <v>47</v>
      </c>
    </row>
    <row r="410" spans="1:24" x14ac:dyDescent="0.25">
      <c r="A410" s="5" t="s">
        <v>34</v>
      </c>
      <c r="B410" s="5" t="s">
        <v>175</v>
      </c>
      <c r="C410" s="5" t="s">
        <v>176</v>
      </c>
      <c r="D410" s="5" t="s">
        <v>37</v>
      </c>
      <c r="E410" s="5" t="s">
        <v>96</v>
      </c>
      <c r="F410" s="5" t="s">
        <v>97</v>
      </c>
      <c r="G410" s="5" t="s">
        <v>40</v>
      </c>
      <c r="H410" s="6">
        <v>45961</v>
      </c>
      <c r="I410" s="6">
        <v>45961</v>
      </c>
      <c r="J410" s="6">
        <v>45964</v>
      </c>
      <c r="K410" s="5" t="s">
        <v>167</v>
      </c>
      <c r="L410" s="5" t="s">
        <v>168</v>
      </c>
      <c r="M410" s="5" t="s">
        <v>43</v>
      </c>
      <c r="N410" s="5" t="s">
        <v>169</v>
      </c>
      <c r="O410" s="7">
        <v>2482.4499999999998</v>
      </c>
      <c r="P410" s="5" t="s">
        <v>45</v>
      </c>
      <c r="Q410" s="7">
        <v>2482.4499999999998</v>
      </c>
      <c r="R410" s="5" t="s">
        <v>45</v>
      </c>
      <c r="S410" s="7">
        <v>730.56</v>
      </c>
      <c r="T410" s="5" t="s">
        <v>46</v>
      </c>
      <c r="U410" s="5" t="s">
        <v>47</v>
      </c>
      <c r="V410" s="5" t="s">
        <v>47</v>
      </c>
      <c r="W410" s="5" t="s">
        <v>47</v>
      </c>
      <c r="X410" s="5" t="s">
        <v>47</v>
      </c>
    </row>
    <row r="411" spans="1:24" x14ac:dyDescent="0.25">
      <c r="A411" s="5" t="s">
        <v>34</v>
      </c>
      <c r="B411" s="5" t="s">
        <v>175</v>
      </c>
      <c r="C411" s="5" t="s">
        <v>176</v>
      </c>
      <c r="D411" s="5" t="s">
        <v>37</v>
      </c>
      <c r="E411" s="5" t="s">
        <v>94</v>
      </c>
      <c r="F411" s="5" t="s">
        <v>95</v>
      </c>
      <c r="G411" s="5" t="s">
        <v>40</v>
      </c>
      <c r="H411" s="6">
        <v>45961</v>
      </c>
      <c r="I411" s="6">
        <v>45961</v>
      </c>
      <c r="J411" s="6">
        <v>45964</v>
      </c>
      <c r="K411" s="5" t="s">
        <v>167</v>
      </c>
      <c r="L411" s="5" t="s">
        <v>168</v>
      </c>
      <c r="M411" s="5" t="s">
        <v>43</v>
      </c>
      <c r="N411" s="5" t="s">
        <v>169</v>
      </c>
      <c r="O411" s="7">
        <v>3825.18</v>
      </c>
      <c r="P411" s="5" t="s">
        <v>45</v>
      </c>
      <c r="Q411" s="7">
        <v>3825.18</v>
      </c>
      <c r="R411" s="5" t="s">
        <v>45</v>
      </c>
      <c r="S411" s="7">
        <v>1125.72</v>
      </c>
      <c r="T411" s="5" t="s">
        <v>46</v>
      </c>
      <c r="U411" s="5" t="s">
        <v>47</v>
      </c>
      <c r="V411" s="5" t="s">
        <v>47</v>
      </c>
      <c r="W411" s="5" t="s">
        <v>47</v>
      </c>
      <c r="X411" s="5" t="s">
        <v>47</v>
      </c>
    </row>
    <row r="412" spans="1:24" x14ac:dyDescent="0.25">
      <c r="A412" s="5" t="s">
        <v>34</v>
      </c>
      <c r="B412" s="5" t="s">
        <v>175</v>
      </c>
      <c r="C412" s="5" t="s">
        <v>176</v>
      </c>
      <c r="D412" s="5" t="s">
        <v>37</v>
      </c>
      <c r="E412" s="5" t="s">
        <v>62</v>
      </c>
      <c r="F412" s="5" t="s">
        <v>63</v>
      </c>
      <c r="G412" s="5" t="s">
        <v>40</v>
      </c>
      <c r="H412" s="6">
        <v>45961</v>
      </c>
      <c r="I412" s="6">
        <v>45961</v>
      </c>
      <c r="J412" s="6">
        <v>45964</v>
      </c>
      <c r="K412" s="5" t="s">
        <v>167</v>
      </c>
      <c r="L412" s="5" t="s">
        <v>168</v>
      </c>
      <c r="M412" s="5" t="s">
        <v>43</v>
      </c>
      <c r="N412" s="5" t="s">
        <v>169</v>
      </c>
      <c r="O412" s="7">
        <v>275.3</v>
      </c>
      <c r="P412" s="5" t="s">
        <v>45</v>
      </c>
      <c r="Q412" s="7">
        <v>275.3</v>
      </c>
      <c r="R412" s="5" t="s">
        <v>45</v>
      </c>
      <c r="S412" s="7">
        <v>81.02</v>
      </c>
      <c r="T412" s="5" t="s">
        <v>46</v>
      </c>
      <c r="U412" s="5" t="s">
        <v>47</v>
      </c>
      <c r="V412" s="5" t="s">
        <v>47</v>
      </c>
      <c r="W412" s="5" t="s">
        <v>47</v>
      </c>
      <c r="X412" s="5" t="s">
        <v>47</v>
      </c>
    </row>
    <row r="413" spans="1:24" x14ac:dyDescent="0.25">
      <c r="A413" s="5" t="s">
        <v>34</v>
      </c>
      <c r="B413" s="5" t="s">
        <v>175</v>
      </c>
      <c r="C413" s="5" t="s">
        <v>176</v>
      </c>
      <c r="D413" s="5" t="s">
        <v>37</v>
      </c>
      <c r="E413" s="5" t="s">
        <v>58</v>
      </c>
      <c r="F413" s="5" t="s">
        <v>59</v>
      </c>
      <c r="G413" s="5" t="s">
        <v>40</v>
      </c>
      <c r="H413" s="6">
        <v>45961</v>
      </c>
      <c r="I413" s="6">
        <v>45961</v>
      </c>
      <c r="J413" s="6">
        <v>45964</v>
      </c>
      <c r="K413" s="5" t="s">
        <v>167</v>
      </c>
      <c r="L413" s="5" t="s">
        <v>168</v>
      </c>
      <c r="M413" s="5" t="s">
        <v>43</v>
      </c>
      <c r="N413" s="5" t="s">
        <v>169</v>
      </c>
      <c r="O413" s="7">
        <v>2341.42</v>
      </c>
      <c r="P413" s="5" t="s">
        <v>45</v>
      </c>
      <c r="Q413" s="7">
        <v>2341.42</v>
      </c>
      <c r="R413" s="5" t="s">
        <v>45</v>
      </c>
      <c r="S413" s="7">
        <v>689.06</v>
      </c>
      <c r="T413" s="5" t="s">
        <v>46</v>
      </c>
      <c r="U413" s="5" t="s">
        <v>47</v>
      </c>
      <c r="V413" s="5" t="s">
        <v>47</v>
      </c>
      <c r="W413" s="5" t="s">
        <v>47</v>
      </c>
      <c r="X413" s="5" t="s">
        <v>47</v>
      </c>
    </row>
    <row r="414" spans="1:24" x14ac:dyDescent="0.25">
      <c r="A414" s="5" t="s">
        <v>34</v>
      </c>
      <c r="B414" s="5" t="s">
        <v>175</v>
      </c>
      <c r="C414" s="5" t="s">
        <v>176</v>
      </c>
      <c r="D414" s="5" t="s">
        <v>37</v>
      </c>
      <c r="E414" s="5" t="s">
        <v>108</v>
      </c>
      <c r="F414" s="5" t="s">
        <v>109</v>
      </c>
      <c r="G414" s="5" t="s">
        <v>40</v>
      </c>
      <c r="H414" s="6">
        <v>45961</v>
      </c>
      <c r="I414" s="6">
        <v>45961</v>
      </c>
      <c r="J414" s="6">
        <v>45964</v>
      </c>
      <c r="K414" s="5" t="s">
        <v>167</v>
      </c>
      <c r="L414" s="5" t="s">
        <v>168</v>
      </c>
      <c r="M414" s="5" t="s">
        <v>43</v>
      </c>
      <c r="N414" s="5" t="s">
        <v>169</v>
      </c>
      <c r="O414" s="7">
        <v>512.04</v>
      </c>
      <c r="P414" s="5" t="s">
        <v>45</v>
      </c>
      <c r="Q414" s="7">
        <v>512.04</v>
      </c>
      <c r="R414" s="5" t="s">
        <v>45</v>
      </c>
      <c r="S414" s="7">
        <v>150.69</v>
      </c>
      <c r="T414" s="5" t="s">
        <v>46</v>
      </c>
      <c r="U414" s="5" t="s">
        <v>47</v>
      </c>
      <c r="V414" s="5" t="s">
        <v>47</v>
      </c>
      <c r="W414" s="5" t="s">
        <v>47</v>
      </c>
      <c r="X414" s="5" t="s">
        <v>47</v>
      </c>
    </row>
    <row r="415" spans="1:24" x14ac:dyDescent="0.25">
      <c r="A415" s="5" t="s">
        <v>34</v>
      </c>
      <c r="B415" s="5" t="s">
        <v>175</v>
      </c>
      <c r="C415" s="5" t="s">
        <v>176</v>
      </c>
      <c r="D415" s="5" t="s">
        <v>37</v>
      </c>
      <c r="E415" s="5" t="s">
        <v>100</v>
      </c>
      <c r="F415" s="5" t="s">
        <v>101</v>
      </c>
      <c r="G415" s="5" t="s">
        <v>40</v>
      </c>
      <c r="H415" s="6">
        <v>45961</v>
      </c>
      <c r="I415" s="6">
        <v>45961</v>
      </c>
      <c r="J415" s="6">
        <v>45964</v>
      </c>
      <c r="K415" s="5" t="s">
        <v>167</v>
      </c>
      <c r="L415" s="5" t="s">
        <v>168</v>
      </c>
      <c r="M415" s="5" t="s">
        <v>43</v>
      </c>
      <c r="N415" s="5" t="s">
        <v>169</v>
      </c>
      <c r="O415" s="7">
        <v>648.98</v>
      </c>
      <c r="P415" s="5" t="s">
        <v>45</v>
      </c>
      <c r="Q415" s="7">
        <v>648.98</v>
      </c>
      <c r="R415" s="5" t="s">
        <v>45</v>
      </c>
      <c r="S415" s="7">
        <v>190.99</v>
      </c>
      <c r="T415" s="5" t="s">
        <v>46</v>
      </c>
      <c r="U415" s="5" t="s">
        <v>47</v>
      </c>
      <c r="V415" s="5" t="s">
        <v>47</v>
      </c>
      <c r="W415" s="5" t="s">
        <v>47</v>
      </c>
      <c r="X415" s="5" t="s">
        <v>47</v>
      </c>
    </row>
    <row r="416" spans="1:24" x14ac:dyDescent="0.25">
      <c r="A416" s="5" t="s">
        <v>34</v>
      </c>
      <c r="B416" s="5" t="s">
        <v>175</v>
      </c>
      <c r="C416" s="5" t="s">
        <v>176</v>
      </c>
      <c r="D416" s="5" t="s">
        <v>37</v>
      </c>
      <c r="E416" s="5" t="s">
        <v>110</v>
      </c>
      <c r="F416" s="5" t="s">
        <v>111</v>
      </c>
      <c r="G416" s="5" t="s">
        <v>40</v>
      </c>
      <c r="H416" s="6">
        <v>45961</v>
      </c>
      <c r="I416" s="6">
        <v>45961</v>
      </c>
      <c r="J416" s="6">
        <v>45964</v>
      </c>
      <c r="K416" s="5" t="s">
        <v>167</v>
      </c>
      <c r="L416" s="5" t="s">
        <v>168</v>
      </c>
      <c r="M416" s="5" t="s">
        <v>43</v>
      </c>
      <c r="N416" s="5" t="s">
        <v>169</v>
      </c>
      <c r="O416" s="7">
        <v>220.71</v>
      </c>
      <c r="P416" s="5" t="s">
        <v>45</v>
      </c>
      <c r="Q416" s="7">
        <v>220.71</v>
      </c>
      <c r="R416" s="5" t="s">
        <v>45</v>
      </c>
      <c r="S416" s="7">
        <v>64.95</v>
      </c>
      <c r="T416" s="5" t="s">
        <v>46</v>
      </c>
      <c r="U416" s="5" t="s">
        <v>47</v>
      </c>
      <c r="V416" s="5" t="s">
        <v>47</v>
      </c>
      <c r="W416" s="5" t="s">
        <v>47</v>
      </c>
      <c r="X416" s="5" t="s">
        <v>47</v>
      </c>
    </row>
    <row r="417" spans="1:24" x14ac:dyDescent="0.25">
      <c r="A417" s="5" t="s">
        <v>34</v>
      </c>
      <c r="B417" s="5" t="s">
        <v>175</v>
      </c>
      <c r="C417" s="5" t="s">
        <v>176</v>
      </c>
      <c r="D417" s="5" t="s">
        <v>37</v>
      </c>
      <c r="E417" s="5" t="s">
        <v>48</v>
      </c>
      <c r="F417" s="5" t="s">
        <v>49</v>
      </c>
      <c r="G417" s="5" t="s">
        <v>40</v>
      </c>
      <c r="H417" s="6">
        <v>45961</v>
      </c>
      <c r="I417" s="6">
        <v>45961</v>
      </c>
      <c r="J417" s="6">
        <v>45964</v>
      </c>
      <c r="K417" s="5" t="s">
        <v>167</v>
      </c>
      <c r="L417" s="5" t="s">
        <v>168</v>
      </c>
      <c r="M417" s="5" t="s">
        <v>43</v>
      </c>
      <c r="N417" s="5" t="s">
        <v>169</v>
      </c>
      <c r="O417" s="7">
        <v>833.33</v>
      </c>
      <c r="P417" s="5" t="s">
        <v>45</v>
      </c>
      <c r="Q417" s="7">
        <v>833.33</v>
      </c>
      <c r="R417" s="5" t="s">
        <v>45</v>
      </c>
      <c r="S417" s="7">
        <v>245.24</v>
      </c>
      <c r="T417" s="5" t="s">
        <v>46</v>
      </c>
      <c r="U417" s="5" t="s">
        <v>47</v>
      </c>
      <c r="V417" s="5" t="s">
        <v>47</v>
      </c>
      <c r="W417" s="5" t="s">
        <v>47</v>
      </c>
      <c r="X417" s="5" t="s">
        <v>47</v>
      </c>
    </row>
    <row r="418" spans="1:24" x14ac:dyDescent="0.25">
      <c r="A418" s="5" t="s">
        <v>34</v>
      </c>
      <c r="B418" s="5" t="s">
        <v>175</v>
      </c>
      <c r="C418" s="5" t="s">
        <v>176</v>
      </c>
      <c r="D418" s="5" t="s">
        <v>37</v>
      </c>
      <c r="E418" s="5" t="s">
        <v>90</v>
      </c>
      <c r="F418" s="5" t="s">
        <v>91</v>
      </c>
      <c r="G418" s="5" t="s">
        <v>40</v>
      </c>
      <c r="H418" s="6">
        <v>45961</v>
      </c>
      <c r="I418" s="6">
        <v>45961</v>
      </c>
      <c r="J418" s="6">
        <v>45964</v>
      </c>
      <c r="K418" s="5" t="s">
        <v>167</v>
      </c>
      <c r="L418" s="5" t="s">
        <v>168</v>
      </c>
      <c r="M418" s="5" t="s">
        <v>43</v>
      </c>
      <c r="N418" s="5" t="s">
        <v>169</v>
      </c>
      <c r="O418" s="7">
        <v>392.77</v>
      </c>
      <c r="P418" s="5" t="s">
        <v>45</v>
      </c>
      <c r="Q418" s="7">
        <v>392.77</v>
      </c>
      <c r="R418" s="5" t="s">
        <v>45</v>
      </c>
      <c r="S418" s="7">
        <v>115.59</v>
      </c>
      <c r="T418" s="5" t="s">
        <v>46</v>
      </c>
      <c r="U418" s="5" t="s">
        <v>47</v>
      </c>
      <c r="V418" s="5" t="s">
        <v>47</v>
      </c>
      <c r="W418" s="5" t="s">
        <v>47</v>
      </c>
      <c r="X418" s="5" t="s">
        <v>47</v>
      </c>
    </row>
    <row r="419" spans="1:24" x14ac:dyDescent="0.25">
      <c r="A419" s="5" t="s">
        <v>34</v>
      </c>
      <c r="B419" s="5" t="s">
        <v>175</v>
      </c>
      <c r="C419" s="5" t="s">
        <v>176</v>
      </c>
      <c r="D419" s="5" t="s">
        <v>37</v>
      </c>
      <c r="E419" s="5" t="s">
        <v>66</v>
      </c>
      <c r="F419" s="5" t="s">
        <v>67</v>
      </c>
      <c r="G419" s="5" t="s">
        <v>40</v>
      </c>
      <c r="H419" s="6">
        <v>45961</v>
      </c>
      <c r="I419" s="6">
        <v>45961</v>
      </c>
      <c r="J419" s="6">
        <v>45964</v>
      </c>
      <c r="K419" s="5" t="s">
        <v>167</v>
      </c>
      <c r="L419" s="5" t="s">
        <v>168</v>
      </c>
      <c r="M419" s="5" t="s">
        <v>43</v>
      </c>
      <c r="N419" s="5" t="s">
        <v>169</v>
      </c>
      <c r="O419" s="7">
        <v>1394.58</v>
      </c>
      <c r="P419" s="5" t="s">
        <v>45</v>
      </c>
      <c r="Q419" s="7">
        <v>1394.58</v>
      </c>
      <c r="R419" s="5" t="s">
        <v>45</v>
      </c>
      <c r="S419" s="7">
        <v>410.41</v>
      </c>
      <c r="T419" s="5" t="s">
        <v>46</v>
      </c>
      <c r="U419" s="5" t="s">
        <v>47</v>
      </c>
      <c r="V419" s="5" t="s">
        <v>47</v>
      </c>
      <c r="W419" s="5" t="s">
        <v>47</v>
      </c>
      <c r="X419" s="5" t="s">
        <v>47</v>
      </c>
    </row>
    <row r="420" spans="1:24" x14ac:dyDescent="0.25">
      <c r="A420" s="5" t="s">
        <v>34</v>
      </c>
      <c r="B420" s="5" t="s">
        <v>175</v>
      </c>
      <c r="C420" s="5" t="s">
        <v>176</v>
      </c>
      <c r="D420" s="5" t="s">
        <v>37</v>
      </c>
      <c r="E420" s="5" t="s">
        <v>88</v>
      </c>
      <c r="F420" s="5" t="s">
        <v>89</v>
      </c>
      <c r="G420" s="5" t="s">
        <v>40</v>
      </c>
      <c r="H420" s="6">
        <v>45961</v>
      </c>
      <c r="I420" s="6">
        <v>45961</v>
      </c>
      <c r="J420" s="6">
        <v>45964</v>
      </c>
      <c r="K420" s="5" t="s">
        <v>167</v>
      </c>
      <c r="L420" s="5" t="s">
        <v>168</v>
      </c>
      <c r="M420" s="5" t="s">
        <v>43</v>
      </c>
      <c r="N420" s="5" t="s">
        <v>169</v>
      </c>
      <c r="O420" s="7">
        <v>577.83000000000004</v>
      </c>
      <c r="P420" s="5" t="s">
        <v>45</v>
      </c>
      <c r="Q420" s="7">
        <v>577.83000000000004</v>
      </c>
      <c r="R420" s="5" t="s">
        <v>45</v>
      </c>
      <c r="S420" s="7">
        <v>170.05</v>
      </c>
      <c r="T420" s="5" t="s">
        <v>46</v>
      </c>
      <c r="U420" s="5" t="s">
        <v>47</v>
      </c>
      <c r="V420" s="5" t="s">
        <v>47</v>
      </c>
      <c r="W420" s="5" t="s">
        <v>47</v>
      </c>
      <c r="X420" s="5" t="s">
        <v>47</v>
      </c>
    </row>
    <row r="421" spans="1:24" x14ac:dyDescent="0.25">
      <c r="A421" s="5" t="s">
        <v>34</v>
      </c>
      <c r="B421" s="5" t="s">
        <v>175</v>
      </c>
      <c r="C421" s="5" t="s">
        <v>176</v>
      </c>
      <c r="D421" s="5" t="s">
        <v>37</v>
      </c>
      <c r="E421" s="5" t="s">
        <v>64</v>
      </c>
      <c r="F421" s="5" t="s">
        <v>65</v>
      </c>
      <c r="G421" s="5" t="s">
        <v>40</v>
      </c>
      <c r="H421" s="6">
        <v>45961</v>
      </c>
      <c r="I421" s="6">
        <v>45961</v>
      </c>
      <c r="J421" s="6">
        <v>45964</v>
      </c>
      <c r="K421" s="5" t="s">
        <v>167</v>
      </c>
      <c r="L421" s="5" t="s">
        <v>168</v>
      </c>
      <c r="M421" s="5" t="s">
        <v>43</v>
      </c>
      <c r="N421" s="5" t="s">
        <v>169</v>
      </c>
      <c r="O421" s="7">
        <v>263.95</v>
      </c>
      <c r="P421" s="5" t="s">
        <v>45</v>
      </c>
      <c r="Q421" s="7">
        <v>263.95</v>
      </c>
      <c r="R421" s="5" t="s">
        <v>45</v>
      </c>
      <c r="S421" s="7">
        <v>77.680000000000007</v>
      </c>
      <c r="T421" s="5" t="s">
        <v>46</v>
      </c>
      <c r="U421" s="5" t="s">
        <v>47</v>
      </c>
      <c r="V421" s="5" t="s">
        <v>47</v>
      </c>
      <c r="W421" s="5" t="s">
        <v>47</v>
      </c>
      <c r="X421" s="5" t="s">
        <v>47</v>
      </c>
    </row>
    <row r="422" spans="1:24" x14ac:dyDescent="0.25">
      <c r="A422" s="5" t="s">
        <v>34</v>
      </c>
      <c r="B422" s="5" t="s">
        <v>175</v>
      </c>
      <c r="C422" s="5" t="s">
        <v>176</v>
      </c>
      <c r="D422" s="5" t="s">
        <v>37</v>
      </c>
      <c r="E422" s="5" t="s">
        <v>50</v>
      </c>
      <c r="F422" s="5" t="s">
        <v>51</v>
      </c>
      <c r="G422" s="5" t="s">
        <v>40</v>
      </c>
      <c r="H422" s="6">
        <v>45961</v>
      </c>
      <c r="I422" s="6">
        <v>45961</v>
      </c>
      <c r="J422" s="6">
        <v>45964</v>
      </c>
      <c r="K422" s="5" t="s">
        <v>167</v>
      </c>
      <c r="L422" s="5" t="s">
        <v>168</v>
      </c>
      <c r="M422" s="5" t="s">
        <v>43</v>
      </c>
      <c r="N422" s="5" t="s">
        <v>169</v>
      </c>
      <c r="O422" s="7">
        <v>-60.6</v>
      </c>
      <c r="P422" s="5" t="s">
        <v>45</v>
      </c>
      <c r="Q422" s="7">
        <v>-60.6</v>
      </c>
      <c r="R422" s="5" t="s">
        <v>45</v>
      </c>
      <c r="S422" s="7">
        <v>-17.829999999999998</v>
      </c>
      <c r="T422" s="5" t="s">
        <v>46</v>
      </c>
      <c r="U422" s="5" t="s">
        <v>47</v>
      </c>
      <c r="V422" s="5" t="s">
        <v>47</v>
      </c>
      <c r="W422" s="5" t="s">
        <v>47</v>
      </c>
      <c r="X422" s="5" t="s">
        <v>47</v>
      </c>
    </row>
    <row r="423" spans="1:24" x14ac:dyDescent="0.25">
      <c r="A423" s="5" t="s">
        <v>34</v>
      </c>
      <c r="B423" s="5" t="s">
        <v>175</v>
      </c>
      <c r="C423" s="5" t="s">
        <v>176</v>
      </c>
      <c r="D423" s="5" t="s">
        <v>37</v>
      </c>
      <c r="E423" s="5" t="s">
        <v>116</v>
      </c>
      <c r="F423" s="5" t="s">
        <v>117</v>
      </c>
      <c r="G423" s="5" t="s">
        <v>40</v>
      </c>
      <c r="H423" s="6">
        <v>45961</v>
      </c>
      <c r="I423" s="6">
        <v>45961</v>
      </c>
      <c r="J423" s="6">
        <v>45964</v>
      </c>
      <c r="K423" s="5" t="s">
        <v>167</v>
      </c>
      <c r="L423" s="5" t="s">
        <v>168</v>
      </c>
      <c r="M423" s="5" t="s">
        <v>43</v>
      </c>
      <c r="N423" s="5" t="s">
        <v>169</v>
      </c>
      <c r="O423" s="7">
        <v>837.1</v>
      </c>
      <c r="P423" s="5" t="s">
        <v>45</v>
      </c>
      <c r="Q423" s="7">
        <v>837.1</v>
      </c>
      <c r="R423" s="5" t="s">
        <v>45</v>
      </c>
      <c r="S423" s="7">
        <v>246.35</v>
      </c>
      <c r="T423" s="5" t="s">
        <v>46</v>
      </c>
      <c r="U423" s="5" t="s">
        <v>47</v>
      </c>
      <c r="V423" s="5" t="s">
        <v>47</v>
      </c>
      <c r="W423" s="5" t="s">
        <v>47</v>
      </c>
      <c r="X423" s="5" t="s">
        <v>47</v>
      </c>
    </row>
    <row r="424" spans="1:24" x14ac:dyDescent="0.25">
      <c r="A424" s="5" t="s">
        <v>34</v>
      </c>
      <c r="B424" s="5" t="s">
        <v>175</v>
      </c>
      <c r="C424" s="5" t="s">
        <v>176</v>
      </c>
      <c r="D424" s="5" t="s">
        <v>37</v>
      </c>
      <c r="E424" s="5" t="s">
        <v>104</v>
      </c>
      <c r="F424" s="5" t="s">
        <v>105</v>
      </c>
      <c r="G424" s="5" t="s">
        <v>40</v>
      </c>
      <c r="H424" s="6">
        <v>45961</v>
      </c>
      <c r="I424" s="6">
        <v>45961</v>
      </c>
      <c r="J424" s="6">
        <v>45964</v>
      </c>
      <c r="K424" s="5" t="s">
        <v>167</v>
      </c>
      <c r="L424" s="5" t="s">
        <v>168</v>
      </c>
      <c r="M424" s="5" t="s">
        <v>43</v>
      </c>
      <c r="N424" s="5" t="s">
        <v>169</v>
      </c>
      <c r="O424" s="7">
        <v>404.06</v>
      </c>
      <c r="P424" s="5" t="s">
        <v>45</v>
      </c>
      <c r="Q424" s="7">
        <v>404.06</v>
      </c>
      <c r="R424" s="5" t="s">
        <v>45</v>
      </c>
      <c r="S424" s="7">
        <v>118.91</v>
      </c>
      <c r="T424" s="5" t="s">
        <v>46</v>
      </c>
      <c r="U424" s="5" t="s">
        <v>47</v>
      </c>
      <c r="V424" s="5" t="s">
        <v>47</v>
      </c>
      <c r="W424" s="5" t="s">
        <v>47</v>
      </c>
      <c r="X424" s="5" t="s">
        <v>47</v>
      </c>
    </row>
    <row r="425" spans="1:24" x14ac:dyDescent="0.25">
      <c r="A425" s="5" t="s">
        <v>34</v>
      </c>
      <c r="B425" s="5" t="s">
        <v>175</v>
      </c>
      <c r="C425" s="5" t="s">
        <v>176</v>
      </c>
      <c r="D425" s="5" t="s">
        <v>37</v>
      </c>
      <c r="E425" s="5" t="s">
        <v>112</v>
      </c>
      <c r="F425" s="5" t="s">
        <v>113</v>
      </c>
      <c r="G425" s="5" t="s">
        <v>40</v>
      </c>
      <c r="H425" s="6">
        <v>45961</v>
      </c>
      <c r="I425" s="6">
        <v>45961</v>
      </c>
      <c r="J425" s="6">
        <v>45964</v>
      </c>
      <c r="K425" s="5" t="s">
        <v>167</v>
      </c>
      <c r="L425" s="5" t="s">
        <v>168</v>
      </c>
      <c r="M425" s="5" t="s">
        <v>43</v>
      </c>
      <c r="N425" s="5" t="s">
        <v>169</v>
      </c>
      <c r="O425" s="7">
        <v>251.1</v>
      </c>
      <c r="P425" s="5" t="s">
        <v>45</v>
      </c>
      <c r="Q425" s="7">
        <v>251.1</v>
      </c>
      <c r="R425" s="5" t="s">
        <v>45</v>
      </c>
      <c r="S425" s="7">
        <v>73.900000000000006</v>
      </c>
      <c r="T425" s="5" t="s">
        <v>46</v>
      </c>
      <c r="U425" s="5" t="s">
        <v>47</v>
      </c>
      <c r="V425" s="5" t="s">
        <v>47</v>
      </c>
      <c r="W425" s="5" t="s">
        <v>47</v>
      </c>
      <c r="X425" s="5" t="s">
        <v>47</v>
      </c>
    </row>
    <row r="426" spans="1:24" x14ac:dyDescent="0.25">
      <c r="A426" s="5" t="s">
        <v>34</v>
      </c>
      <c r="B426" s="5" t="s">
        <v>175</v>
      </c>
      <c r="C426" s="5" t="s">
        <v>176</v>
      </c>
      <c r="D426" s="5" t="s">
        <v>37</v>
      </c>
      <c r="E426" s="5" t="s">
        <v>80</v>
      </c>
      <c r="F426" s="5" t="s">
        <v>81</v>
      </c>
      <c r="G426" s="5" t="s">
        <v>40</v>
      </c>
      <c r="H426" s="6">
        <v>45961</v>
      </c>
      <c r="I426" s="6">
        <v>45961</v>
      </c>
      <c r="J426" s="6">
        <v>45964</v>
      </c>
      <c r="K426" s="5" t="s">
        <v>167</v>
      </c>
      <c r="L426" s="5" t="s">
        <v>168</v>
      </c>
      <c r="M426" s="5" t="s">
        <v>43</v>
      </c>
      <c r="N426" s="5" t="s">
        <v>169</v>
      </c>
      <c r="O426" s="7">
        <v>785.77</v>
      </c>
      <c r="P426" s="5" t="s">
        <v>45</v>
      </c>
      <c r="Q426" s="7">
        <v>785.77</v>
      </c>
      <c r="R426" s="5" t="s">
        <v>45</v>
      </c>
      <c r="S426" s="7">
        <v>231.24</v>
      </c>
      <c r="T426" s="5" t="s">
        <v>46</v>
      </c>
      <c r="U426" s="5" t="s">
        <v>47</v>
      </c>
      <c r="V426" s="5" t="s">
        <v>47</v>
      </c>
      <c r="W426" s="5" t="s">
        <v>47</v>
      </c>
      <c r="X426" s="5" t="s">
        <v>47</v>
      </c>
    </row>
    <row r="427" spans="1:24" x14ac:dyDescent="0.25">
      <c r="A427" s="5" t="s">
        <v>34</v>
      </c>
      <c r="B427" s="5" t="s">
        <v>175</v>
      </c>
      <c r="C427" s="5" t="s">
        <v>176</v>
      </c>
      <c r="D427" s="5" t="s">
        <v>37</v>
      </c>
      <c r="E427" s="5" t="s">
        <v>76</v>
      </c>
      <c r="F427" s="5" t="s">
        <v>77</v>
      </c>
      <c r="G427" s="5" t="s">
        <v>40</v>
      </c>
      <c r="H427" s="6">
        <v>45961</v>
      </c>
      <c r="I427" s="6">
        <v>45961</v>
      </c>
      <c r="J427" s="6">
        <v>45964</v>
      </c>
      <c r="K427" s="5" t="s">
        <v>167</v>
      </c>
      <c r="L427" s="5" t="s">
        <v>168</v>
      </c>
      <c r="M427" s="5" t="s">
        <v>43</v>
      </c>
      <c r="N427" s="5" t="s">
        <v>169</v>
      </c>
      <c r="O427" s="7">
        <v>404.03</v>
      </c>
      <c r="P427" s="5" t="s">
        <v>45</v>
      </c>
      <c r="Q427" s="7">
        <v>404.03</v>
      </c>
      <c r="R427" s="5" t="s">
        <v>45</v>
      </c>
      <c r="S427" s="7">
        <v>118.9</v>
      </c>
      <c r="T427" s="5" t="s">
        <v>46</v>
      </c>
      <c r="U427" s="5" t="s">
        <v>47</v>
      </c>
      <c r="V427" s="5" t="s">
        <v>47</v>
      </c>
      <c r="W427" s="5" t="s">
        <v>47</v>
      </c>
      <c r="X427" s="5" t="s">
        <v>47</v>
      </c>
    </row>
    <row r="428" spans="1:24" x14ac:dyDescent="0.25">
      <c r="A428" s="5" t="s">
        <v>34</v>
      </c>
      <c r="B428" s="5" t="s">
        <v>175</v>
      </c>
      <c r="C428" s="5" t="s">
        <v>176</v>
      </c>
      <c r="D428" s="5" t="s">
        <v>37</v>
      </c>
      <c r="E428" s="5" t="s">
        <v>84</v>
      </c>
      <c r="F428" s="5" t="s">
        <v>85</v>
      </c>
      <c r="G428" s="5" t="s">
        <v>40</v>
      </c>
      <c r="H428" s="6">
        <v>45961</v>
      </c>
      <c r="I428" s="6">
        <v>45961</v>
      </c>
      <c r="J428" s="6">
        <v>45964</v>
      </c>
      <c r="K428" s="5" t="s">
        <v>167</v>
      </c>
      <c r="L428" s="5" t="s">
        <v>168</v>
      </c>
      <c r="M428" s="5" t="s">
        <v>43</v>
      </c>
      <c r="N428" s="5" t="s">
        <v>169</v>
      </c>
      <c r="O428" s="7">
        <v>676.35</v>
      </c>
      <c r="P428" s="5" t="s">
        <v>45</v>
      </c>
      <c r="Q428" s="7">
        <v>676.35</v>
      </c>
      <c r="R428" s="5" t="s">
        <v>45</v>
      </c>
      <c r="S428" s="7">
        <v>199.04</v>
      </c>
      <c r="T428" s="5" t="s">
        <v>46</v>
      </c>
      <c r="U428" s="5" t="s">
        <v>47</v>
      </c>
      <c r="V428" s="5" t="s">
        <v>47</v>
      </c>
      <c r="W428" s="5" t="s">
        <v>47</v>
      </c>
      <c r="X428" s="5" t="s">
        <v>47</v>
      </c>
    </row>
    <row r="429" spans="1:24" x14ac:dyDescent="0.25">
      <c r="A429" s="5" t="s">
        <v>34</v>
      </c>
      <c r="B429" s="5" t="s">
        <v>175</v>
      </c>
      <c r="C429" s="5" t="s">
        <v>176</v>
      </c>
      <c r="D429" s="5" t="s">
        <v>37</v>
      </c>
      <c r="E429" s="5" t="s">
        <v>70</v>
      </c>
      <c r="F429" s="5" t="s">
        <v>71</v>
      </c>
      <c r="G429" s="5" t="s">
        <v>40</v>
      </c>
      <c r="H429" s="6">
        <v>45961</v>
      </c>
      <c r="I429" s="6">
        <v>45961</v>
      </c>
      <c r="J429" s="6">
        <v>45964</v>
      </c>
      <c r="K429" s="5" t="s">
        <v>167</v>
      </c>
      <c r="L429" s="5" t="s">
        <v>168</v>
      </c>
      <c r="M429" s="5" t="s">
        <v>43</v>
      </c>
      <c r="N429" s="5" t="s">
        <v>169</v>
      </c>
      <c r="O429" s="7">
        <v>521.02</v>
      </c>
      <c r="P429" s="5" t="s">
        <v>45</v>
      </c>
      <c r="Q429" s="7">
        <v>521.02</v>
      </c>
      <c r="R429" s="5" t="s">
        <v>45</v>
      </c>
      <c r="S429" s="7">
        <v>153.33000000000001</v>
      </c>
      <c r="T429" s="5" t="s">
        <v>46</v>
      </c>
      <c r="U429" s="5" t="s">
        <v>47</v>
      </c>
      <c r="V429" s="5" t="s">
        <v>47</v>
      </c>
      <c r="W429" s="5" t="s">
        <v>47</v>
      </c>
      <c r="X429" s="5" t="s">
        <v>47</v>
      </c>
    </row>
    <row r="430" spans="1:24" x14ac:dyDescent="0.25">
      <c r="A430" s="5" t="s">
        <v>34</v>
      </c>
      <c r="B430" s="5" t="s">
        <v>175</v>
      </c>
      <c r="C430" s="5" t="s">
        <v>176</v>
      </c>
      <c r="D430" s="5" t="s">
        <v>37</v>
      </c>
      <c r="E430" s="5" t="s">
        <v>102</v>
      </c>
      <c r="F430" s="5" t="s">
        <v>103</v>
      </c>
      <c r="G430" s="5" t="s">
        <v>40</v>
      </c>
      <c r="H430" s="6">
        <v>45961</v>
      </c>
      <c r="I430" s="6">
        <v>45961</v>
      </c>
      <c r="J430" s="6">
        <v>45964</v>
      </c>
      <c r="K430" s="5" t="s">
        <v>167</v>
      </c>
      <c r="L430" s="5" t="s">
        <v>168</v>
      </c>
      <c r="M430" s="5" t="s">
        <v>43</v>
      </c>
      <c r="N430" s="5" t="s">
        <v>169</v>
      </c>
      <c r="O430" s="7">
        <v>242.98</v>
      </c>
      <c r="P430" s="5" t="s">
        <v>45</v>
      </c>
      <c r="Q430" s="7">
        <v>242.98</v>
      </c>
      <c r="R430" s="5" t="s">
        <v>45</v>
      </c>
      <c r="S430" s="7">
        <v>71.510000000000005</v>
      </c>
      <c r="T430" s="5" t="s">
        <v>46</v>
      </c>
      <c r="U430" s="5" t="s">
        <v>47</v>
      </c>
      <c r="V430" s="5" t="s">
        <v>47</v>
      </c>
      <c r="W430" s="5" t="s">
        <v>47</v>
      </c>
      <c r="X430" s="5" t="s">
        <v>47</v>
      </c>
    </row>
    <row r="431" spans="1:24" x14ac:dyDescent="0.25">
      <c r="A431" s="5" t="s">
        <v>34</v>
      </c>
      <c r="B431" s="5" t="s">
        <v>175</v>
      </c>
      <c r="C431" s="5" t="s">
        <v>176</v>
      </c>
      <c r="D431" s="5" t="s">
        <v>37</v>
      </c>
      <c r="E431" s="5" t="s">
        <v>114</v>
      </c>
      <c r="F431" s="5" t="s">
        <v>115</v>
      </c>
      <c r="G431" s="5" t="s">
        <v>40</v>
      </c>
      <c r="H431" s="6">
        <v>45961</v>
      </c>
      <c r="I431" s="6">
        <v>45961</v>
      </c>
      <c r="J431" s="6">
        <v>45964</v>
      </c>
      <c r="K431" s="5" t="s">
        <v>167</v>
      </c>
      <c r="L431" s="5" t="s">
        <v>168</v>
      </c>
      <c r="M431" s="5" t="s">
        <v>43</v>
      </c>
      <c r="N431" s="5" t="s">
        <v>169</v>
      </c>
      <c r="O431" s="7">
        <v>1546.84</v>
      </c>
      <c r="P431" s="5" t="s">
        <v>45</v>
      </c>
      <c r="Q431" s="7">
        <v>1546.84</v>
      </c>
      <c r="R431" s="5" t="s">
        <v>45</v>
      </c>
      <c r="S431" s="7">
        <v>455.22</v>
      </c>
      <c r="T431" s="5" t="s">
        <v>46</v>
      </c>
      <c r="U431" s="5" t="s">
        <v>47</v>
      </c>
      <c r="V431" s="5" t="s">
        <v>47</v>
      </c>
      <c r="W431" s="5" t="s">
        <v>47</v>
      </c>
      <c r="X431" s="5" t="s">
        <v>47</v>
      </c>
    </row>
    <row r="432" spans="1:24" x14ac:dyDescent="0.25">
      <c r="A432" s="5" t="s">
        <v>34</v>
      </c>
      <c r="B432" s="5" t="s">
        <v>175</v>
      </c>
      <c r="C432" s="5" t="s">
        <v>176</v>
      </c>
      <c r="D432" s="5" t="s">
        <v>37</v>
      </c>
      <c r="E432" s="5" t="s">
        <v>60</v>
      </c>
      <c r="F432" s="5" t="s">
        <v>61</v>
      </c>
      <c r="G432" s="5" t="s">
        <v>40</v>
      </c>
      <c r="H432" s="6">
        <v>45961</v>
      </c>
      <c r="I432" s="6">
        <v>45961</v>
      </c>
      <c r="J432" s="6">
        <v>45964</v>
      </c>
      <c r="K432" s="5" t="s">
        <v>167</v>
      </c>
      <c r="L432" s="5" t="s">
        <v>168</v>
      </c>
      <c r="M432" s="5" t="s">
        <v>43</v>
      </c>
      <c r="N432" s="5" t="s">
        <v>169</v>
      </c>
      <c r="O432" s="7">
        <v>4133.7299999999996</v>
      </c>
      <c r="P432" s="5" t="s">
        <v>45</v>
      </c>
      <c r="Q432" s="7">
        <v>4133.7299999999996</v>
      </c>
      <c r="R432" s="5" t="s">
        <v>45</v>
      </c>
      <c r="S432" s="7">
        <v>1216.52</v>
      </c>
      <c r="T432" s="5" t="s">
        <v>46</v>
      </c>
      <c r="U432" s="5" t="s">
        <v>47</v>
      </c>
      <c r="V432" s="5" t="s">
        <v>47</v>
      </c>
      <c r="W432" s="5" t="s">
        <v>47</v>
      </c>
      <c r="X432" s="5" t="s">
        <v>47</v>
      </c>
    </row>
    <row r="433" spans="1:24" x14ac:dyDescent="0.25">
      <c r="A433" s="5" t="s">
        <v>34</v>
      </c>
      <c r="B433" s="5" t="s">
        <v>175</v>
      </c>
      <c r="C433" s="5" t="s">
        <v>176</v>
      </c>
      <c r="D433" s="5" t="s">
        <v>37</v>
      </c>
      <c r="E433" s="5" t="s">
        <v>92</v>
      </c>
      <c r="F433" s="5" t="s">
        <v>93</v>
      </c>
      <c r="G433" s="5" t="s">
        <v>40</v>
      </c>
      <c r="H433" s="6">
        <v>45961</v>
      </c>
      <c r="I433" s="6">
        <v>45961</v>
      </c>
      <c r="J433" s="6">
        <v>45964</v>
      </c>
      <c r="K433" s="5" t="s">
        <v>167</v>
      </c>
      <c r="L433" s="5" t="s">
        <v>168</v>
      </c>
      <c r="M433" s="5" t="s">
        <v>43</v>
      </c>
      <c r="N433" s="5" t="s">
        <v>169</v>
      </c>
      <c r="O433" s="7">
        <v>526.64</v>
      </c>
      <c r="P433" s="5" t="s">
        <v>45</v>
      </c>
      <c r="Q433" s="7">
        <v>526.64</v>
      </c>
      <c r="R433" s="5" t="s">
        <v>45</v>
      </c>
      <c r="S433" s="7">
        <v>154.99</v>
      </c>
      <c r="T433" s="5" t="s">
        <v>46</v>
      </c>
      <c r="U433" s="5" t="s">
        <v>47</v>
      </c>
      <c r="V433" s="5" t="s">
        <v>47</v>
      </c>
      <c r="W433" s="5" t="s">
        <v>47</v>
      </c>
      <c r="X433" s="5" t="s">
        <v>47</v>
      </c>
    </row>
    <row r="434" spans="1:24" x14ac:dyDescent="0.25">
      <c r="A434" s="5" t="s">
        <v>34</v>
      </c>
      <c r="B434" s="5" t="s">
        <v>175</v>
      </c>
      <c r="C434" s="5" t="s">
        <v>176</v>
      </c>
      <c r="D434" s="5" t="s">
        <v>37</v>
      </c>
      <c r="E434" s="5" t="s">
        <v>98</v>
      </c>
      <c r="F434" s="5" t="s">
        <v>99</v>
      </c>
      <c r="G434" s="5" t="s">
        <v>40</v>
      </c>
      <c r="H434" s="6">
        <v>45961</v>
      </c>
      <c r="I434" s="6">
        <v>45961</v>
      </c>
      <c r="J434" s="6">
        <v>45964</v>
      </c>
      <c r="K434" s="5" t="s">
        <v>167</v>
      </c>
      <c r="L434" s="5" t="s">
        <v>168</v>
      </c>
      <c r="M434" s="5" t="s">
        <v>43</v>
      </c>
      <c r="N434" s="5" t="s">
        <v>169</v>
      </c>
      <c r="O434" s="7">
        <v>1314.39</v>
      </c>
      <c r="P434" s="5" t="s">
        <v>45</v>
      </c>
      <c r="Q434" s="7">
        <v>1314.39</v>
      </c>
      <c r="R434" s="5" t="s">
        <v>45</v>
      </c>
      <c r="S434" s="7">
        <v>386.81</v>
      </c>
      <c r="T434" s="5" t="s">
        <v>46</v>
      </c>
      <c r="U434" s="5" t="s">
        <v>47</v>
      </c>
      <c r="V434" s="5" t="s">
        <v>47</v>
      </c>
      <c r="W434" s="5" t="s">
        <v>47</v>
      </c>
      <c r="X434" s="5" t="s">
        <v>47</v>
      </c>
    </row>
    <row r="435" spans="1:24" x14ac:dyDescent="0.25">
      <c r="A435" s="5" t="s">
        <v>34</v>
      </c>
      <c r="B435" s="5" t="s">
        <v>175</v>
      </c>
      <c r="C435" s="5" t="s">
        <v>176</v>
      </c>
      <c r="D435" s="5" t="s">
        <v>37</v>
      </c>
      <c r="E435" s="5" t="s">
        <v>72</v>
      </c>
      <c r="F435" s="5" t="s">
        <v>73</v>
      </c>
      <c r="G435" s="5" t="s">
        <v>40</v>
      </c>
      <c r="H435" s="6">
        <v>45961</v>
      </c>
      <c r="I435" s="6">
        <v>45961</v>
      </c>
      <c r="J435" s="6">
        <v>45964</v>
      </c>
      <c r="K435" s="5" t="s">
        <v>167</v>
      </c>
      <c r="L435" s="5" t="s">
        <v>168</v>
      </c>
      <c r="M435" s="5" t="s">
        <v>43</v>
      </c>
      <c r="N435" s="5" t="s">
        <v>169</v>
      </c>
      <c r="O435" s="7">
        <v>360.01</v>
      </c>
      <c r="P435" s="5" t="s">
        <v>45</v>
      </c>
      <c r="Q435" s="7">
        <v>360.01</v>
      </c>
      <c r="R435" s="5" t="s">
        <v>45</v>
      </c>
      <c r="S435" s="7">
        <v>105.95</v>
      </c>
      <c r="T435" s="5" t="s">
        <v>46</v>
      </c>
      <c r="U435" s="5" t="s">
        <v>47</v>
      </c>
      <c r="V435" s="5" t="s">
        <v>47</v>
      </c>
      <c r="W435" s="5" t="s">
        <v>47</v>
      </c>
      <c r="X435" s="5" t="s">
        <v>47</v>
      </c>
    </row>
    <row r="436" spans="1:24" x14ac:dyDescent="0.25">
      <c r="A436" s="5" t="s">
        <v>34</v>
      </c>
      <c r="B436" s="5" t="s">
        <v>175</v>
      </c>
      <c r="C436" s="5" t="s">
        <v>176</v>
      </c>
      <c r="D436" s="5" t="s">
        <v>37</v>
      </c>
      <c r="E436" s="5" t="s">
        <v>54</v>
      </c>
      <c r="F436" s="5" t="s">
        <v>55</v>
      </c>
      <c r="G436" s="5" t="s">
        <v>40</v>
      </c>
      <c r="H436" s="6">
        <v>45961</v>
      </c>
      <c r="I436" s="6">
        <v>45961</v>
      </c>
      <c r="J436" s="6">
        <v>45964</v>
      </c>
      <c r="K436" s="5" t="s">
        <v>167</v>
      </c>
      <c r="L436" s="5" t="s">
        <v>168</v>
      </c>
      <c r="M436" s="5" t="s">
        <v>43</v>
      </c>
      <c r="N436" s="5" t="s">
        <v>169</v>
      </c>
      <c r="O436" s="7">
        <v>455.44</v>
      </c>
      <c r="P436" s="5" t="s">
        <v>45</v>
      </c>
      <c r="Q436" s="7">
        <v>455.44</v>
      </c>
      <c r="R436" s="5" t="s">
        <v>45</v>
      </c>
      <c r="S436" s="7">
        <v>134.03</v>
      </c>
      <c r="T436" s="5" t="s">
        <v>46</v>
      </c>
      <c r="U436" s="5" t="s">
        <v>47</v>
      </c>
      <c r="V436" s="5" t="s">
        <v>47</v>
      </c>
      <c r="W436" s="5" t="s">
        <v>47</v>
      </c>
      <c r="X436" s="5" t="s">
        <v>47</v>
      </c>
    </row>
    <row r="437" spans="1:24" x14ac:dyDescent="0.25">
      <c r="A437" s="5" t="s">
        <v>34</v>
      </c>
      <c r="B437" s="5" t="s">
        <v>175</v>
      </c>
      <c r="C437" s="5" t="s">
        <v>176</v>
      </c>
      <c r="D437" s="5" t="s">
        <v>37</v>
      </c>
      <c r="E437" s="5" t="s">
        <v>82</v>
      </c>
      <c r="F437" s="5" t="s">
        <v>83</v>
      </c>
      <c r="G437" s="5" t="s">
        <v>40</v>
      </c>
      <c r="H437" s="6">
        <v>45961</v>
      </c>
      <c r="I437" s="6">
        <v>45961</v>
      </c>
      <c r="J437" s="6">
        <v>45964</v>
      </c>
      <c r="K437" s="5" t="s">
        <v>167</v>
      </c>
      <c r="L437" s="5" t="s">
        <v>168</v>
      </c>
      <c r="M437" s="5" t="s">
        <v>43</v>
      </c>
      <c r="N437" s="5" t="s">
        <v>169</v>
      </c>
      <c r="O437" s="7">
        <v>493.22</v>
      </c>
      <c r="P437" s="5" t="s">
        <v>45</v>
      </c>
      <c r="Q437" s="7">
        <v>493.22</v>
      </c>
      <c r="R437" s="5" t="s">
        <v>45</v>
      </c>
      <c r="S437" s="7">
        <v>145.15</v>
      </c>
      <c r="T437" s="5" t="s">
        <v>46</v>
      </c>
      <c r="U437" s="5" t="s">
        <v>47</v>
      </c>
      <c r="V437" s="5" t="s">
        <v>47</v>
      </c>
      <c r="W437" s="5" t="s">
        <v>47</v>
      </c>
      <c r="X437" s="5" t="s">
        <v>47</v>
      </c>
    </row>
    <row r="438" spans="1:24" x14ac:dyDescent="0.25">
      <c r="A438" s="5" t="s">
        <v>34</v>
      </c>
      <c r="B438" s="5" t="s">
        <v>175</v>
      </c>
      <c r="C438" s="5" t="s">
        <v>176</v>
      </c>
      <c r="D438" s="5" t="s">
        <v>37</v>
      </c>
      <c r="E438" s="5" t="s">
        <v>56</v>
      </c>
      <c r="F438" s="5" t="s">
        <v>57</v>
      </c>
      <c r="G438" s="5" t="s">
        <v>40</v>
      </c>
      <c r="H438" s="6">
        <v>45961</v>
      </c>
      <c r="I438" s="6">
        <v>45961</v>
      </c>
      <c r="J438" s="6">
        <v>45964</v>
      </c>
      <c r="K438" s="5" t="s">
        <v>167</v>
      </c>
      <c r="L438" s="5" t="s">
        <v>168</v>
      </c>
      <c r="M438" s="5" t="s">
        <v>43</v>
      </c>
      <c r="N438" s="5" t="s">
        <v>169</v>
      </c>
      <c r="O438" s="7">
        <v>3309.09</v>
      </c>
      <c r="P438" s="5" t="s">
        <v>45</v>
      </c>
      <c r="Q438" s="7">
        <v>3309.09</v>
      </c>
      <c r="R438" s="5" t="s">
        <v>45</v>
      </c>
      <c r="S438" s="7">
        <v>973.83</v>
      </c>
      <c r="T438" s="5" t="s">
        <v>46</v>
      </c>
      <c r="U438" s="5" t="s">
        <v>47</v>
      </c>
      <c r="V438" s="5" t="s">
        <v>47</v>
      </c>
      <c r="W438" s="5" t="s">
        <v>47</v>
      </c>
      <c r="X438" s="5" t="s">
        <v>47</v>
      </c>
    </row>
    <row r="439" spans="1:24" x14ac:dyDescent="0.25">
      <c r="A439" s="5" t="s">
        <v>34</v>
      </c>
      <c r="B439" s="5" t="s">
        <v>177</v>
      </c>
      <c r="C439" s="5" t="s">
        <v>178</v>
      </c>
      <c r="D439" s="5" t="s">
        <v>37</v>
      </c>
      <c r="E439" s="5" t="s">
        <v>78</v>
      </c>
      <c r="F439" s="5" t="s">
        <v>79</v>
      </c>
      <c r="G439" s="5" t="s">
        <v>40</v>
      </c>
      <c r="H439" s="6">
        <v>45961</v>
      </c>
      <c r="I439" s="6">
        <v>45961</v>
      </c>
      <c r="J439" s="6">
        <v>45964</v>
      </c>
      <c r="K439" s="5" t="s">
        <v>172</v>
      </c>
      <c r="L439" s="5" t="s">
        <v>173</v>
      </c>
      <c r="M439" s="5" t="s">
        <v>43</v>
      </c>
      <c r="N439" s="5" t="s">
        <v>174</v>
      </c>
      <c r="O439" s="7">
        <v>4616.07</v>
      </c>
      <c r="P439" s="5" t="s">
        <v>45</v>
      </c>
      <c r="Q439" s="7">
        <v>4616.07</v>
      </c>
      <c r="R439" s="5" t="s">
        <v>45</v>
      </c>
      <c r="S439" s="7">
        <v>1358.47</v>
      </c>
      <c r="T439" s="5" t="s">
        <v>46</v>
      </c>
      <c r="U439" s="5" t="s">
        <v>47</v>
      </c>
      <c r="V439" s="5" t="s">
        <v>47</v>
      </c>
      <c r="W439" s="5" t="s">
        <v>47</v>
      </c>
      <c r="X439" s="5" t="s">
        <v>47</v>
      </c>
    </row>
    <row r="440" spans="1:24" x14ac:dyDescent="0.25">
      <c r="A440" s="5" t="s">
        <v>34</v>
      </c>
      <c r="B440" s="5" t="s">
        <v>177</v>
      </c>
      <c r="C440" s="5" t="s">
        <v>178</v>
      </c>
      <c r="D440" s="5" t="s">
        <v>37</v>
      </c>
      <c r="E440" s="5" t="s">
        <v>104</v>
      </c>
      <c r="F440" s="5" t="s">
        <v>105</v>
      </c>
      <c r="G440" s="5" t="s">
        <v>40</v>
      </c>
      <c r="H440" s="6">
        <v>45961</v>
      </c>
      <c r="I440" s="6">
        <v>45961</v>
      </c>
      <c r="J440" s="6">
        <v>45964</v>
      </c>
      <c r="K440" s="5" t="s">
        <v>172</v>
      </c>
      <c r="L440" s="5" t="s">
        <v>173</v>
      </c>
      <c r="M440" s="5" t="s">
        <v>43</v>
      </c>
      <c r="N440" s="5" t="s">
        <v>174</v>
      </c>
      <c r="O440" s="7">
        <v>4850.84</v>
      </c>
      <c r="P440" s="5" t="s">
        <v>45</v>
      </c>
      <c r="Q440" s="7">
        <v>4850.84</v>
      </c>
      <c r="R440" s="5" t="s">
        <v>45</v>
      </c>
      <c r="S440" s="7">
        <v>1427.56</v>
      </c>
      <c r="T440" s="5" t="s">
        <v>46</v>
      </c>
      <c r="U440" s="5" t="s">
        <v>47</v>
      </c>
      <c r="V440" s="5" t="s">
        <v>47</v>
      </c>
      <c r="W440" s="5" t="s">
        <v>47</v>
      </c>
      <c r="X440" s="5" t="s">
        <v>47</v>
      </c>
    </row>
    <row r="441" spans="1:24" x14ac:dyDescent="0.25">
      <c r="A441" s="5" t="s">
        <v>34</v>
      </c>
      <c r="B441" s="5" t="s">
        <v>177</v>
      </c>
      <c r="C441" s="5" t="s">
        <v>178</v>
      </c>
      <c r="D441" s="5" t="s">
        <v>37</v>
      </c>
      <c r="E441" s="5" t="s">
        <v>72</v>
      </c>
      <c r="F441" s="5" t="s">
        <v>73</v>
      </c>
      <c r="G441" s="5" t="s">
        <v>40</v>
      </c>
      <c r="H441" s="6">
        <v>45961</v>
      </c>
      <c r="I441" s="6">
        <v>45961</v>
      </c>
      <c r="J441" s="6">
        <v>45964</v>
      </c>
      <c r="K441" s="5" t="s">
        <v>172</v>
      </c>
      <c r="L441" s="5" t="s">
        <v>173</v>
      </c>
      <c r="M441" s="5" t="s">
        <v>43</v>
      </c>
      <c r="N441" s="5" t="s">
        <v>174</v>
      </c>
      <c r="O441" s="7">
        <v>859.25</v>
      </c>
      <c r="P441" s="5" t="s">
        <v>45</v>
      </c>
      <c r="Q441" s="7">
        <v>859.25</v>
      </c>
      <c r="R441" s="5" t="s">
        <v>45</v>
      </c>
      <c r="S441" s="7">
        <v>252.87</v>
      </c>
      <c r="T441" s="5" t="s">
        <v>46</v>
      </c>
      <c r="U441" s="5" t="s">
        <v>47</v>
      </c>
      <c r="V441" s="5" t="s">
        <v>47</v>
      </c>
      <c r="W441" s="5" t="s">
        <v>47</v>
      </c>
      <c r="X441" s="5" t="s">
        <v>47</v>
      </c>
    </row>
    <row r="442" spans="1:24" x14ac:dyDescent="0.25">
      <c r="A442" s="5" t="s">
        <v>34</v>
      </c>
      <c r="B442" s="5" t="s">
        <v>177</v>
      </c>
      <c r="C442" s="5" t="s">
        <v>178</v>
      </c>
      <c r="D442" s="5" t="s">
        <v>37</v>
      </c>
      <c r="E442" s="5" t="s">
        <v>100</v>
      </c>
      <c r="F442" s="5" t="s">
        <v>101</v>
      </c>
      <c r="G442" s="5" t="s">
        <v>40</v>
      </c>
      <c r="H442" s="6">
        <v>45961</v>
      </c>
      <c r="I442" s="6">
        <v>45961</v>
      </c>
      <c r="J442" s="6">
        <v>45964</v>
      </c>
      <c r="K442" s="5" t="s">
        <v>172</v>
      </c>
      <c r="L442" s="5" t="s">
        <v>173</v>
      </c>
      <c r="M442" s="5" t="s">
        <v>43</v>
      </c>
      <c r="N442" s="5" t="s">
        <v>174</v>
      </c>
      <c r="O442" s="7">
        <v>794.53</v>
      </c>
      <c r="P442" s="5" t="s">
        <v>45</v>
      </c>
      <c r="Q442" s="7">
        <v>794.53</v>
      </c>
      <c r="R442" s="5" t="s">
        <v>45</v>
      </c>
      <c r="S442" s="7">
        <v>233.82</v>
      </c>
      <c r="T442" s="5" t="s">
        <v>46</v>
      </c>
      <c r="U442" s="5" t="s">
        <v>47</v>
      </c>
      <c r="V442" s="5" t="s">
        <v>47</v>
      </c>
      <c r="W442" s="5" t="s">
        <v>47</v>
      </c>
      <c r="X442" s="5" t="s">
        <v>47</v>
      </c>
    </row>
    <row r="443" spans="1:24" x14ac:dyDescent="0.25">
      <c r="A443" s="5" t="s">
        <v>34</v>
      </c>
      <c r="B443" s="5" t="s">
        <v>177</v>
      </c>
      <c r="C443" s="5" t="s">
        <v>178</v>
      </c>
      <c r="D443" s="5" t="s">
        <v>37</v>
      </c>
      <c r="E443" s="5" t="s">
        <v>64</v>
      </c>
      <c r="F443" s="5" t="s">
        <v>65</v>
      </c>
      <c r="G443" s="5" t="s">
        <v>40</v>
      </c>
      <c r="H443" s="6">
        <v>45961</v>
      </c>
      <c r="I443" s="6">
        <v>45961</v>
      </c>
      <c r="J443" s="6">
        <v>45964</v>
      </c>
      <c r="K443" s="5" t="s">
        <v>172</v>
      </c>
      <c r="L443" s="5" t="s">
        <v>173</v>
      </c>
      <c r="M443" s="5" t="s">
        <v>43</v>
      </c>
      <c r="N443" s="5" t="s">
        <v>174</v>
      </c>
      <c r="O443" s="7">
        <v>6282.89</v>
      </c>
      <c r="P443" s="5" t="s">
        <v>45</v>
      </c>
      <c r="Q443" s="7">
        <v>6282.89</v>
      </c>
      <c r="R443" s="5" t="s">
        <v>45</v>
      </c>
      <c r="S443" s="7">
        <v>1849</v>
      </c>
      <c r="T443" s="5" t="s">
        <v>46</v>
      </c>
      <c r="U443" s="5" t="s">
        <v>47</v>
      </c>
      <c r="V443" s="5" t="s">
        <v>47</v>
      </c>
      <c r="W443" s="5" t="s">
        <v>47</v>
      </c>
      <c r="X443" s="5" t="s">
        <v>47</v>
      </c>
    </row>
    <row r="444" spans="1:24" x14ac:dyDescent="0.25">
      <c r="A444" s="5" t="s">
        <v>34</v>
      </c>
      <c r="B444" s="5" t="s">
        <v>177</v>
      </c>
      <c r="C444" s="5" t="s">
        <v>178</v>
      </c>
      <c r="D444" s="5" t="s">
        <v>37</v>
      </c>
      <c r="E444" s="5" t="s">
        <v>106</v>
      </c>
      <c r="F444" s="5" t="s">
        <v>107</v>
      </c>
      <c r="G444" s="5" t="s">
        <v>40</v>
      </c>
      <c r="H444" s="6">
        <v>45961</v>
      </c>
      <c r="I444" s="6">
        <v>45961</v>
      </c>
      <c r="J444" s="6">
        <v>45964</v>
      </c>
      <c r="K444" s="5" t="s">
        <v>172</v>
      </c>
      <c r="L444" s="5" t="s">
        <v>173</v>
      </c>
      <c r="M444" s="5" t="s">
        <v>43</v>
      </c>
      <c r="N444" s="5" t="s">
        <v>174</v>
      </c>
      <c r="O444" s="7">
        <v>1995.36</v>
      </c>
      <c r="P444" s="5" t="s">
        <v>45</v>
      </c>
      <c r="Q444" s="7">
        <v>1995.36</v>
      </c>
      <c r="R444" s="5" t="s">
        <v>45</v>
      </c>
      <c r="S444" s="7">
        <v>587.22</v>
      </c>
      <c r="T444" s="5" t="s">
        <v>46</v>
      </c>
      <c r="U444" s="5" t="s">
        <v>47</v>
      </c>
      <c r="V444" s="5" t="s">
        <v>47</v>
      </c>
      <c r="W444" s="5" t="s">
        <v>47</v>
      </c>
      <c r="X444" s="5" t="s">
        <v>47</v>
      </c>
    </row>
    <row r="445" spans="1:24" x14ac:dyDescent="0.25">
      <c r="A445" s="5" t="s">
        <v>34</v>
      </c>
      <c r="B445" s="5" t="s">
        <v>177</v>
      </c>
      <c r="C445" s="5" t="s">
        <v>178</v>
      </c>
      <c r="D445" s="5" t="s">
        <v>37</v>
      </c>
      <c r="E445" s="5" t="s">
        <v>138</v>
      </c>
      <c r="F445" s="5" t="s">
        <v>139</v>
      </c>
      <c r="G445" s="5" t="s">
        <v>40</v>
      </c>
      <c r="H445" s="6">
        <v>45961</v>
      </c>
      <c r="I445" s="6">
        <v>45961</v>
      </c>
      <c r="J445" s="6">
        <v>45964</v>
      </c>
      <c r="K445" s="5" t="s">
        <v>172</v>
      </c>
      <c r="L445" s="5" t="s">
        <v>173</v>
      </c>
      <c r="M445" s="5" t="s">
        <v>43</v>
      </c>
      <c r="N445" s="5" t="s">
        <v>174</v>
      </c>
      <c r="O445" s="7">
        <v>3123.52</v>
      </c>
      <c r="P445" s="5" t="s">
        <v>45</v>
      </c>
      <c r="Q445" s="7">
        <v>3123.52</v>
      </c>
      <c r="R445" s="5" t="s">
        <v>45</v>
      </c>
      <c r="S445" s="7">
        <v>919.22</v>
      </c>
      <c r="T445" s="5" t="s">
        <v>46</v>
      </c>
      <c r="U445" s="5" t="s">
        <v>47</v>
      </c>
      <c r="V445" s="5" t="s">
        <v>47</v>
      </c>
      <c r="W445" s="5" t="s">
        <v>47</v>
      </c>
      <c r="X445" s="5" t="s">
        <v>47</v>
      </c>
    </row>
    <row r="446" spans="1:24" x14ac:dyDescent="0.25">
      <c r="A446" s="5" t="s">
        <v>34</v>
      </c>
      <c r="B446" s="5" t="s">
        <v>177</v>
      </c>
      <c r="C446" s="5" t="s">
        <v>178</v>
      </c>
      <c r="D446" s="5" t="s">
        <v>37</v>
      </c>
      <c r="E446" s="5" t="s">
        <v>48</v>
      </c>
      <c r="F446" s="5" t="s">
        <v>49</v>
      </c>
      <c r="G446" s="5" t="s">
        <v>40</v>
      </c>
      <c r="H446" s="6">
        <v>45961</v>
      </c>
      <c r="I446" s="6">
        <v>45961</v>
      </c>
      <c r="J446" s="6">
        <v>45964</v>
      </c>
      <c r="K446" s="5" t="s">
        <v>172</v>
      </c>
      <c r="L446" s="5" t="s">
        <v>173</v>
      </c>
      <c r="M446" s="5" t="s">
        <v>43</v>
      </c>
      <c r="N446" s="5" t="s">
        <v>174</v>
      </c>
      <c r="O446" s="7">
        <v>10430.969999999999</v>
      </c>
      <c r="P446" s="5" t="s">
        <v>45</v>
      </c>
      <c r="Q446" s="7">
        <v>10430.969999999999</v>
      </c>
      <c r="R446" s="5" t="s">
        <v>45</v>
      </c>
      <c r="S446" s="7">
        <v>3069.74</v>
      </c>
      <c r="T446" s="5" t="s">
        <v>46</v>
      </c>
      <c r="U446" s="5" t="s">
        <v>47</v>
      </c>
      <c r="V446" s="5" t="s">
        <v>47</v>
      </c>
      <c r="W446" s="5" t="s">
        <v>47</v>
      </c>
      <c r="X446" s="5" t="s">
        <v>47</v>
      </c>
    </row>
    <row r="447" spans="1:24" x14ac:dyDescent="0.25">
      <c r="A447" s="5" t="s">
        <v>34</v>
      </c>
      <c r="B447" s="5" t="s">
        <v>177</v>
      </c>
      <c r="C447" s="5" t="s">
        <v>178</v>
      </c>
      <c r="D447" s="5" t="s">
        <v>37</v>
      </c>
      <c r="E447" s="5" t="s">
        <v>54</v>
      </c>
      <c r="F447" s="5" t="s">
        <v>55</v>
      </c>
      <c r="G447" s="5" t="s">
        <v>40</v>
      </c>
      <c r="H447" s="6">
        <v>45961</v>
      </c>
      <c r="I447" s="6">
        <v>45961</v>
      </c>
      <c r="J447" s="6">
        <v>45964</v>
      </c>
      <c r="K447" s="5" t="s">
        <v>172</v>
      </c>
      <c r="L447" s="5" t="s">
        <v>173</v>
      </c>
      <c r="M447" s="5" t="s">
        <v>43</v>
      </c>
      <c r="N447" s="5" t="s">
        <v>174</v>
      </c>
      <c r="O447" s="7">
        <v>1548.06</v>
      </c>
      <c r="P447" s="5" t="s">
        <v>45</v>
      </c>
      <c r="Q447" s="7">
        <v>1548.06</v>
      </c>
      <c r="R447" s="5" t="s">
        <v>45</v>
      </c>
      <c r="S447" s="7">
        <v>455.58</v>
      </c>
      <c r="T447" s="5" t="s">
        <v>46</v>
      </c>
      <c r="U447" s="5" t="s">
        <v>47</v>
      </c>
      <c r="V447" s="5" t="s">
        <v>47</v>
      </c>
      <c r="W447" s="5" t="s">
        <v>47</v>
      </c>
      <c r="X447" s="5" t="s">
        <v>47</v>
      </c>
    </row>
    <row r="448" spans="1:24" x14ac:dyDescent="0.25">
      <c r="A448" s="5" t="s">
        <v>34</v>
      </c>
      <c r="B448" s="5" t="s">
        <v>177</v>
      </c>
      <c r="C448" s="5" t="s">
        <v>178</v>
      </c>
      <c r="D448" s="5" t="s">
        <v>37</v>
      </c>
      <c r="E448" s="5" t="s">
        <v>62</v>
      </c>
      <c r="F448" s="5" t="s">
        <v>63</v>
      </c>
      <c r="G448" s="5" t="s">
        <v>40</v>
      </c>
      <c r="H448" s="6">
        <v>45961</v>
      </c>
      <c r="I448" s="6">
        <v>45961</v>
      </c>
      <c r="J448" s="6">
        <v>45964</v>
      </c>
      <c r="K448" s="5" t="s">
        <v>172</v>
      </c>
      <c r="L448" s="5" t="s">
        <v>173</v>
      </c>
      <c r="M448" s="5" t="s">
        <v>43</v>
      </c>
      <c r="N448" s="5" t="s">
        <v>174</v>
      </c>
      <c r="O448" s="7">
        <v>-3233.09</v>
      </c>
      <c r="P448" s="5" t="s">
        <v>45</v>
      </c>
      <c r="Q448" s="7">
        <v>-3233.09</v>
      </c>
      <c r="R448" s="5" t="s">
        <v>45</v>
      </c>
      <c r="S448" s="7">
        <v>-951.47</v>
      </c>
      <c r="T448" s="5" t="s">
        <v>46</v>
      </c>
      <c r="U448" s="5" t="s">
        <v>47</v>
      </c>
      <c r="V448" s="5" t="s">
        <v>47</v>
      </c>
      <c r="W448" s="5" t="s">
        <v>47</v>
      </c>
      <c r="X448" s="5" t="s">
        <v>47</v>
      </c>
    </row>
    <row r="449" spans="1:24" x14ac:dyDescent="0.25">
      <c r="A449" s="5" t="s">
        <v>34</v>
      </c>
      <c r="B449" s="5" t="s">
        <v>177</v>
      </c>
      <c r="C449" s="5" t="s">
        <v>178</v>
      </c>
      <c r="D449" s="5" t="s">
        <v>37</v>
      </c>
      <c r="E449" s="5" t="s">
        <v>68</v>
      </c>
      <c r="F449" s="5" t="s">
        <v>69</v>
      </c>
      <c r="G449" s="5" t="s">
        <v>40</v>
      </c>
      <c r="H449" s="6">
        <v>45961</v>
      </c>
      <c r="I449" s="6">
        <v>45961</v>
      </c>
      <c r="J449" s="6">
        <v>45964</v>
      </c>
      <c r="K449" s="5" t="s">
        <v>172</v>
      </c>
      <c r="L449" s="5" t="s">
        <v>173</v>
      </c>
      <c r="M449" s="5" t="s">
        <v>43</v>
      </c>
      <c r="N449" s="5" t="s">
        <v>174</v>
      </c>
      <c r="O449" s="7">
        <v>3282.83</v>
      </c>
      <c r="P449" s="5" t="s">
        <v>45</v>
      </c>
      <c r="Q449" s="7">
        <v>3282.83</v>
      </c>
      <c r="R449" s="5" t="s">
        <v>45</v>
      </c>
      <c r="S449" s="7">
        <v>966.11</v>
      </c>
      <c r="T449" s="5" t="s">
        <v>46</v>
      </c>
      <c r="U449" s="5" t="s">
        <v>47</v>
      </c>
      <c r="V449" s="5" t="s">
        <v>47</v>
      </c>
      <c r="W449" s="5" t="s">
        <v>47</v>
      </c>
      <c r="X449" s="5" t="s">
        <v>47</v>
      </c>
    </row>
    <row r="450" spans="1:24" x14ac:dyDescent="0.25">
      <c r="A450" s="5" t="s">
        <v>34</v>
      </c>
      <c r="B450" s="5" t="s">
        <v>177</v>
      </c>
      <c r="C450" s="5" t="s">
        <v>178</v>
      </c>
      <c r="D450" s="5" t="s">
        <v>37</v>
      </c>
      <c r="E450" s="5" t="s">
        <v>80</v>
      </c>
      <c r="F450" s="5" t="s">
        <v>81</v>
      </c>
      <c r="G450" s="5" t="s">
        <v>40</v>
      </c>
      <c r="H450" s="6">
        <v>45961</v>
      </c>
      <c r="I450" s="6">
        <v>45961</v>
      </c>
      <c r="J450" s="6">
        <v>45964</v>
      </c>
      <c r="K450" s="5" t="s">
        <v>172</v>
      </c>
      <c r="L450" s="5" t="s">
        <v>173</v>
      </c>
      <c r="M450" s="5" t="s">
        <v>43</v>
      </c>
      <c r="N450" s="5" t="s">
        <v>174</v>
      </c>
      <c r="O450" s="7">
        <v>2020.94</v>
      </c>
      <c r="P450" s="5" t="s">
        <v>45</v>
      </c>
      <c r="Q450" s="7">
        <v>2020.94</v>
      </c>
      <c r="R450" s="5" t="s">
        <v>45</v>
      </c>
      <c r="S450" s="7">
        <v>594.74</v>
      </c>
      <c r="T450" s="5" t="s">
        <v>46</v>
      </c>
      <c r="U450" s="5" t="s">
        <v>47</v>
      </c>
      <c r="V450" s="5" t="s">
        <v>47</v>
      </c>
      <c r="W450" s="5" t="s">
        <v>47</v>
      </c>
      <c r="X450" s="5" t="s">
        <v>47</v>
      </c>
    </row>
    <row r="451" spans="1:24" x14ac:dyDescent="0.25">
      <c r="A451" s="5" t="s">
        <v>34</v>
      </c>
      <c r="B451" s="5" t="s">
        <v>177</v>
      </c>
      <c r="C451" s="5" t="s">
        <v>178</v>
      </c>
      <c r="D451" s="5" t="s">
        <v>37</v>
      </c>
      <c r="E451" s="5" t="s">
        <v>82</v>
      </c>
      <c r="F451" s="5" t="s">
        <v>83</v>
      </c>
      <c r="G451" s="5" t="s">
        <v>40</v>
      </c>
      <c r="H451" s="6">
        <v>45961</v>
      </c>
      <c r="I451" s="6">
        <v>45961</v>
      </c>
      <c r="J451" s="6">
        <v>45964</v>
      </c>
      <c r="K451" s="5" t="s">
        <v>172</v>
      </c>
      <c r="L451" s="5" t="s">
        <v>173</v>
      </c>
      <c r="M451" s="5" t="s">
        <v>43</v>
      </c>
      <c r="N451" s="5" t="s">
        <v>174</v>
      </c>
      <c r="O451" s="7">
        <v>8320.27</v>
      </c>
      <c r="P451" s="5" t="s">
        <v>45</v>
      </c>
      <c r="Q451" s="7">
        <v>8320.27</v>
      </c>
      <c r="R451" s="5" t="s">
        <v>45</v>
      </c>
      <c r="S451" s="7">
        <v>2448.58</v>
      </c>
      <c r="T451" s="5" t="s">
        <v>46</v>
      </c>
      <c r="U451" s="5" t="s">
        <v>47</v>
      </c>
      <c r="V451" s="5" t="s">
        <v>47</v>
      </c>
      <c r="W451" s="5" t="s">
        <v>47</v>
      </c>
      <c r="X451" s="5" t="s">
        <v>47</v>
      </c>
    </row>
    <row r="452" spans="1:24" x14ac:dyDescent="0.25">
      <c r="A452" s="5" t="s">
        <v>34</v>
      </c>
      <c r="B452" s="5" t="s">
        <v>177</v>
      </c>
      <c r="C452" s="5" t="s">
        <v>178</v>
      </c>
      <c r="D452" s="5" t="s">
        <v>37</v>
      </c>
      <c r="E452" s="5" t="s">
        <v>52</v>
      </c>
      <c r="F452" s="5" t="s">
        <v>53</v>
      </c>
      <c r="G452" s="5" t="s">
        <v>40</v>
      </c>
      <c r="H452" s="6">
        <v>45961</v>
      </c>
      <c r="I452" s="6">
        <v>45961</v>
      </c>
      <c r="J452" s="6">
        <v>45964</v>
      </c>
      <c r="K452" s="5" t="s">
        <v>172</v>
      </c>
      <c r="L452" s="5" t="s">
        <v>173</v>
      </c>
      <c r="M452" s="5" t="s">
        <v>43</v>
      </c>
      <c r="N452" s="5" t="s">
        <v>174</v>
      </c>
      <c r="O452" s="7">
        <v>461.66</v>
      </c>
      <c r="P452" s="5" t="s">
        <v>45</v>
      </c>
      <c r="Q452" s="7">
        <v>461.66</v>
      </c>
      <c r="R452" s="5" t="s">
        <v>45</v>
      </c>
      <c r="S452" s="7">
        <v>135.86000000000001</v>
      </c>
      <c r="T452" s="5" t="s">
        <v>46</v>
      </c>
      <c r="U452" s="5" t="s">
        <v>47</v>
      </c>
      <c r="V452" s="5" t="s">
        <v>47</v>
      </c>
      <c r="W452" s="5" t="s">
        <v>47</v>
      </c>
      <c r="X452" s="5" t="s">
        <v>47</v>
      </c>
    </row>
    <row r="453" spans="1:24" x14ac:dyDescent="0.25">
      <c r="A453" s="5" t="s">
        <v>34</v>
      </c>
      <c r="B453" s="5" t="s">
        <v>177</v>
      </c>
      <c r="C453" s="5" t="s">
        <v>178</v>
      </c>
      <c r="D453" s="5" t="s">
        <v>37</v>
      </c>
      <c r="E453" s="5" t="s">
        <v>64</v>
      </c>
      <c r="F453" s="5" t="s">
        <v>65</v>
      </c>
      <c r="G453" s="5" t="s">
        <v>40</v>
      </c>
      <c r="H453" s="6">
        <v>45961</v>
      </c>
      <c r="I453" s="6">
        <v>45961</v>
      </c>
      <c r="J453" s="6">
        <v>45950</v>
      </c>
      <c r="K453" s="5" t="s">
        <v>132</v>
      </c>
      <c r="L453" s="5" t="s">
        <v>133</v>
      </c>
      <c r="M453" s="5" t="s">
        <v>43</v>
      </c>
      <c r="N453" s="5" t="s">
        <v>134</v>
      </c>
      <c r="O453" s="7">
        <v>-39.799999999999997</v>
      </c>
      <c r="P453" s="5" t="s">
        <v>45</v>
      </c>
      <c r="Q453" s="7">
        <v>-39.799999999999997</v>
      </c>
      <c r="R453" s="5" t="s">
        <v>45</v>
      </c>
      <c r="S453" s="7">
        <v>-11.74</v>
      </c>
      <c r="T453" s="5" t="s">
        <v>46</v>
      </c>
      <c r="U453" s="5" t="s">
        <v>47</v>
      </c>
      <c r="V453" s="5" t="s">
        <v>47</v>
      </c>
      <c r="W453" s="5" t="s">
        <v>47</v>
      </c>
      <c r="X453" s="5" t="s">
        <v>47</v>
      </c>
    </row>
    <row r="454" spans="1:24" x14ac:dyDescent="0.25">
      <c r="A454" s="5" t="s">
        <v>34</v>
      </c>
      <c r="B454" s="5" t="s">
        <v>177</v>
      </c>
      <c r="C454" s="5" t="s">
        <v>178</v>
      </c>
      <c r="D454" s="5" t="s">
        <v>37</v>
      </c>
      <c r="E454" s="5" t="s">
        <v>74</v>
      </c>
      <c r="F454" s="5" t="s">
        <v>75</v>
      </c>
      <c r="G454" s="5" t="s">
        <v>40</v>
      </c>
      <c r="H454" s="6">
        <v>45961</v>
      </c>
      <c r="I454" s="6">
        <v>45961</v>
      </c>
      <c r="J454" s="6">
        <v>45964</v>
      </c>
      <c r="K454" s="5" t="s">
        <v>172</v>
      </c>
      <c r="L454" s="5" t="s">
        <v>173</v>
      </c>
      <c r="M454" s="5" t="s">
        <v>43</v>
      </c>
      <c r="N454" s="5" t="s">
        <v>174</v>
      </c>
      <c r="O454" s="7">
        <v>80309.509999999995</v>
      </c>
      <c r="P454" s="5" t="s">
        <v>45</v>
      </c>
      <c r="Q454" s="7">
        <v>80309.509999999995</v>
      </c>
      <c r="R454" s="5" t="s">
        <v>45</v>
      </c>
      <c r="S454" s="7">
        <v>23634.35</v>
      </c>
      <c r="T454" s="5" t="s">
        <v>46</v>
      </c>
      <c r="U454" s="5" t="s">
        <v>47</v>
      </c>
      <c r="V454" s="5" t="s">
        <v>47</v>
      </c>
      <c r="W454" s="5" t="s">
        <v>47</v>
      </c>
      <c r="X454" s="5" t="s">
        <v>47</v>
      </c>
    </row>
    <row r="455" spans="1:24" x14ac:dyDescent="0.25">
      <c r="A455" s="5" t="s">
        <v>34</v>
      </c>
      <c r="B455" s="5" t="s">
        <v>177</v>
      </c>
      <c r="C455" s="5" t="s">
        <v>178</v>
      </c>
      <c r="D455" s="5" t="s">
        <v>37</v>
      </c>
      <c r="E455" s="5" t="s">
        <v>98</v>
      </c>
      <c r="F455" s="5" t="s">
        <v>99</v>
      </c>
      <c r="G455" s="5" t="s">
        <v>40</v>
      </c>
      <c r="H455" s="6">
        <v>45961</v>
      </c>
      <c r="I455" s="6">
        <v>45961</v>
      </c>
      <c r="J455" s="6">
        <v>45964</v>
      </c>
      <c r="K455" s="5" t="s">
        <v>172</v>
      </c>
      <c r="L455" s="5" t="s">
        <v>173</v>
      </c>
      <c r="M455" s="5" t="s">
        <v>43</v>
      </c>
      <c r="N455" s="5" t="s">
        <v>174</v>
      </c>
      <c r="O455" s="7">
        <v>382.17</v>
      </c>
      <c r="P455" s="5" t="s">
        <v>45</v>
      </c>
      <c r="Q455" s="7">
        <v>382.17</v>
      </c>
      <c r="R455" s="5" t="s">
        <v>45</v>
      </c>
      <c r="S455" s="7">
        <v>112.47</v>
      </c>
      <c r="T455" s="5" t="s">
        <v>46</v>
      </c>
      <c r="U455" s="5" t="s">
        <v>47</v>
      </c>
      <c r="V455" s="5" t="s">
        <v>47</v>
      </c>
      <c r="W455" s="5" t="s">
        <v>47</v>
      </c>
      <c r="X455" s="5" t="s">
        <v>47</v>
      </c>
    </row>
    <row r="456" spans="1:24" x14ac:dyDescent="0.25">
      <c r="A456" s="5" t="s">
        <v>34</v>
      </c>
      <c r="B456" s="5" t="s">
        <v>177</v>
      </c>
      <c r="C456" s="5" t="s">
        <v>178</v>
      </c>
      <c r="D456" s="5" t="s">
        <v>37</v>
      </c>
      <c r="E456" s="5" t="s">
        <v>60</v>
      </c>
      <c r="F456" s="5" t="s">
        <v>61</v>
      </c>
      <c r="G456" s="5" t="s">
        <v>40</v>
      </c>
      <c r="H456" s="6">
        <v>45961</v>
      </c>
      <c r="I456" s="6">
        <v>45961</v>
      </c>
      <c r="J456" s="6">
        <v>45964</v>
      </c>
      <c r="K456" s="5" t="s">
        <v>172</v>
      </c>
      <c r="L456" s="5" t="s">
        <v>173</v>
      </c>
      <c r="M456" s="5" t="s">
        <v>43</v>
      </c>
      <c r="N456" s="5" t="s">
        <v>174</v>
      </c>
      <c r="O456" s="7">
        <v>13996.12</v>
      </c>
      <c r="P456" s="5" t="s">
        <v>45</v>
      </c>
      <c r="Q456" s="7">
        <v>13996.12</v>
      </c>
      <c r="R456" s="5" t="s">
        <v>45</v>
      </c>
      <c r="S456" s="7">
        <v>4118.93</v>
      </c>
      <c r="T456" s="5" t="s">
        <v>46</v>
      </c>
      <c r="U456" s="5" t="s">
        <v>47</v>
      </c>
      <c r="V456" s="5" t="s">
        <v>47</v>
      </c>
      <c r="W456" s="5" t="s">
        <v>47</v>
      </c>
      <c r="X456" s="5" t="s">
        <v>47</v>
      </c>
    </row>
    <row r="457" spans="1:24" x14ac:dyDescent="0.25">
      <c r="A457" s="5" t="s">
        <v>34</v>
      </c>
      <c r="B457" s="5" t="s">
        <v>177</v>
      </c>
      <c r="C457" s="5" t="s">
        <v>178</v>
      </c>
      <c r="D457" s="5" t="s">
        <v>37</v>
      </c>
      <c r="E457" s="5" t="s">
        <v>38</v>
      </c>
      <c r="F457" s="5" t="s">
        <v>39</v>
      </c>
      <c r="G457" s="5" t="s">
        <v>40</v>
      </c>
      <c r="H457" s="6">
        <v>45961</v>
      </c>
      <c r="I457" s="6">
        <v>45961</v>
      </c>
      <c r="J457" s="6">
        <v>45964</v>
      </c>
      <c r="K457" s="5" t="s">
        <v>172</v>
      </c>
      <c r="L457" s="5" t="s">
        <v>173</v>
      </c>
      <c r="M457" s="5" t="s">
        <v>43</v>
      </c>
      <c r="N457" s="5" t="s">
        <v>174</v>
      </c>
      <c r="O457" s="7">
        <v>3298.79</v>
      </c>
      <c r="P457" s="5" t="s">
        <v>45</v>
      </c>
      <c r="Q457" s="7">
        <v>3298.79</v>
      </c>
      <c r="R457" s="5" t="s">
        <v>45</v>
      </c>
      <c r="S457" s="7">
        <v>970.8</v>
      </c>
      <c r="T457" s="5" t="s">
        <v>46</v>
      </c>
      <c r="U457" s="5" t="s">
        <v>47</v>
      </c>
      <c r="V457" s="5" t="s">
        <v>47</v>
      </c>
      <c r="W457" s="5" t="s">
        <v>47</v>
      </c>
      <c r="X457" s="5" t="s">
        <v>47</v>
      </c>
    </row>
    <row r="458" spans="1:24" x14ac:dyDescent="0.25">
      <c r="A458" s="5" t="s">
        <v>34</v>
      </c>
      <c r="B458" s="5" t="s">
        <v>177</v>
      </c>
      <c r="C458" s="5" t="s">
        <v>178</v>
      </c>
      <c r="D458" s="5" t="s">
        <v>37</v>
      </c>
      <c r="E458" s="5" t="s">
        <v>50</v>
      </c>
      <c r="F458" s="5" t="s">
        <v>51</v>
      </c>
      <c r="G458" s="5" t="s">
        <v>40</v>
      </c>
      <c r="H458" s="6">
        <v>45961</v>
      </c>
      <c r="I458" s="6">
        <v>45961</v>
      </c>
      <c r="J458" s="6">
        <v>45964</v>
      </c>
      <c r="K458" s="5" t="s">
        <v>172</v>
      </c>
      <c r="L458" s="5" t="s">
        <v>173</v>
      </c>
      <c r="M458" s="5" t="s">
        <v>43</v>
      </c>
      <c r="N458" s="5" t="s">
        <v>174</v>
      </c>
      <c r="O458" s="7">
        <v>-6931.39</v>
      </c>
      <c r="P458" s="5" t="s">
        <v>45</v>
      </c>
      <c r="Q458" s="7">
        <v>-6931.39</v>
      </c>
      <c r="R458" s="5" t="s">
        <v>45</v>
      </c>
      <c r="S458" s="7">
        <v>-2039.84</v>
      </c>
      <c r="T458" s="5" t="s">
        <v>46</v>
      </c>
      <c r="U458" s="5" t="s">
        <v>47</v>
      </c>
      <c r="V458" s="5" t="s">
        <v>47</v>
      </c>
      <c r="W458" s="5" t="s">
        <v>47</v>
      </c>
      <c r="X458" s="5" t="s">
        <v>47</v>
      </c>
    </row>
    <row r="459" spans="1:24" x14ac:dyDescent="0.25">
      <c r="A459" s="5" t="s">
        <v>34</v>
      </c>
      <c r="B459" s="5" t="s">
        <v>177</v>
      </c>
      <c r="C459" s="5" t="s">
        <v>178</v>
      </c>
      <c r="D459" s="5" t="s">
        <v>37</v>
      </c>
      <c r="E459" s="5" t="s">
        <v>116</v>
      </c>
      <c r="F459" s="5" t="s">
        <v>117</v>
      </c>
      <c r="G459" s="5" t="s">
        <v>40</v>
      </c>
      <c r="H459" s="6">
        <v>45961</v>
      </c>
      <c r="I459" s="6">
        <v>45961</v>
      </c>
      <c r="J459" s="6">
        <v>45964</v>
      </c>
      <c r="K459" s="5" t="s">
        <v>172</v>
      </c>
      <c r="L459" s="5" t="s">
        <v>173</v>
      </c>
      <c r="M459" s="5" t="s">
        <v>43</v>
      </c>
      <c r="N459" s="5" t="s">
        <v>174</v>
      </c>
      <c r="O459" s="7">
        <v>-3060.29</v>
      </c>
      <c r="P459" s="5" t="s">
        <v>45</v>
      </c>
      <c r="Q459" s="7">
        <v>-3060.29</v>
      </c>
      <c r="R459" s="5" t="s">
        <v>45</v>
      </c>
      <c r="S459" s="7">
        <v>-900.62</v>
      </c>
      <c r="T459" s="5" t="s">
        <v>46</v>
      </c>
      <c r="U459" s="5" t="s">
        <v>47</v>
      </c>
      <c r="V459" s="5" t="s">
        <v>47</v>
      </c>
      <c r="W459" s="5" t="s">
        <v>47</v>
      </c>
      <c r="X459" s="5" t="s">
        <v>47</v>
      </c>
    </row>
    <row r="460" spans="1:24" x14ac:dyDescent="0.25">
      <c r="A460" s="5" t="s">
        <v>34</v>
      </c>
      <c r="B460" s="5" t="s">
        <v>177</v>
      </c>
      <c r="C460" s="5" t="s">
        <v>178</v>
      </c>
      <c r="D460" s="5" t="s">
        <v>37</v>
      </c>
      <c r="E460" s="5" t="s">
        <v>142</v>
      </c>
      <c r="F460" s="5" t="s">
        <v>143</v>
      </c>
      <c r="G460" s="5" t="s">
        <v>40</v>
      </c>
      <c r="H460" s="6">
        <v>45961</v>
      </c>
      <c r="I460" s="6">
        <v>45961</v>
      </c>
      <c r="J460" s="6">
        <v>45961</v>
      </c>
      <c r="K460" s="5" t="s">
        <v>144</v>
      </c>
      <c r="L460" s="5" t="s">
        <v>145</v>
      </c>
      <c r="M460" s="5" t="s">
        <v>43</v>
      </c>
      <c r="N460" s="5" t="s">
        <v>146</v>
      </c>
      <c r="O460" s="7">
        <v>85.42</v>
      </c>
      <c r="P460" s="5" t="s">
        <v>45</v>
      </c>
      <c r="Q460" s="7">
        <v>85.42</v>
      </c>
      <c r="R460" s="5" t="s">
        <v>45</v>
      </c>
      <c r="S460" s="7">
        <v>25.14</v>
      </c>
      <c r="T460" s="5" t="s">
        <v>46</v>
      </c>
      <c r="U460" s="5" t="s">
        <v>47</v>
      </c>
      <c r="V460" s="5" t="s">
        <v>47</v>
      </c>
      <c r="W460" s="5" t="s">
        <v>47</v>
      </c>
      <c r="X460" s="5" t="s">
        <v>47</v>
      </c>
    </row>
    <row r="461" spans="1:24" x14ac:dyDescent="0.25">
      <c r="A461" s="5" t="s">
        <v>34</v>
      </c>
      <c r="B461" s="5" t="s">
        <v>177</v>
      </c>
      <c r="C461" s="5" t="s">
        <v>178</v>
      </c>
      <c r="D461" s="5" t="s">
        <v>37</v>
      </c>
      <c r="E461" s="5" t="s">
        <v>96</v>
      </c>
      <c r="F461" s="5" t="s">
        <v>97</v>
      </c>
      <c r="G461" s="5" t="s">
        <v>40</v>
      </c>
      <c r="H461" s="6">
        <v>45961</v>
      </c>
      <c r="I461" s="6">
        <v>45961</v>
      </c>
      <c r="J461" s="6">
        <v>45964</v>
      </c>
      <c r="K461" s="5" t="s">
        <v>147</v>
      </c>
      <c r="L461" s="5" t="s">
        <v>148</v>
      </c>
      <c r="M461" s="5" t="s">
        <v>43</v>
      </c>
      <c r="N461" s="5" t="s">
        <v>149</v>
      </c>
      <c r="O461" s="7">
        <v>-1473.98</v>
      </c>
      <c r="P461" s="5" t="s">
        <v>45</v>
      </c>
      <c r="Q461" s="7">
        <v>-1473.98</v>
      </c>
      <c r="R461" s="5" t="s">
        <v>45</v>
      </c>
      <c r="S461" s="7">
        <v>-433.78</v>
      </c>
      <c r="T461" s="5" t="s">
        <v>46</v>
      </c>
      <c r="U461" s="5" t="s">
        <v>47</v>
      </c>
      <c r="V461" s="5" t="s">
        <v>47</v>
      </c>
      <c r="W461" s="5" t="s">
        <v>47</v>
      </c>
      <c r="X461" s="5" t="s">
        <v>47</v>
      </c>
    </row>
    <row r="462" spans="1:24" x14ac:dyDescent="0.25">
      <c r="A462" s="5" t="s">
        <v>34</v>
      </c>
      <c r="B462" s="5" t="s">
        <v>177</v>
      </c>
      <c r="C462" s="5" t="s">
        <v>178</v>
      </c>
      <c r="D462" s="5" t="s">
        <v>37</v>
      </c>
      <c r="E462" s="5" t="s">
        <v>70</v>
      </c>
      <c r="F462" s="5" t="s">
        <v>71</v>
      </c>
      <c r="G462" s="5" t="s">
        <v>40</v>
      </c>
      <c r="H462" s="6">
        <v>45961</v>
      </c>
      <c r="I462" s="6">
        <v>45961</v>
      </c>
      <c r="J462" s="6">
        <v>45964</v>
      </c>
      <c r="K462" s="5" t="s">
        <v>172</v>
      </c>
      <c r="L462" s="5" t="s">
        <v>173</v>
      </c>
      <c r="M462" s="5" t="s">
        <v>43</v>
      </c>
      <c r="N462" s="5" t="s">
        <v>174</v>
      </c>
      <c r="O462" s="7">
        <v>958.25</v>
      </c>
      <c r="P462" s="5" t="s">
        <v>45</v>
      </c>
      <c r="Q462" s="7">
        <v>958.25</v>
      </c>
      <c r="R462" s="5" t="s">
        <v>45</v>
      </c>
      <c r="S462" s="7">
        <v>282</v>
      </c>
      <c r="T462" s="5" t="s">
        <v>46</v>
      </c>
      <c r="U462" s="5" t="s">
        <v>47</v>
      </c>
      <c r="V462" s="5" t="s">
        <v>47</v>
      </c>
      <c r="W462" s="5" t="s">
        <v>47</v>
      </c>
      <c r="X462" s="5" t="s">
        <v>47</v>
      </c>
    </row>
    <row r="463" spans="1:24" x14ac:dyDescent="0.25">
      <c r="A463" s="5" t="s">
        <v>34</v>
      </c>
      <c r="B463" s="5" t="s">
        <v>177</v>
      </c>
      <c r="C463" s="5" t="s">
        <v>178</v>
      </c>
      <c r="D463" s="5" t="s">
        <v>37</v>
      </c>
      <c r="E463" s="5" t="s">
        <v>118</v>
      </c>
      <c r="F463" s="5" t="s">
        <v>119</v>
      </c>
      <c r="G463" s="5" t="s">
        <v>40</v>
      </c>
      <c r="H463" s="6">
        <v>45961</v>
      </c>
      <c r="I463" s="6">
        <v>45961</v>
      </c>
      <c r="J463" s="6">
        <v>45964</v>
      </c>
      <c r="K463" s="5" t="s">
        <v>172</v>
      </c>
      <c r="L463" s="5" t="s">
        <v>173</v>
      </c>
      <c r="M463" s="5" t="s">
        <v>43</v>
      </c>
      <c r="N463" s="5" t="s">
        <v>174</v>
      </c>
      <c r="O463" s="7">
        <v>7226.03</v>
      </c>
      <c r="P463" s="5" t="s">
        <v>45</v>
      </c>
      <c r="Q463" s="7">
        <v>7226.03</v>
      </c>
      <c r="R463" s="5" t="s">
        <v>45</v>
      </c>
      <c r="S463" s="7">
        <v>2126.5500000000002</v>
      </c>
      <c r="T463" s="5" t="s">
        <v>46</v>
      </c>
      <c r="U463" s="5" t="s">
        <v>47</v>
      </c>
      <c r="V463" s="5" t="s">
        <v>47</v>
      </c>
      <c r="W463" s="5" t="s">
        <v>47</v>
      </c>
      <c r="X463" s="5" t="s">
        <v>47</v>
      </c>
    </row>
    <row r="464" spans="1:24" x14ac:dyDescent="0.25">
      <c r="A464" s="5" t="s">
        <v>34</v>
      </c>
      <c r="B464" s="5" t="s">
        <v>177</v>
      </c>
      <c r="C464" s="5" t="s">
        <v>178</v>
      </c>
      <c r="D464" s="5" t="s">
        <v>37</v>
      </c>
      <c r="E464" s="5" t="s">
        <v>102</v>
      </c>
      <c r="F464" s="5" t="s">
        <v>103</v>
      </c>
      <c r="G464" s="5" t="s">
        <v>40</v>
      </c>
      <c r="H464" s="6">
        <v>45961</v>
      </c>
      <c r="I464" s="6">
        <v>45961</v>
      </c>
      <c r="J464" s="6">
        <v>45964</v>
      </c>
      <c r="K464" s="5" t="s">
        <v>172</v>
      </c>
      <c r="L464" s="5" t="s">
        <v>173</v>
      </c>
      <c r="M464" s="5" t="s">
        <v>43</v>
      </c>
      <c r="N464" s="5" t="s">
        <v>174</v>
      </c>
      <c r="O464" s="7">
        <v>11981.05</v>
      </c>
      <c r="P464" s="5" t="s">
        <v>45</v>
      </c>
      <c r="Q464" s="7">
        <v>11981.05</v>
      </c>
      <c r="R464" s="5" t="s">
        <v>45</v>
      </c>
      <c r="S464" s="7">
        <v>3525.91</v>
      </c>
      <c r="T464" s="5" t="s">
        <v>46</v>
      </c>
      <c r="U464" s="5" t="s">
        <v>47</v>
      </c>
      <c r="V464" s="5" t="s">
        <v>47</v>
      </c>
      <c r="W464" s="5" t="s">
        <v>47</v>
      </c>
      <c r="X464" s="5" t="s">
        <v>47</v>
      </c>
    </row>
    <row r="465" spans="1:24" x14ac:dyDescent="0.25">
      <c r="A465" s="5" t="s">
        <v>34</v>
      </c>
      <c r="B465" s="5" t="s">
        <v>177</v>
      </c>
      <c r="C465" s="5" t="s">
        <v>178</v>
      </c>
      <c r="D465" s="5" t="s">
        <v>37</v>
      </c>
      <c r="E465" s="5" t="s">
        <v>110</v>
      </c>
      <c r="F465" s="5" t="s">
        <v>111</v>
      </c>
      <c r="G465" s="5" t="s">
        <v>40</v>
      </c>
      <c r="H465" s="6">
        <v>45961</v>
      </c>
      <c r="I465" s="6">
        <v>45961</v>
      </c>
      <c r="J465" s="6">
        <v>45964</v>
      </c>
      <c r="K465" s="5" t="s">
        <v>172</v>
      </c>
      <c r="L465" s="5" t="s">
        <v>173</v>
      </c>
      <c r="M465" s="5" t="s">
        <v>43</v>
      </c>
      <c r="N465" s="5" t="s">
        <v>174</v>
      </c>
      <c r="O465" s="7">
        <v>-7222.63</v>
      </c>
      <c r="P465" s="5" t="s">
        <v>45</v>
      </c>
      <c r="Q465" s="7">
        <v>-7222.63</v>
      </c>
      <c r="R465" s="5" t="s">
        <v>45</v>
      </c>
      <c r="S465" s="7">
        <v>-2125.5500000000002</v>
      </c>
      <c r="T465" s="5" t="s">
        <v>46</v>
      </c>
      <c r="U465" s="5" t="s">
        <v>47</v>
      </c>
      <c r="V465" s="5" t="s">
        <v>47</v>
      </c>
      <c r="W465" s="5" t="s">
        <v>47</v>
      </c>
      <c r="X465" s="5" t="s">
        <v>47</v>
      </c>
    </row>
    <row r="466" spans="1:24" x14ac:dyDescent="0.25">
      <c r="A466" s="5" t="s">
        <v>34</v>
      </c>
      <c r="B466" s="5" t="s">
        <v>177</v>
      </c>
      <c r="C466" s="5" t="s">
        <v>178</v>
      </c>
      <c r="D466" s="5" t="s">
        <v>37</v>
      </c>
      <c r="E466" s="5" t="s">
        <v>86</v>
      </c>
      <c r="F466" s="5" t="s">
        <v>87</v>
      </c>
      <c r="G466" s="5" t="s">
        <v>40</v>
      </c>
      <c r="H466" s="6">
        <v>45961</v>
      </c>
      <c r="I466" s="6">
        <v>45961</v>
      </c>
      <c r="J466" s="6">
        <v>45964</v>
      </c>
      <c r="K466" s="5" t="s">
        <v>172</v>
      </c>
      <c r="L466" s="5" t="s">
        <v>173</v>
      </c>
      <c r="M466" s="5" t="s">
        <v>43</v>
      </c>
      <c r="N466" s="5" t="s">
        <v>174</v>
      </c>
      <c r="O466" s="7">
        <v>8360.73</v>
      </c>
      <c r="P466" s="5" t="s">
        <v>45</v>
      </c>
      <c r="Q466" s="7">
        <v>8360.73</v>
      </c>
      <c r="R466" s="5" t="s">
        <v>45</v>
      </c>
      <c r="S466" s="7">
        <v>2460.4899999999998</v>
      </c>
      <c r="T466" s="5" t="s">
        <v>46</v>
      </c>
      <c r="U466" s="5" t="s">
        <v>47</v>
      </c>
      <c r="V466" s="5" t="s">
        <v>47</v>
      </c>
      <c r="W466" s="5" t="s">
        <v>47</v>
      </c>
      <c r="X466" s="5" t="s">
        <v>47</v>
      </c>
    </row>
    <row r="467" spans="1:24" x14ac:dyDescent="0.25">
      <c r="A467" s="5" t="s">
        <v>34</v>
      </c>
      <c r="B467" s="5" t="s">
        <v>177</v>
      </c>
      <c r="C467" s="5" t="s">
        <v>178</v>
      </c>
      <c r="D467" s="5" t="s">
        <v>37</v>
      </c>
      <c r="E467" s="5" t="s">
        <v>84</v>
      </c>
      <c r="F467" s="5" t="s">
        <v>85</v>
      </c>
      <c r="G467" s="5" t="s">
        <v>40</v>
      </c>
      <c r="H467" s="6">
        <v>45961</v>
      </c>
      <c r="I467" s="6">
        <v>45961</v>
      </c>
      <c r="J467" s="6">
        <v>45964</v>
      </c>
      <c r="K467" s="5" t="s">
        <v>172</v>
      </c>
      <c r="L467" s="5" t="s">
        <v>173</v>
      </c>
      <c r="M467" s="5" t="s">
        <v>43</v>
      </c>
      <c r="N467" s="5" t="s">
        <v>174</v>
      </c>
      <c r="O467" s="7">
        <v>1287.99</v>
      </c>
      <c r="P467" s="5" t="s">
        <v>45</v>
      </c>
      <c r="Q467" s="7">
        <v>1287.99</v>
      </c>
      <c r="R467" s="5" t="s">
        <v>45</v>
      </c>
      <c r="S467" s="7">
        <v>379.04</v>
      </c>
      <c r="T467" s="5" t="s">
        <v>46</v>
      </c>
      <c r="U467" s="5" t="s">
        <v>47</v>
      </c>
      <c r="V467" s="5" t="s">
        <v>47</v>
      </c>
      <c r="W467" s="5" t="s">
        <v>47</v>
      </c>
      <c r="X467" s="5" t="s">
        <v>47</v>
      </c>
    </row>
    <row r="468" spans="1:24" x14ac:dyDescent="0.25">
      <c r="A468" s="5" t="s">
        <v>34</v>
      </c>
      <c r="B468" s="5" t="s">
        <v>177</v>
      </c>
      <c r="C468" s="5" t="s">
        <v>178</v>
      </c>
      <c r="D468" s="5" t="s">
        <v>37</v>
      </c>
      <c r="E468" s="5" t="s">
        <v>142</v>
      </c>
      <c r="F468" s="5" t="s">
        <v>143</v>
      </c>
      <c r="G468" s="5" t="s">
        <v>40</v>
      </c>
      <c r="H468" s="6">
        <v>45961</v>
      </c>
      <c r="I468" s="6">
        <v>45961</v>
      </c>
      <c r="J468" s="6">
        <v>45964</v>
      </c>
      <c r="K468" s="5" t="s">
        <v>172</v>
      </c>
      <c r="L468" s="5" t="s">
        <v>173</v>
      </c>
      <c r="M468" s="5" t="s">
        <v>43</v>
      </c>
      <c r="N468" s="5" t="s">
        <v>174</v>
      </c>
      <c r="O468" s="7">
        <v>372.58</v>
      </c>
      <c r="P468" s="5" t="s">
        <v>45</v>
      </c>
      <c r="Q468" s="7">
        <v>372.58</v>
      </c>
      <c r="R468" s="5" t="s">
        <v>45</v>
      </c>
      <c r="S468" s="7">
        <v>109.65</v>
      </c>
      <c r="T468" s="5" t="s">
        <v>46</v>
      </c>
      <c r="U468" s="5" t="s">
        <v>47</v>
      </c>
      <c r="V468" s="5" t="s">
        <v>47</v>
      </c>
      <c r="W468" s="5" t="s">
        <v>47</v>
      </c>
      <c r="X468" s="5" t="s">
        <v>47</v>
      </c>
    </row>
    <row r="469" spans="1:24" x14ac:dyDescent="0.25">
      <c r="A469" s="5" t="s">
        <v>34</v>
      </c>
      <c r="B469" s="5" t="s">
        <v>177</v>
      </c>
      <c r="C469" s="5" t="s">
        <v>178</v>
      </c>
      <c r="D469" s="5" t="s">
        <v>37</v>
      </c>
      <c r="E469" s="5" t="s">
        <v>58</v>
      </c>
      <c r="F469" s="5" t="s">
        <v>59</v>
      </c>
      <c r="G469" s="5" t="s">
        <v>40</v>
      </c>
      <c r="H469" s="6">
        <v>45961</v>
      </c>
      <c r="I469" s="6">
        <v>45961</v>
      </c>
      <c r="J469" s="6">
        <v>45964</v>
      </c>
      <c r="K469" s="5" t="s">
        <v>172</v>
      </c>
      <c r="L469" s="5" t="s">
        <v>173</v>
      </c>
      <c r="M469" s="5" t="s">
        <v>43</v>
      </c>
      <c r="N469" s="5" t="s">
        <v>174</v>
      </c>
      <c r="O469" s="7">
        <v>250.26</v>
      </c>
      <c r="P469" s="5" t="s">
        <v>45</v>
      </c>
      <c r="Q469" s="7">
        <v>250.26</v>
      </c>
      <c r="R469" s="5" t="s">
        <v>45</v>
      </c>
      <c r="S469" s="7">
        <v>73.650000000000006</v>
      </c>
      <c r="T469" s="5" t="s">
        <v>46</v>
      </c>
      <c r="U469" s="5" t="s">
        <v>47</v>
      </c>
      <c r="V469" s="5" t="s">
        <v>47</v>
      </c>
      <c r="W469" s="5" t="s">
        <v>47</v>
      </c>
      <c r="X469" s="5" t="s">
        <v>47</v>
      </c>
    </row>
    <row r="470" spans="1:24" x14ac:dyDescent="0.25">
      <c r="A470" s="5" t="s">
        <v>34</v>
      </c>
      <c r="B470" s="5" t="s">
        <v>177</v>
      </c>
      <c r="C470" s="5" t="s">
        <v>178</v>
      </c>
      <c r="D470" s="5" t="s">
        <v>37</v>
      </c>
      <c r="E470" s="5" t="s">
        <v>122</v>
      </c>
      <c r="F470" s="5" t="s">
        <v>123</v>
      </c>
      <c r="G470" s="5" t="s">
        <v>40</v>
      </c>
      <c r="H470" s="6">
        <v>45961</v>
      </c>
      <c r="I470" s="6">
        <v>45961</v>
      </c>
      <c r="J470" s="6">
        <v>45964</v>
      </c>
      <c r="K470" s="5" t="s">
        <v>172</v>
      </c>
      <c r="L470" s="5" t="s">
        <v>173</v>
      </c>
      <c r="M470" s="5" t="s">
        <v>43</v>
      </c>
      <c r="N470" s="5" t="s">
        <v>174</v>
      </c>
      <c r="O470" s="7">
        <v>-520.74</v>
      </c>
      <c r="P470" s="5" t="s">
        <v>45</v>
      </c>
      <c r="Q470" s="7">
        <v>-520.74</v>
      </c>
      <c r="R470" s="5" t="s">
        <v>45</v>
      </c>
      <c r="S470" s="7">
        <v>-153.25</v>
      </c>
      <c r="T470" s="5" t="s">
        <v>46</v>
      </c>
      <c r="U470" s="5" t="s">
        <v>47</v>
      </c>
      <c r="V470" s="5" t="s">
        <v>47</v>
      </c>
      <c r="W470" s="5" t="s">
        <v>47</v>
      </c>
      <c r="X470" s="5" t="s">
        <v>47</v>
      </c>
    </row>
    <row r="471" spans="1:24" x14ac:dyDescent="0.25">
      <c r="A471" s="5" t="s">
        <v>34</v>
      </c>
      <c r="B471" s="5" t="s">
        <v>177</v>
      </c>
      <c r="C471" s="5" t="s">
        <v>178</v>
      </c>
      <c r="D471" s="5" t="s">
        <v>37</v>
      </c>
      <c r="E471" s="5" t="s">
        <v>92</v>
      </c>
      <c r="F471" s="5" t="s">
        <v>93</v>
      </c>
      <c r="G471" s="5" t="s">
        <v>40</v>
      </c>
      <c r="H471" s="6">
        <v>45961</v>
      </c>
      <c r="I471" s="6">
        <v>45961</v>
      </c>
      <c r="J471" s="6">
        <v>45964</v>
      </c>
      <c r="K471" s="5" t="s">
        <v>172</v>
      </c>
      <c r="L471" s="5" t="s">
        <v>173</v>
      </c>
      <c r="M471" s="5" t="s">
        <v>43</v>
      </c>
      <c r="N471" s="5" t="s">
        <v>174</v>
      </c>
      <c r="O471" s="7">
        <v>994.82</v>
      </c>
      <c r="P471" s="5" t="s">
        <v>45</v>
      </c>
      <c r="Q471" s="7">
        <v>994.82</v>
      </c>
      <c r="R471" s="5" t="s">
        <v>45</v>
      </c>
      <c r="S471" s="7">
        <v>292.77</v>
      </c>
      <c r="T471" s="5" t="s">
        <v>46</v>
      </c>
      <c r="U471" s="5" t="s">
        <v>47</v>
      </c>
      <c r="V471" s="5" t="s">
        <v>47</v>
      </c>
      <c r="W471" s="5" t="s">
        <v>47</v>
      </c>
      <c r="X471" s="5" t="s">
        <v>47</v>
      </c>
    </row>
    <row r="472" spans="1:24" x14ac:dyDescent="0.25">
      <c r="A472" s="5" t="s">
        <v>34</v>
      </c>
      <c r="B472" s="5" t="s">
        <v>177</v>
      </c>
      <c r="C472" s="5" t="s">
        <v>178</v>
      </c>
      <c r="D472" s="5" t="s">
        <v>37</v>
      </c>
      <c r="E472" s="5" t="s">
        <v>110</v>
      </c>
      <c r="F472" s="5" t="s">
        <v>111</v>
      </c>
      <c r="G472" s="5" t="s">
        <v>40</v>
      </c>
      <c r="H472" s="6">
        <v>45961</v>
      </c>
      <c r="I472" s="6">
        <v>45961</v>
      </c>
      <c r="J472" s="6">
        <v>45960</v>
      </c>
      <c r="K472" s="5" t="s">
        <v>150</v>
      </c>
      <c r="L472" s="5" t="s">
        <v>151</v>
      </c>
      <c r="M472" s="5" t="s">
        <v>43</v>
      </c>
      <c r="N472" s="5" t="s">
        <v>152</v>
      </c>
      <c r="O472" s="7">
        <v>188.19</v>
      </c>
      <c r="P472" s="5" t="s">
        <v>45</v>
      </c>
      <c r="Q472" s="7">
        <v>188.19</v>
      </c>
      <c r="R472" s="5" t="s">
        <v>45</v>
      </c>
      <c r="S472" s="7">
        <v>55.45</v>
      </c>
      <c r="T472" s="5" t="s">
        <v>46</v>
      </c>
      <c r="U472" s="5" t="s">
        <v>47</v>
      </c>
      <c r="V472" s="5" t="s">
        <v>47</v>
      </c>
      <c r="W472" s="5" t="s">
        <v>47</v>
      </c>
      <c r="X472" s="5" t="s">
        <v>47</v>
      </c>
    </row>
    <row r="473" spans="1:24" x14ac:dyDescent="0.25">
      <c r="A473" s="5" t="s">
        <v>34</v>
      </c>
      <c r="B473" s="5" t="s">
        <v>177</v>
      </c>
      <c r="C473" s="5" t="s">
        <v>178</v>
      </c>
      <c r="D473" s="5" t="s">
        <v>37</v>
      </c>
      <c r="E473" s="5" t="s">
        <v>96</v>
      </c>
      <c r="F473" s="5" t="s">
        <v>97</v>
      </c>
      <c r="G473" s="5" t="s">
        <v>40</v>
      </c>
      <c r="H473" s="6">
        <v>45961</v>
      </c>
      <c r="I473" s="6">
        <v>45961</v>
      </c>
      <c r="J473" s="6">
        <v>45964</v>
      </c>
      <c r="K473" s="5" t="s">
        <v>172</v>
      </c>
      <c r="L473" s="5" t="s">
        <v>173</v>
      </c>
      <c r="M473" s="5" t="s">
        <v>43</v>
      </c>
      <c r="N473" s="5" t="s">
        <v>174</v>
      </c>
      <c r="O473" s="7">
        <v>-9118.2099999999991</v>
      </c>
      <c r="P473" s="5" t="s">
        <v>45</v>
      </c>
      <c r="Q473" s="7">
        <v>-9118.2099999999991</v>
      </c>
      <c r="R473" s="5" t="s">
        <v>45</v>
      </c>
      <c r="S473" s="7">
        <v>-2683.4</v>
      </c>
      <c r="T473" s="5" t="s">
        <v>46</v>
      </c>
      <c r="U473" s="5" t="s">
        <v>47</v>
      </c>
      <c r="V473" s="5" t="s">
        <v>47</v>
      </c>
      <c r="W473" s="5" t="s">
        <v>47</v>
      </c>
      <c r="X473" s="5" t="s">
        <v>47</v>
      </c>
    </row>
    <row r="474" spans="1:24" x14ac:dyDescent="0.25">
      <c r="A474" s="5" t="s">
        <v>34</v>
      </c>
      <c r="B474" s="5" t="s">
        <v>179</v>
      </c>
      <c r="C474" s="5" t="s">
        <v>180</v>
      </c>
      <c r="D474" s="5" t="s">
        <v>37</v>
      </c>
      <c r="E474" s="5" t="s">
        <v>54</v>
      </c>
      <c r="F474" s="5" t="s">
        <v>55</v>
      </c>
      <c r="G474" s="5" t="s">
        <v>40</v>
      </c>
      <c r="H474" s="6">
        <v>45961</v>
      </c>
      <c r="I474" s="6">
        <v>45961</v>
      </c>
      <c r="J474" s="6">
        <v>45964</v>
      </c>
      <c r="K474" s="5" t="s">
        <v>41</v>
      </c>
      <c r="L474" s="5" t="s">
        <v>42</v>
      </c>
      <c r="M474" s="5" t="s">
        <v>43</v>
      </c>
      <c r="N474" s="5" t="s">
        <v>44</v>
      </c>
      <c r="O474" s="7">
        <v>146.07</v>
      </c>
      <c r="P474" s="5" t="s">
        <v>45</v>
      </c>
      <c r="Q474" s="7">
        <v>146.07</v>
      </c>
      <c r="R474" s="5" t="s">
        <v>45</v>
      </c>
      <c r="S474" s="7">
        <v>42.99</v>
      </c>
      <c r="T474" s="5" t="s">
        <v>46</v>
      </c>
      <c r="U474" s="5" t="s">
        <v>47</v>
      </c>
      <c r="V474" s="5" t="s">
        <v>47</v>
      </c>
      <c r="W474" s="5" t="s">
        <v>47</v>
      </c>
      <c r="X474" s="5" t="s">
        <v>47</v>
      </c>
    </row>
    <row r="475" spans="1:24" x14ac:dyDescent="0.25">
      <c r="A475" s="5" t="s">
        <v>34</v>
      </c>
      <c r="B475" s="5" t="s">
        <v>179</v>
      </c>
      <c r="C475" s="5" t="s">
        <v>180</v>
      </c>
      <c r="D475" s="5" t="s">
        <v>37</v>
      </c>
      <c r="E475" s="5" t="s">
        <v>110</v>
      </c>
      <c r="F475" s="5" t="s">
        <v>111</v>
      </c>
      <c r="G475" s="5" t="s">
        <v>40</v>
      </c>
      <c r="H475" s="6">
        <v>45961</v>
      </c>
      <c r="I475" s="6">
        <v>45961</v>
      </c>
      <c r="J475" s="6">
        <v>45964</v>
      </c>
      <c r="K475" s="5" t="s">
        <v>41</v>
      </c>
      <c r="L475" s="5" t="s">
        <v>42</v>
      </c>
      <c r="M475" s="5" t="s">
        <v>43</v>
      </c>
      <c r="N475" s="5" t="s">
        <v>44</v>
      </c>
      <c r="O475" s="7">
        <v>198.07</v>
      </c>
      <c r="P475" s="5" t="s">
        <v>45</v>
      </c>
      <c r="Q475" s="7">
        <v>198.07</v>
      </c>
      <c r="R475" s="5" t="s">
        <v>45</v>
      </c>
      <c r="S475" s="7">
        <v>58.29</v>
      </c>
      <c r="T475" s="5" t="s">
        <v>46</v>
      </c>
      <c r="U475" s="5" t="s">
        <v>47</v>
      </c>
      <c r="V475" s="5" t="s">
        <v>47</v>
      </c>
      <c r="W475" s="5" t="s">
        <v>47</v>
      </c>
      <c r="X475" s="5" t="s">
        <v>47</v>
      </c>
    </row>
    <row r="476" spans="1:24" x14ac:dyDescent="0.25">
      <c r="A476" s="5" t="s">
        <v>34</v>
      </c>
      <c r="B476" s="5" t="s">
        <v>179</v>
      </c>
      <c r="C476" s="5" t="s">
        <v>180</v>
      </c>
      <c r="D476" s="5" t="s">
        <v>37</v>
      </c>
      <c r="E476" s="5" t="s">
        <v>96</v>
      </c>
      <c r="F476" s="5" t="s">
        <v>97</v>
      </c>
      <c r="G476" s="5" t="s">
        <v>40</v>
      </c>
      <c r="H476" s="6">
        <v>45961</v>
      </c>
      <c r="I476" s="6">
        <v>45961</v>
      </c>
      <c r="J476" s="6">
        <v>45964</v>
      </c>
      <c r="K476" s="5" t="s">
        <v>41</v>
      </c>
      <c r="L476" s="5" t="s">
        <v>42</v>
      </c>
      <c r="M476" s="5" t="s">
        <v>43</v>
      </c>
      <c r="N476" s="5" t="s">
        <v>44</v>
      </c>
      <c r="O476" s="7">
        <v>198.35</v>
      </c>
      <c r="P476" s="5" t="s">
        <v>45</v>
      </c>
      <c r="Q476" s="7">
        <v>198.35</v>
      </c>
      <c r="R476" s="5" t="s">
        <v>45</v>
      </c>
      <c r="S476" s="7">
        <v>58.37</v>
      </c>
      <c r="T476" s="5" t="s">
        <v>46</v>
      </c>
      <c r="U476" s="5" t="s">
        <v>47</v>
      </c>
      <c r="V476" s="5" t="s">
        <v>47</v>
      </c>
      <c r="W476" s="5" t="s">
        <v>47</v>
      </c>
      <c r="X476" s="5" t="s">
        <v>47</v>
      </c>
    </row>
    <row r="477" spans="1:24" x14ac:dyDescent="0.25">
      <c r="A477" s="5" t="s">
        <v>34</v>
      </c>
      <c r="B477" s="5" t="s">
        <v>179</v>
      </c>
      <c r="C477" s="5" t="s">
        <v>180</v>
      </c>
      <c r="D477" s="5" t="s">
        <v>37</v>
      </c>
      <c r="E477" s="5" t="s">
        <v>74</v>
      </c>
      <c r="F477" s="5" t="s">
        <v>75</v>
      </c>
      <c r="G477" s="5" t="s">
        <v>40</v>
      </c>
      <c r="H477" s="6">
        <v>45961</v>
      </c>
      <c r="I477" s="6">
        <v>45961</v>
      </c>
      <c r="J477" s="6">
        <v>45964</v>
      </c>
      <c r="K477" s="5" t="s">
        <v>41</v>
      </c>
      <c r="L477" s="5" t="s">
        <v>42</v>
      </c>
      <c r="M477" s="5" t="s">
        <v>43</v>
      </c>
      <c r="N477" s="5" t="s">
        <v>44</v>
      </c>
      <c r="O477" s="7">
        <v>241.65</v>
      </c>
      <c r="P477" s="5" t="s">
        <v>45</v>
      </c>
      <c r="Q477" s="7">
        <v>241.65</v>
      </c>
      <c r="R477" s="5" t="s">
        <v>45</v>
      </c>
      <c r="S477" s="7">
        <v>71.12</v>
      </c>
      <c r="T477" s="5" t="s">
        <v>46</v>
      </c>
      <c r="U477" s="5" t="s">
        <v>47</v>
      </c>
      <c r="V477" s="5" t="s">
        <v>47</v>
      </c>
      <c r="W477" s="5" t="s">
        <v>47</v>
      </c>
      <c r="X477" s="5" t="s">
        <v>47</v>
      </c>
    </row>
    <row r="478" spans="1:24" x14ac:dyDescent="0.25">
      <c r="A478" s="5" t="s">
        <v>34</v>
      </c>
      <c r="B478" s="5" t="s">
        <v>179</v>
      </c>
      <c r="C478" s="5" t="s">
        <v>180</v>
      </c>
      <c r="D478" s="5" t="s">
        <v>37</v>
      </c>
      <c r="E478" s="5" t="s">
        <v>88</v>
      </c>
      <c r="F478" s="5" t="s">
        <v>89</v>
      </c>
      <c r="G478" s="5" t="s">
        <v>40</v>
      </c>
      <c r="H478" s="6">
        <v>45961</v>
      </c>
      <c r="I478" s="6">
        <v>45961</v>
      </c>
      <c r="J478" s="6">
        <v>45964</v>
      </c>
      <c r="K478" s="5" t="s">
        <v>41</v>
      </c>
      <c r="L478" s="5" t="s">
        <v>42</v>
      </c>
      <c r="M478" s="5" t="s">
        <v>43</v>
      </c>
      <c r="N478" s="5" t="s">
        <v>44</v>
      </c>
      <c r="O478" s="7">
        <v>198.35</v>
      </c>
      <c r="P478" s="5" t="s">
        <v>45</v>
      </c>
      <c r="Q478" s="7">
        <v>198.35</v>
      </c>
      <c r="R478" s="5" t="s">
        <v>45</v>
      </c>
      <c r="S478" s="7">
        <v>58.37</v>
      </c>
      <c r="T478" s="5" t="s">
        <v>46</v>
      </c>
      <c r="U478" s="5" t="s">
        <v>47</v>
      </c>
      <c r="V478" s="5" t="s">
        <v>47</v>
      </c>
      <c r="W478" s="5" t="s">
        <v>47</v>
      </c>
      <c r="X478" s="5" t="s">
        <v>47</v>
      </c>
    </row>
    <row r="479" spans="1:24" x14ac:dyDescent="0.25">
      <c r="A479" s="5" t="s">
        <v>34</v>
      </c>
      <c r="B479" s="5" t="s">
        <v>179</v>
      </c>
      <c r="C479" s="5" t="s">
        <v>180</v>
      </c>
      <c r="D479" s="5" t="s">
        <v>37</v>
      </c>
      <c r="E479" s="5" t="s">
        <v>102</v>
      </c>
      <c r="F479" s="5" t="s">
        <v>103</v>
      </c>
      <c r="G479" s="5" t="s">
        <v>40</v>
      </c>
      <c r="H479" s="6">
        <v>45961</v>
      </c>
      <c r="I479" s="6">
        <v>45961</v>
      </c>
      <c r="J479" s="6">
        <v>45964</v>
      </c>
      <c r="K479" s="5" t="s">
        <v>41</v>
      </c>
      <c r="L479" s="5" t="s">
        <v>42</v>
      </c>
      <c r="M479" s="5" t="s">
        <v>43</v>
      </c>
      <c r="N479" s="5" t="s">
        <v>44</v>
      </c>
      <c r="O479" s="7">
        <v>249.63</v>
      </c>
      <c r="P479" s="5" t="s">
        <v>45</v>
      </c>
      <c r="Q479" s="7">
        <v>249.63</v>
      </c>
      <c r="R479" s="5" t="s">
        <v>45</v>
      </c>
      <c r="S479" s="7">
        <v>73.459999999999994</v>
      </c>
      <c r="T479" s="5" t="s">
        <v>46</v>
      </c>
      <c r="U479" s="5" t="s">
        <v>47</v>
      </c>
      <c r="V479" s="5" t="s">
        <v>47</v>
      </c>
      <c r="W479" s="5" t="s">
        <v>47</v>
      </c>
      <c r="X479" s="5" t="s">
        <v>47</v>
      </c>
    </row>
    <row r="480" spans="1:24" x14ac:dyDescent="0.25">
      <c r="A480" s="5" t="s">
        <v>34</v>
      </c>
      <c r="B480" s="5" t="s">
        <v>179</v>
      </c>
      <c r="C480" s="5" t="s">
        <v>180</v>
      </c>
      <c r="D480" s="5" t="s">
        <v>37</v>
      </c>
      <c r="E480" s="5" t="s">
        <v>100</v>
      </c>
      <c r="F480" s="5" t="s">
        <v>101</v>
      </c>
      <c r="G480" s="5" t="s">
        <v>40</v>
      </c>
      <c r="H480" s="6">
        <v>45961</v>
      </c>
      <c r="I480" s="6">
        <v>45961</v>
      </c>
      <c r="J480" s="6">
        <v>45964</v>
      </c>
      <c r="K480" s="5" t="s">
        <v>41</v>
      </c>
      <c r="L480" s="5" t="s">
        <v>42</v>
      </c>
      <c r="M480" s="5" t="s">
        <v>43</v>
      </c>
      <c r="N480" s="5" t="s">
        <v>44</v>
      </c>
      <c r="O480" s="7">
        <v>183.67</v>
      </c>
      <c r="P480" s="5" t="s">
        <v>45</v>
      </c>
      <c r="Q480" s="7">
        <v>183.67</v>
      </c>
      <c r="R480" s="5" t="s">
        <v>45</v>
      </c>
      <c r="S480" s="7">
        <v>54.05</v>
      </c>
      <c r="T480" s="5" t="s">
        <v>46</v>
      </c>
      <c r="U480" s="5" t="s">
        <v>47</v>
      </c>
      <c r="V480" s="5" t="s">
        <v>47</v>
      </c>
      <c r="W480" s="5" t="s">
        <v>47</v>
      </c>
      <c r="X480" s="5" t="s">
        <v>47</v>
      </c>
    </row>
    <row r="481" spans="1:24" x14ac:dyDescent="0.25">
      <c r="A481" s="5" t="s">
        <v>34</v>
      </c>
      <c r="B481" s="5" t="s">
        <v>179</v>
      </c>
      <c r="C481" s="5" t="s">
        <v>180</v>
      </c>
      <c r="D481" s="5" t="s">
        <v>37</v>
      </c>
      <c r="E481" s="5" t="s">
        <v>62</v>
      </c>
      <c r="F481" s="5" t="s">
        <v>63</v>
      </c>
      <c r="G481" s="5" t="s">
        <v>40</v>
      </c>
      <c r="H481" s="6">
        <v>45961</v>
      </c>
      <c r="I481" s="6">
        <v>45961</v>
      </c>
      <c r="J481" s="6">
        <v>45964</v>
      </c>
      <c r="K481" s="5" t="s">
        <v>41</v>
      </c>
      <c r="L481" s="5" t="s">
        <v>42</v>
      </c>
      <c r="M481" s="5" t="s">
        <v>43</v>
      </c>
      <c r="N481" s="5" t="s">
        <v>44</v>
      </c>
      <c r="O481" s="7">
        <v>310.95</v>
      </c>
      <c r="P481" s="5" t="s">
        <v>45</v>
      </c>
      <c r="Q481" s="7">
        <v>310.95</v>
      </c>
      <c r="R481" s="5" t="s">
        <v>45</v>
      </c>
      <c r="S481" s="7">
        <v>91.51</v>
      </c>
      <c r="T481" s="5" t="s">
        <v>46</v>
      </c>
      <c r="U481" s="5" t="s">
        <v>47</v>
      </c>
      <c r="V481" s="5" t="s">
        <v>47</v>
      </c>
      <c r="W481" s="5" t="s">
        <v>47</v>
      </c>
      <c r="X481" s="5" t="s">
        <v>47</v>
      </c>
    </row>
    <row r="482" spans="1:24" x14ac:dyDescent="0.25">
      <c r="A482" s="5" t="s">
        <v>34</v>
      </c>
      <c r="B482" s="5" t="s">
        <v>179</v>
      </c>
      <c r="C482" s="5" t="s">
        <v>180</v>
      </c>
      <c r="D482" s="5" t="s">
        <v>37</v>
      </c>
      <c r="E482" s="5" t="s">
        <v>68</v>
      </c>
      <c r="F482" s="5" t="s">
        <v>69</v>
      </c>
      <c r="G482" s="5" t="s">
        <v>40</v>
      </c>
      <c r="H482" s="6">
        <v>45961</v>
      </c>
      <c r="I482" s="6">
        <v>45961</v>
      </c>
      <c r="J482" s="6">
        <v>45964</v>
      </c>
      <c r="K482" s="5" t="s">
        <v>41</v>
      </c>
      <c r="L482" s="5" t="s">
        <v>42</v>
      </c>
      <c r="M482" s="5" t="s">
        <v>43</v>
      </c>
      <c r="N482" s="5" t="s">
        <v>44</v>
      </c>
      <c r="O482" s="7">
        <v>99.17</v>
      </c>
      <c r="P482" s="5" t="s">
        <v>45</v>
      </c>
      <c r="Q482" s="7">
        <v>99.17</v>
      </c>
      <c r="R482" s="5" t="s">
        <v>45</v>
      </c>
      <c r="S482" s="7">
        <v>29.18</v>
      </c>
      <c r="T482" s="5" t="s">
        <v>46</v>
      </c>
      <c r="U482" s="5" t="s">
        <v>47</v>
      </c>
      <c r="V482" s="5" t="s">
        <v>47</v>
      </c>
      <c r="W482" s="5" t="s">
        <v>47</v>
      </c>
      <c r="X482" s="5" t="s">
        <v>47</v>
      </c>
    </row>
    <row r="483" spans="1:24" x14ac:dyDescent="0.25">
      <c r="A483" s="5" t="s">
        <v>34</v>
      </c>
      <c r="B483" s="5" t="s">
        <v>179</v>
      </c>
      <c r="C483" s="5" t="s">
        <v>180</v>
      </c>
      <c r="D483" s="5" t="s">
        <v>37</v>
      </c>
      <c r="E483" s="5" t="s">
        <v>58</v>
      </c>
      <c r="F483" s="5" t="s">
        <v>59</v>
      </c>
      <c r="G483" s="5" t="s">
        <v>40</v>
      </c>
      <c r="H483" s="6">
        <v>45961</v>
      </c>
      <c r="I483" s="6">
        <v>45961</v>
      </c>
      <c r="J483" s="6">
        <v>45964</v>
      </c>
      <c r="K483" s="5" t="s">
        <v>41</v>
      </c>
      <c r="L483" s="5" t="s">
        <v>42</v>
      </c>
      <c r="M483" s="5" t="s">
        <v>43</v>
      </c>
      <c r="N483" s="5" t="s">
        <v>44</v>
      </c>
      <c r="O483" s="7">
        <v>300.74</v>
      </c>
      <c r="P483" s="5" t="s">
        <v>45</v>
      </c>
      <c r="Q483" s="7">
        <v>300.74</v>
      </c>
      <c r="R483" s="5" t="s">
        <v>45</v>
      </c>
      <c r="S483" s="7">
        <v>88.51</v>
      </c>
      <c r="T483" s="5" t="s">
        <v>46</v>
      </c>
      <c r="U483" s="5" t="s">
        <v>47</v>
      </c>
      <c r="V483" s="5" t="s">
        <v>47</v>
      </c>
      <c r="W483" s="5" t="s">
        <v>47</v>
      </c>
      <c r="X483" s="5" t="s">
        <v>47</v>
      </c>
    </row>
    <row r="484" spans="1:24" x14ac:dyDescent="0.25">
      <c r="A484" s="5" t="s">
        <v>34</v>
      </c>
      <c r="B484" s="5" t="s">
        <v>181</v>
      </c>
      <c r="C484" s="5" t="s">
        <v>182</v>
      </c>
      <c r="D484" s="5" t="s">
        <v>37</v>
      </c>
      <c r="E484" s="5" t="s">
        <v>68</v>
      </c>
      <c r="F484" s="5" t="s">
        <v>69</v>
      </c>
      <c r="G484" s="5" t="s">
        <v>40</v>
      </c>
      <c r="H484" s="6">
        <v>45961</v>
      </c>
      <c r="I484" s="6">
        <v>45961</v>
      </c>
      <c r="J484" s="6">
        <v>45964</v>
      </c>
      <c r="K484" s="5" t="s">
        <v>135</v>
      </c>
      <c r="L484" s="5" t="s">
        <v>136</v>
      </c>
      <c r="M484" s="5" t="s">
        <v>43</v>
      </c>
      <c r="N484" s="5" t="s">
        <v>137</v>
      </c>
      <c r="O484" s="7">
        <v>305.47000000000003</v>
      </c>
      <c r="P484" s="5" t="s">
        <v>45</v>
      </c>
      <c r="Q484" s="7">
        <v>305.47000000000003</v>
      </c>
      <c r="R484" s="5" t="s">
        <v>45</v>
      </c>
      <c r="S484" s="7">
        <v>89.9</v>
      </c>
      <c r="T484" s="5" t="s">
        <v>46</v>
      </c>
      <c r="U484" s="5" t="s">
        <v>47</v>
      </c>
      <c r="V484" s="5" t="s">
        <v>47</v>
      </c>
      <c r="W484" s="5" t="s">
        <v>47</v>
      </c>
      <c r="X484" s="5" t="s">
        <v>47</v>
      </c>
    </row>
    <row r="485" spans="1:24" x14ac:dyDescent="0.25">
      <c r="A485" s="5" t="s">
        <v>34</v>
      </c>
      <c r="B485" s="5" t="s">
        <v>181</v>
      </c>
      <c r="C485" s="5" t="s">
        <v>182</v>
      </c>
      <c r="D485" s="5" t="s">
        <v>37</v>
      </c>
      <c r="E485" s="5" t="s">
        <v>142</v>
      </c>
      <c r="F485" s="5" t="s">
        <v>143</v>
      </c>
      <c r="G485" s="5" t="s">
        <v>40</v>
      </c>
      <c r="H485" s="6">
        <v>45961</v>
      </c>
      <c r="I485" s="6">
        <v>45961</v>
      </c>
      <c r="J485" s="6">
        <v>45961</v>
      </c>
      <c r="K485" s="5" t="s">
        <v>144</v>
      </c>
      <c r="L485" s="5" t="s">
        <v>145</v>
      </c>
      <c r="M485" s="5" t="s">
        <v>43</v>
      </c>
      <c r="N485" s="5" t="s">
        <v>146</v>
      </c>
      <c r="O485" s="7">
        <v>216.59</v>
      </c>
      <c r="P485" s="5" t="s">
        <v>45</v>
      </c>
      <c r="Q485" s="7">
        <v>216.59</v>
      </c>
      <c r="R485" s="5" t="s">
        <v>45</v>
      </c>
      <c r="S485" s="7">
        <v>63.74</v>
      </c>
      <c r="T485" s="5" t="s">
        <v>46</v>
      </c>
      <c r="U485" s="5" t="s">
        <v>47</v>
      </c>
      <c r="V485" s="5" t="s">
        <v>47</v>
      </c>
      <c r="W485" s="5" t="s">
        <v>47</v>
      </c>
      <c r="X485" s="5" t="s">
        <v>47</v>
      </c>
    </row>
    <row r="486" spans="1:24" x14ac:dyDescent="0.25">
      <c r="A486" s="5" t="s">
        <v>34</v>
      </c>
      <c r="B486" s="5" t="s">
        <v>181</v>
      </c>
      <c r="C486" s="5" t="s">
        <v>182</v>
      </c>
      <c r="D486" s="5" t="s">
        <v>37</v>
      </c>
      <c r="E486" s="5" t="s">
        <v>74</v>
      </c>
      <c r="F486" s="5" t="s">
        <v>75</v>
      </c>
      <c r="G486" s="5" t="s">
        <v>40</v>
      </c>
      <c r="H486" s="6">
        <v>45961</v>
      </c>
      <c r="I486" s="6">
        <v>45961</v>
      </c>
      <c r="J486" s="6">
        <v>45964</v>
      </c>
      <c r="K486" s="5" t="s">
        <v>135</v>
      </c>
      <c r="L486" s="5" t="s">
        <v>136</v>
      </c>
      <c r="M486" s="5" t="s">
        <v>43</v>
      </c>
      <c r="N486" s="5" t="s">
        <v>137</v>
      </c>
      <c r="O486" s="7">
        <v>2648.75</v>
      </c>
      <c r="P486" s="5" t="s">
        <v>45</v>
      </c>
      <c r="Q486" s="7">
        <v>2648.75</v>
      </c>
      <c r="R486" s="5" t="s">
        <v>45</v>
      </c>
      <c r="S486" s="7">
        <v>779.5</v>
      </c>
      <c r="T486" s="5" t="s">
        <v>46</v>
      </c>
      <c r="U486" s="5" t="s">
        <v>47</v>
      </c>
      <c r="V486" s="5" t="s">
        <v>47</v>
      </c>
      <c r="W486" s="5" t="s">
        <v>47</v>
      </c>
      <c r="X486" s="5" t="s">
        <v>47</v>
      </c>
    </row>
    <row r="487" spans="1:24" x14ac:dyDescent="0.25">
      <c r="A487" s="5" t="s">
        <v>34</v>
      </c>
      <c r="B487" s="5" t="s">
        <v>181</v>
      </c>
      <c r="C487" s="5" t="s">
        <v>182</v>
      </c>
      <c r="D487" s="5" t="s">
        <v>37</v>
      </c>
      <c r="E487" s="5" t="s">
        <v>116</v>
      </c>
      <c r="F487" s="5" t="s">
        <v>117</v>
      </c>
      <c r="G487" s="5" t="s">
        <v>40</v>
      </c>
      <c r="H487" s="6">
        <v>45961</v>
      </c>
      <c r="I487" s="6">
        <v>45961</v>
      </c>
      <c r="J487" s="6">
        <v>45964</v>
      </c>
      <c r="K487" s="5" t="s">
        <v>135</v>
      </c>
      <c r="L487" s="5" t="s">
        <v>136</v>
      </c>
      <c r="M487" s="5" t="s">
        <v>43</v>
      </c>
      <c r="N487" s="5" t="s">
        <v>137</v>
      </c>
      <c r="O487" s="7">
        <v>589.73</v>
      </c>
      <c r="P487" s="5" t="s">
        <v>45</v>
      </c>
      <c r="Q487" s="7">
        <v>589.73</v>
      </c>
      <c r="R487" s="5" t="s">
        <v>45</v>
      </c>
      <c r="S487" s="7">
        <v>173.55</v>
      </c>
      <c r="T487" s="5" t="s">
        <v>46</v>
      </c>
      <c r="U487" s="5" t="s">
        <v>47</v>
      </c>
      <c r="V487" s="5" t="s">
        <v>47</v>
      </c>
      <c r="W487" s="5" t="s">
        <v>47</v>
      </c>
      <c r="X487" s="5" t="s">
        <v>47</v>
      </c>
    </row>
    <row r="488" spans="1:24" x14ac:dyDescent="0.25">
      <c r="A488" s="5" t="s">
        <v>34</v>
      </c>
      <c r="B488" s="5" t="s">
        <v>181</v>
      </c>
      <c r="C488" s="5" t="s">
        <v>182</v>
      </c>
      <c r="D488" s="5" t="s">
        <v>37</v>
      </c>
      <c r="E488" s="5" t="s">
        <v>64</v>
      </c>
      <c r="F488" s="5" t="s">
        <v>65</v>
      </c>
      <c r="G488" s="5" t="s">
        <v>40</v>
      </c>
      <c r="H488" s="6">
        <v>45961</v>
      </c>
      <c r="I488" s="6">
        <v>45961</v>
      </c>
      <c r="J488" s="6">
        <v>45964</v>
      </c>
      <c r="K488" s="5" t="s">
        <v>135</v>
      </c>
      <c r="L488" s="5" t="s">
        <v>136</v>
      </c>
      <c r="M488" s="5" t="s">
        <v>43</v>
      </c>
      <c r="N488" s="5" t="s">
        <v>137</v>
      </c>
      <c r="O488" s="7">
        <v>782.6</v>
      </c>
      <c r="P488" s="5" t="s">
        <v>45</v>
      </c>
      <c r="Q488" s="7">
        <v>782.6</v>
      </c>
      <c r="R488" s="5" t="s">
        <v>45</v>
      </c>
      <c r="S488" s="7">
        <v>230.31</v>
      </c>
      <c r="T488" s="5" t="s">
        <v>46</v>
      </c>
      <c r="U488" s="5" t="s">
        <v>47</v>
      </c>
      <c r="V488" s="5" t="s">
        <v>47</v>
      </c>
      <c r="W488" s="5" t="s">
        <v>47</v>
      </c>
      <c r="X488" s="5" t="s">
        <v>47</v>
      </c>
    </row>
    <row r="489" spans="1:24" x14ac:dyDescent="0.25">
      <c r="A489" s="5" t="s">
        <v>34</v>
      </c>
      <c r="B489" s="5" t="s">
        <v>181</v>
      </c>
      <c r="C489" s="5" t="s">
        <v>182</v>
      </c>
      <c r="D489" s="5" t="s">
        <v>37</v>
      </c>
      <c r="E489" s="5" t="s">
        <v>38</v>
      </c>
      <c r="F489" s="5" t="s">
        <v>39</v>
      </c>
      <c r="G489" s="5" t="s">
        <v>40</v>
      </c>
      <c r="H489" s="6">
        <v>45961</v>
      </c>
      <c r="I489" s="6">
        <v>45961</v>
      </c>
      <c r="J489" s="6">
        <v>45964</v>
      </c>
      <c r="K489" s="5" t="s">
        <v>135</v>
      </c>
      <c r="L489" s="5" t="s">
        <v>136</v>
      </c>
      <c r="M489" s="5" t="s">
        <v>43</v>
      </c>
      <c r="N489" s="5" t="s">
        <v>137</v>
      </c>
      <c r="O489" s="7">
        <v>1874.33</v>
      </c>
      <c r="P489" s="5" t="s">
        <v>45</v>
      </c>
      <c r="Q489" s="7">
        <v>1874.33</v>
      </c>
      <c r="R489" s="5" t="s">
        <v>45</v>
      </c>
      <c r="S489" s="7">
        <v>551.6</v>
      </c>
      <c r="T489" s="5" t="s">
        <v>46</v>
      </c>
      <c r="U489" s="5" t="s">
        <v>47</v>
      </c>
      <c r="V489" s="5" t="s">
        <v>47</v>
      </c>
      <c r="W489" s="5" t="s">
        <v>47</v>
      </c>
      <c r="X489" s="5" t="s">
        <v>47</v>
      </c>
    </row>
    <row r="490" spans="1:24" x14ac:dyDescent="0.25">
      <c r="A490" s="5" t="s">
        <v>34</v>
      </c>
      <c r="B490" s="5" t="s">
        <v>181</v>
      </c>
      <c r="C490" s="5" t="s">
        <v>182</v>
      </c>
      <c r="D490" s="5" t="s">
        <v>37</v>
      </c>
      <c r="E490" s="5" t="s">
        <v>48</v>
      </c>
      <c r="F490" s="5" t="s">
        <v>49</v>
      </c>
      <c r="G490" s="5" t="s">
        <v>40</v>
      </c>
      <c r="H490" s="6">
        <v>45961</v>
      </c>
      <c r="I490" s="6">
        <v>45961</v>
      </c>
      <c r="J490" s="6">
        <v>45964</v>
      </c>
      <c r="K490" s="5" t="s">
        <v>135</v>
      </c>
      <c r="L490" s="5" t="s">
        <v>136</v>
      </c>
      <c r="M490" s="5" t="s">
        <v>43</v>
      </c>
      <c r="N490" s="5" t="s">
        <v>137</v>
      </c>
      <c r="O490" s="7">
        <v>305</v>
      </c>
      <c r="P490" s="5" t="s">
        <v>45</v>
      </c>
      <c r="Q490" s="7">
        <v>305</v>
      </c>
      <c r="R490" s="5" t="s">
        <v>45</v>
      </c>
      <c r="S490" s="7">
        <v>89.76</v>
      </c>
      <c r="T490" s="5" t="s">
        <v>46</v>
      </c>
      <c r="U490" s="5" t="s">
        <v>47</v>
      </c>
      <c r="V490" s="5" t="s">
        <v>47</v>
      </c>
      <c r="W490" s="5" t="s">
        <v>47</v>
      </c>
      <c r="X490" s="5" t="s">
        <v>47</v>
      </c>
    </row>
    <row r="491" spans="1:24" x14ac:dyDescent="0.25">
      <c r="A491" s="5" t="s">
        <v>34</v>
      </c>
      <c r="B491" s="5" t="s">
        <v>181</v>
      </c>
      <c r="C491" s="5" t="s">
        <v>182</v>
      </c>
      <c r="D491" s="5" t="s">
        <v>37</v>
      </c>
      <c r="E491" s="5" t="s">
        <v>50</v>
      </c>
      <c r="F491" s="5" t="s">
        <v>51</v>
      </c>
      <c r="G491" s="5" t="s">
        <v>40</v>
      </c>
      <c r="H491" s="6">
        <v>45961</v>
      </c>
      <c r="I491" s="6">
        <v>45961</v>
      </c>
      <c r="J491" s="6">
        <v>45964</v>
      </c>
      <c r="K491" s="5" t="s">
        <v>135</v>
      </c>
      <c r="L491" s="5" t="s">
        <v>136</v>
      </c>
      <c r="M491" s="5" t="s">
        <v>43</v>
      </c>
      <c r="N491" s="5" t="s">
        <v>137</v>
      </c>
      <c r="O491" s="7">
        <v>1897</v>
      </c>
      <c r="P491" s="5" t="s">
        <v>45</v>
      </c>
      <c r="Q491" s="7">
        <v>1897</v>
      </c>
      <c r="R491" s="5" t="s">
        <v>45</v>
      </c>
      <c r="S491" s="7">
        <v>558.27</v>
      </c>
      <c r="T491" s="5" t="s">
        <v>46</v>
      </c>
      <c r="U491" s="5" t="s">
        <v>47</v>
      </c>
      <c r="V491" s="5" t="s">
        <v>47</v>
      </c>
      <c r="W491" s="5" t="s">
        <v>47</v>
      </c>
      <c r="X491" s="5" t="s">
        <v>47</v>
      </c>
    </row>
    <row r="492" spans="1:24" x14ac:dyDescent="0.25">
      <c r="A492" s="5" t="s">
        <v>34</v>
      </c>
      <c r="B492" s="5" t="s">
        <v>181</v>
      </c>
      <c r="C492" s="5" t="s">
        <v>182</v>
      </c>
      <c r="D492" s="5" t="s">
        <v>37</v>
      </c>
      <c r="E492" s="5" t="s">
        <v>80</v>
      </c>
      <c r="F492" s="5" t="s">
        <v>81</v>
      </c>
      <c r="G492" s="5" t="s">
        <v>40</v>
      </c>
      <c r="H492" s="6">
        <v>45961</v>
      </c>
      <c r="I492" s="6">
        <v>45961</v>
      </c>
      <c r="J492" s="6">
        <v>45964</v>
      </c>
      <c r="K492" s="5" t="s">
        <v>135</v>
      </c>
      <c r="L492" s="5" t="s">
        <v>136</v>
      </c>
      <c r="M492" s="5" t="s">
        <v>43</v>
      </c>
      <c r="N492" s="5" t="s">
        <v>137</v>
      </c>
      <c r="O492" s="7">
        <v>689.99</v>
      </c>
      <c r="P492" s="5" t="s">
        <v>45</v>
      </c>
      <c r="Q492" s="7">
        <v>689.99</v>
      </c>
      <c r="R492" s="5" t="s">
        <v>45</v>
      </c>
      <c r="S492" s="7">
        <v>203.06</v>
      </c>
      <c r="T492" s="5" t="s">
        <v>46</v>
      </c>
      <c r="U492" s="5" t="s">
        <v>47</v>
      </c>
      <c r="V492" s="5" t="s">
        <v>47</v>
      </c>
      <c r="W492" s="5" t="s">
        <v>47</v>
      </c>
      <c r="X492" s="5" t="s">
        <v>47</v>
      </c>
    </row>
    <row r="493" spans="1:24" x14ac:dyDescent="0.25">
      <c r="A493" s="5" t="s">
        <v>34</v>
      </c>
      <c r="B493" s="5" t="s">
        <v>181</v>
      </c>
      <c r="C493" s="5" t="s">
        <v>182</v>
      </c>
      <c r="D493" s="5" t="s">
        <v>37</v>
      </c>
      <c r="E493" s="5" t="s">
        <v>60</v>
      </c>
      <c r="F493" s="5" t="s">
        <v>61</v>
      </c>
      <c r="G493" s="5" t="s">
        <v>40</v>
      </c>
      <c r="H493" s="6">
        <v>45961</v>
      </c>
      <c r="I493" s="6">
        <v>45961</v>
      </c>
      <c r="J493" s="6">
        <v>45964</v>
      </c>
      <c r="K493" s="5" t="s">
        <v>135</v>
      </c>
      <c r="L493" s="5" t="s">
        <v>136</v>
      </c>
      <c r="M493" s="5" t="s">
        <v>43</v>
      </c>
      <c r="N493" s="5" t="s">
        <v>137</v>
      </c>
      <c r="O493" s="7">
        <v>1606.62</v>
      </c>
      <c r="P493" s="5" t="s">
        <v>45</v>
      </c>
      <c r="Q493" s="7">
        <v>1606.62</v>
      </c>
      <c r="R493" s="5" t="s">
        <v>45</v>
      </c>
      <c r="S493" s="7">
        <v>472.81</v>
      </c>
      <c r="T493" s="5" t="s">
        <v>46</v>
      </c>
      <c r="U493" s="5" t="s">
        <v>47</v>
      </c>
      <c r="V493" s="5" t="s">
        <v>47</v>
      </c>
      <c r="W493" s="5" t="s">
        <v>47</v>
      </c>
      <c r="X493" s="5" t="s">
        <v>47</v>
      </c>
    </row>
    <row r="494" spans="1:24" x14ac:dyDescent="0.25">
      <c r="A494" s="5" t="s">
        <v>34</v>
      </c>
      <c r="B494" s="5" t="s">
        <v>181</v>
      </c>
      <c r="C494" s="5" t="s">
        <v>182</v>
      </c>
      <c r="D494" s="5" t="s">
        <v>37</v>
      </c>
      <c r="E494" s="5" t="s">
        <v>110</v>
      </c>
      <c r="F494" s="5" t="s">
        <v>111</v>
      </c>
      <c r="G494" s="5" t="s">
        <v>40</v>
      </c>
      <c r="H494" s="6">
        <v>45961</v>
      </c>
      <c r="I494" s="6">
        <v>45961</v>
      </c>
      <c r="J494" s="6">
        <v>45960</v>
      </c>
      <c r="K494" s="5" t="s">
        <v>150</v>
      </c>
      <c r="L494" s="5" t="s">
        <v>151</v>
      </c>
      <c r="M494" s="5" t="s">
        <v>43</v>
      </c>
      <c r="N494" s="5" t="s">
        <v>152</v>
      </c>
      <c r="O494" s="7">
        <v>137.27000000000001</v>
      </c>
      <c r="P494" s="5" t="s">
        <v>45</v>
      </c>
      <c r="Q494" s="7">
        <v>137.27000000000001</v>
      </c>
      <c r="R494" s="5" t="s">
        <v>45</v>
      </c>
      <c r="S494" s="7">
        <v>40.44</v>
      </c>
      <c r="T494" s="5" t="s">
        <v>46</v>
      </c>
      <c r="U494" s="5" t="s">
        <v>47</v>
      </c>
      <c r="V494" s="5" t="s">
        <v>47</v>
      </c>
      <c r="W494" s="5" t="s">
        <v>47</v>
      </c>
      <c r="X494" s="5" t="s">
        <v>47</v>
      </c>
    </row>
    <row r="495" spans="1:24" x14ac:dyDescent="0.25">
      <c r="A495" s="5" t="s">
        <v>34</v>
      </c>
      <c r="B495" s="5" t="s">
        <v>181</v>
      </c>
      <c r="C495" s="5" t="s">
        <v>182</v>
      </c>
      <c r="D495" s="5" t="s">
        <v>37</v>
      </c>
      <c r="E495" s="5" t="s">
        <v>92</v>
      </c>
      <c r="F495" s="5" t="s">
        <v>93</v>
      </c>
      <c r="G495" s="5" t="s">
        <v>40</v>
      </c>
      <c r="H495" s="6">
        <v>45961</v>
      </c>
      <c r="I495" s="6">
        <v>45961</v>
      </c>
      <c r="J495" s="6">
        <v>45964</v>
      </c>
      <c r="K495" s="5" t="s">
        <v>135</v>
      </c>
      <c r="L495" s="5" t="s">
        <v>136</v>
      </c>
      <c r="M495" s="5" t="s">
        <v>43</v>
      </c>
      <c r="N495" s="5" t="s">
        <v>137</v>
      </c>
      <c r="O495" s="7">
        <v>297.24</v>
      </c>
      <c r="P495" s="5" t="s">
        <v>45</v>
      </c>
      <c r="Q495" s="7">
        <v>297.24</v>
      </c>
      <c r="R495" s="5" t="s">
        <v>45</v>
      </c>
      <c r="S495" s="7">
        <v>87.47</v>
      </c>
      <c r="T495" s="5" t="s">
        <v>46</v>
      </c>
      <c r="U495" s="5" t="s">
        <v>47</v>
      </c>
      <c r="V495" s="5" t="s">
        <v>47</v>
      </c>
      <c r="W495" s="5" t="s">
        <v>47</v>
      </c>
      <c r="X495" s="5" t="s">
        <v>47</v>
      </c>
    </row>
    <row r="496" spans="1:24" x14ac:dyDescent="0.25">
      <c r="A496" s="5" t="s">
        <v>34</v>
      </c>
      <c r="B496" s="5" t="s">
        <v>181</v>
      </c>
      <c r="C496" s="5" t="s">
        <v>182</v>
      </c>
      <c r="D496" s="5" t="s">
        <v>37</v>
      </c>
      <c r="E496" s="5" t="s">
        <v>110</v>
      </c>
      <c r="F496" s="5" t="s">
        <v>111</v>
      </c>
      <c r="G496" s="5" t="s">
        <v>40</v>
      </c>
      <c r="H496" s="6">
        <v>45961</v>
      </c>
      <c r="I496" s="6">
        <v>45961</v>
      </c>
      <c r="J496" s="6">
        <v>45964</v>
      </c>
      <c r="K496" s="5" t="s">
        <v>135</v>
      </c>
      <c r="L496" s="5" t="s">
        <v>136</v>
      </c>
      <c r="M496" s="5" t="s">
        <v>43</v>
      </c>
      <c r="N496" s="5" t="s">
        <v>137</v>
      </c>
      <c r="O496" s="7">
        <v>2556.79</v>
      </c>
      <c r="P496" s="5" t="s">
        <v>45</v>
      </c>
      <c r="Q496" s="7">
        <v>2556.79</v>
      </c>
      <c r="R496" s="5" t="s">
        <v>45</v>
      </c>
      <c r="S496" s="7">
        <v>752.44</v>
      </c>
      <c r="T496" s="5" t="s">
        <v>46</v>
      </c>
      <c r="U496" s="5" t="s">
        <v>47</v>
      </c>
      <c r="V496" s="5" t="s">
        <v>47</v>
      </c>
      <c r="W496" s="5" t="s">
        <v>47</v>
      </c>
      <c r="X496" s="5" t="s">
        <v>47</v>
      </c>
    </row>
    <row r="497" spans="1:24" x14ac:dyDescent="0.25">
      <c r="A497" s="5" t="s">
        <v>34</v>
      </c>
      <c r="B497" s="5" t="s">
        <v>181</v>
      </c>
      <c r="C497" s="5" t="s">
        <v>182</v>
      </c>
      <c r="D497" s="5" t="s">
        <v>37</v>
      </c>
      <c r="E497" s="5" t="s">
        <v>100</v>
      </c>
      <c r="F497" s="5" t="s">
        <v>101</v>
      </c>
      <c r="G497" s="5" t="s">
        <v>40</v>
      </c>
      <c r="H497" s="6">
        <v>45961</v>
      </c>
      <c r="I497" s="6">
        <v>45961</v>
      </c>
      <c r="J497" s="6">
        <v>45964</v>
      </c>
      <c r="K497" s="5" t="s">
        <v>135</v>
      </c>
      <c r="L497" s="5" t="s">
        <v>136</v>
      </c>
      <c r="M497" s="5" t="s">
        <v>43</v>
      </c>
      <c r="N497" s="5" t="s">
        <v>137</v>
      </c>
      <c r="O497" s="7">
        <v>843.67</v>
      </c>
      <c r="P497" s="5" t="s">
        <v>45</v>
      </c>
      <c r="Q497" s="7">
        <v>843.67</v>
      </c>
      <c r="R497" s="5" t="s">
        <v>45</v>
      </c>
      <c r="S497" s="7">
        <v>248.28</v>
      </c>
      <c r="T497" s="5" t="s">
        <v>46</v>
      </c>
      <c r="U497" s="5" t="s">
        <v>47</v>
      </c>
      <c r="V497" s="5" t="s">
        <v>47</v>
      </c>
      <c r="W497" s="5" t="s">
        <v>47</v>
      </c>
      <c r="X497" s="5" t="s">
        <v>47</v>
      </c>
    </row>
    <row r="498" spans="1:24" x14ac:dyDescent="0.25">
      <c r="A498" s="5" t="s">
        <v>34</v>
      </c>
      <c r="B498" s="5" t="s">
        <v>181</v>
      </c>
      <c r="C498" s="5" t="s">
        <v>182</v>
      </c>
      <c r="D498" s="5" t="s">
        <v>37</v>
      </c>
      <c r="E498" s="5" t="s">
        <v>62</v>
      </c>
      <c r="F498" s="5" t="s">
        <v>63</v>
      </c>
      <c r="G498" s="5" t="s">
        <v>40</v>
      </c>
      <c r="H498" s="6">
        <v>45961</v>
      </c>
      <c r="I498" s="6">
        <v>45961</v>
      </c>
      <c r="J498" s="6">
        <v>45964</v>
      </c>
      <c r="K498" s="5" t="s">
        <v>135</v>
      </c>
      <c r="L498" s="5" t="s">
        <v>136</v>
      </c>
      <c r="M498" s="5" t="s">
        <v>43</v>
      </c>
      <c r="N498" s="5" t="s">
        <v>137</v>
      </c>
      <c r="O498" s="7">
        <v>2017.21</v>
      </c>
      <c r="P498" s="5" t="s">
        <v>45</v>
      </c>
      <c r="Q498" s="7">
        <v>2017.21</v>
      </c>
      <c r="R498" s="5" t="s">
        <v>45</v>
      </c>
      <c r="S498" s="7">
        <v>593.65</v>
      </c>
      <c r="T498" s="5" t="s">
        <v>46</v>
      </c>
      <c r="U498" s="5" t="s">
        <v>47</v>
      </c>
      <c r="V498" s="5" t="s">
        <v>47</v>
      </c>
      <c r="W498" s="5" t="s">
        <v>47</v>
      </c>
      <c r="X498" s="5" t="s">
        <v>47</v>
      </c>
    </row>
    <row r="499" spans="1:24" x14ac:dyDescent="0.25">
      <c r="A499" s="5" t="s">
        <v>34</v>
      </c>
      <c r="B499" s="5" t="s">
        <v>181</v>
      </c>
      <c r="C499" s="5" t="s">
        <v>182</v>
      </c>
      <c r="D499" s="5" t="s">
        <v>37</v>
      </c>
      <c r="E499" s="5" t="s">
        <v>82</v>
      </c>
      <c r="F499" s="5" t="s">
        <v>83</v>
      </c>
      <c r="G499" s="5" t="s">
        <v>40</v>
      </c>
      <c r="H499" s="6">
        <v>45961</v>
      </c>
      <c r="I499" s="6">
        <v>45961</v>
      </c>
      <c r="J499" s="6">
        <v>45964</v>
      </c>
      <c r="K499" s="5" t="s">
        <v>135</v>
      </c>
      <c r="L499" s="5" t="s">
        <v>136</v>
      </c>
      <c r="M499" s="5" t="s">
        <v>43</v>
      </c>
      <c r="N499" s="5" t="s">
        <v>137</v>
      </c>
      <c r="O499" s="7">
        <v>560.15</v>
      </c>
      <c r="P499" s="5" t="s">
        <v>45</v>
      </c>
      <c r="Q499" s="7">
        <v>560.15</v>
      </c>
      <c r="R499" s="5" t="s">
        <v>45</v>
      </c>
      <c r="S499" s="7">
        <v>164.85</v>
      </c>
      <c r="T499" s="5" t="s">
        <v>46</v>
      </c>
      <c r="U499" s="5" t="s">
        <v>47</v>
      </c>
      <c r="V499" s="5" t="s">
        <v>47</v>
      </c>
      <c r="W499" s="5" t="s">
        <v>47</v>
      </c>
      <c r="X499" s="5" t="s">
        <v>47</v>
      </c>
    </row>
    <row r="500" spans="1:24" x14ac:dyDescent="0.25">
      <c r="A500" s="5" t="s">
        <v>34</v>
      </c>
      <c r="B500" s="5" t="s">
        <v>181</v>
      </c>
      <c r="C500" s="5" t="s">
        <v>182</v>
      </c>
      <c r="D500" s="5" t="s">
        <v>37</v>
      </c>
      <c r="E500" s="5" t="s">
        <v>70</v>
      </c>
      <c r="F500" s="5" t="s">
        <v>71</v>
      </c>
      <c r="G500" s="5" t="s">
        <v>40</v>
      </c>
      <c r="H500" s="6">
        <v>45961</v>
      </c>
      <c r="I500" s="6">
        <v>45961</v>
      </c>
      <c r="J500" s="6">
        <v>45964</v>
      </c>
      <c r="K500" s="5" t="s">
        <v>135</v>
      </c>
      <c r="L500" s="5" t="s">
        <v>136</v>
      </c>
      <c r="M500" s="5" t="s">
        <v>43</v>
      </c>
      <c r="N500" s="5" t="s">
        <v>137</v>
      </c>
      <c r="O500" s="7">
        <v>302.49</v>
      </c>
      <c r="P500" s="5" t="s">
        <v>45</v>
      </c>
      <c r="Q500" s="7">
        <v>302.49</v>
      </c>
      <c r="R500" s="5" t="s">
        <v>45</v>
      </c>
      <c r="S500" s="7">
        <v>89.02</v>
      </c>
      <c r="T500" s="5" t="s">
        <v>46</v>
      </c>
      <c r="U500" s="5" t="s">
        <v>47</v>
      </c>
      <c r="V500" s="5" t="s">
        <v>47</v>
      </c>
      <c r="W500" s="5" t="s">
        <v>47</v>
      </c>
      <c r="X500" s="5" t="s">
        <v>47</v>
      </c>
    </row>
    <row r="501" spans="1:24" x14ac:dyDescent="0.25">
      <c r="A501" s="5" t="s">
        <v>34</v>
      </c>
      <c r="B501" s="5" t="s">
        <v>181</v>
      </c>
      <c r="C501" s="5" t="s">
        <v>182</v>
      </c>
      <c r="D501" s="5" t="s">
        <v>37</v>
      </c>
      <c r="E501" s="5" t="s">
        <v>72</v>
      </c>
      <c r="F501" s="5" t="s">
        <v>73</v>
      </c>
      <c r="G501" s="5" t="s">
        <v>40</v>
      </c>
      <c r="H501" s="6">
        <v>45961</v>
      </c>
      <c r="I501" s="6">
        <v>45961</v>
      </c>
      <c r="J501" s="6">
        <v>45964</v>
      </c>
      <c r="K501" s="5" t="s">
        <v>135</v>
      </c>
      <c r="L501" s="5" t="s">
        <v>136</v>
      </c>
      <c r="M501" s="5" t="s">
        <v>43</v>
      </c>
      <c r="N501" s="5" t="s">
        <v>137</v>
      </c>
      <c r="O501" s="7">
        <v>191.65</v>
      </c>
      <c r="P501" s="5" t="s">
        <v>45</v>
      </c>
      <c r="Q501" s="7">
        <v>191.65</v>
      </c>
      <c r="R501" s="5" t="s">
        <v>45</v>
      </c>
      <c r="S501" s="7">
        <v>56.4</v>
      </c>
      <c r="T501" s="5" t="s">
        <v>46</v>
      </c>
      <c r="U501" s="5" t="s">
        <v>47</v>
      </c>
      <c r="V501" s="5" t="s">
        <v>47</v>
      </c>
      <c r="W501" s="5" t="s">
        <v>47</v>
      </c>
      <c r="X501" s="5" t="s">
        <v>47</v>
      </c>
    </row>
    <row r="502" spans="1:24" x14ac:dyDescent="0.25">
      <c r="A502" s="5" t="s">
        <v>34</v>
      </c>
      <c r="B502" s="5" t="s">
        <v>183</v>
      </c>
      <c r="C502" s="5" t="s">
        <v>184</v>
      </c>
      <c r="D502" s="5" t="s">
        <v>37</v>
      </c>
      <c r="E502" s="5" t="s">
        <v>100</v>
      </c>
      <c r="F502" s="5" t="s">
        <v>101</v>
      </c>
      <c r="G502" s="5" t="s">
        <v>40</v>
      </c>
      <c r="H502" s="6">
        <v>45961</v>
      </c>
      <c r="I502" s="6">
        <v>45961</v>
      </c>
      <c r="J502" s="6">
        <v>45964</v>
      </c>
      <c r="K502" s="5" t="s">
        <v>41</v>
      </c>
      <c r="L502" s="5" t="s">
        <v>42</v>
      </c>
      <c r="M502" s="5" t="s">
        <v>43</v>
      </c>
      <c r="N502" s="5" t="s">
        <v>44</v>
      </c>
      <c r="O502" s="7">
        <v>357.28</v>
      </c>
      <c r="P502" s="5" t="s">
        <v>45</v>
      </c>
      <c r="Q502" s="7">
        <v>357.28</v>
      </c>
      <c r="R502" s="5" t="s">
        <v>45</v>
      </c>
      <c r="S502" s="7">
        <v>105.14</v>
      </c>
      <c r="T502" s="5" t="s">
        <v>46</v>
      </c>
      <c r="U502" s="5" t="s">
        <v>47</v>
      </c>
      <c r="V502" s="5" t="s">
        <v>47</v>
      </c>
      <c r="W502" s="5" t="s">
        <v>47</v>
      </c>
      <c r="X502" s="5" t="s">
        <v>47</v>
      </c>
    </row>
    <row r="503" spans="1:24" x14ac:dyDescent="0.25">
      <c r="A503" s="5" t="s">
        <v>34</v>
      </c>
      <c r="B503" s="5" t="s">
        <v>183</v>
      </c>
      <c r="C503" s="5" t="s">
        <v>184</v>
      </c>
      <c r="D503" s="5" t="s">
        <v>37</v>
      </c>
      <c r="E503" s="5" t="s">
        <v>96</v>
      </c>
      <c r="F503" s="5" t="s">
        <v>97</v>
      </c>
      <c r="G503" s="5" t="s">
        <v>40</v>
      </c>
      <c r="H503" s="6">
        <v>45961</v>
      </c>
      <c r="I503" s="6">
        <v>45961</v>
      </c>
      <c r="J503" s="6">
        <v>45964</v>
      </c>
      <c r="K503" s="5" t="s">
        <v>41</v>
      </c>
      <c r="L503" s="5" t="s">
        <v>42</v>
      </c>
      <c r="M503" s="5" t="s">
        <v>43</v>
      </c>
      <c r="N503" s="5" t="s">
        <v>44</v>
      </c>
      <c r="O503" s="7">
        <v>372</v>
      </c>
      <c r="P503" s="5" t="s">
        <v>45</v>
      </c>
      <c r="Q503" s="7">
        <v>372</v>
      </c>
      <c r="R503" s="5" t="s">
        <v>45</v>
      </c>
      <c r="S503" s="7">
        <v>109.48</v>
      </c>
      <c r="T503" s="5" t="s">
        <v>46</v>
      </c>
      <c r="U503" s="5" t="s">
        <v>47</v>
      </c>
      <c r="V503" s="5" t="s">
        <v>47</v>
      </c>
      <c r="W503" s="5" t="s">
        <v>47</v>
      </c>
      <c r="X503" s="5" t="s">
        <v>47</v>
      </c>
    </row>
    <row r="504" spans="1:24" x14ac:dyDescent="0.25">
      <c r="A504" s="5" t="s">
        <v>34</v>
      </c>
      <c r="B504" s="5" t="s">
        <v>183</v>
      </c>
      <c r="C504" s="5" t="s">
        <v>184</v>
      </c>
      <c r="D504" s="5" t="s">
        <v>37</v>
      </c>
      <c r="E504" s="5" t="s">
        <v>54</v>
      </c>
      <c r="F504" s="5" t="s">
        <v>55</v>
      </c>
      <c r="G504" s="5" t="s">
        <v>40</v>
      </c>
      <c r="H504" s="6">
        <v>45961</v>
      </c>
      <c r="I504" s="6">
        <v>45961</v>
      </c>
      <c r="J504" s="6">
        <v>45964</v>
      </c>
      <c r="K504" s="5" t="s">
        <v>41</v>
      </c>
      <c r="L504" s="5" t="s">
        <v>42</v>
      </c>
      <c r="M504" s="5" t="s">
        <v>43</v>
      </c>
      <c r="N504" s="5" t="s">
        <v>44</v>
      </c>
      <c r="O504" s="7">
        <v>173.6</v>
      </c>
      <c r="P504" s="5" t="s">
        <v>45</v>
      </c>
      <c r="Q504" s="7">
        <v>173.6</v>
      </c>
      <c r="R504" s="5" t="s">
        <v>45</v>
      </c>
      <c r="S504" s="7">
        <v>51.09</v>
      </c>
      <c r="T504" s="5" t="s">
        <v>46</v>
      </c>
      <c r="U504" s="5" t="s">
        <v>47</v>
      </c>
      <c r="V504" s="5" t="s">
        <v>47</v>
      </c>
      <c r="W504" s="5" t="s">
        <v>47</v>
      </c>
      <c r="X504" s="5" t="s">
        <v>47</v>
      </c>
    </row>
    <row r="505" spans="1:24" x14ac:dyDescent="0.25">
      <c r="A505" s="5" t="s">
        <v>34</v>
      </c>
      <c r="B505" s="5" t="s">
        <v>183</v>
      </c>
      <c r="C505" s="5" t="s">
        <v>184</v>
      </c>
      <c r="D505" s="5" t="s">
        <v>37</v>
      </c>
      <c r="E505" s="5" t="s">
        <v>110</v>
      </c>
      <c r="F505" s="5" t="s">
        <v>111</v>
      </c>
      <c r="G505" s="5" t="s">
        <v>40</v>
      </c>
      <c r="H505" s="6">
        <v>45961</v>
      </c>
      <c r="I505" s="6">
        <v>45961</v>
      </c>
      <c r="J505" s="6">
        <v>45964</v>
      </c>
      <c r="K505" s="5" t="s">
        <v>41</v>
      </c>
      <c r="L505" s="5" t="s">
        <v>42</v>
      </c>
      <c r="M505" s="5" t="s">
        <v>43</v>
      </c>
      <c r="N505" s="5" t="s">
        <v>44</v>
      </c>
      <c r="O505" s="7">
        <v>372</v>
      </c>
      <c r="P505" s="5" t="s">
        <v>45</v>
      </c>
      <c r="Q505" s="7">
        <v>372</v>
      </c>
      <c r="R505" s="5" t="s">
        <v>45</v>
      </c>
      <c r="S505" s="7">
        <v>109.48</v>
      </c>
      <c r="T505" s="5" t="s">
        <v>46</v>
      </c>
      <c r="U505" s="5" t="s">
        <v>47</v>
      </c>
      <c r="V505" s="5" t="s">
        <v>47</v>
      </c>
      <c r="W505" s="5" t="s">
        <v>47</v>
      </c>
      <c r="X505" s="5" t="s">
        <v>47</v>
      </c>
    </row>
    <row r="506" spans="1:24" x14ac:dyDescent="0.25">
      <c r="A506" s="5" t="s">
        <v>34</v>
      </c>
      <c r="B506" s="5" t="s">
        <v>183</v>
      </c>
      <c r="C506" s="5" t="s">
        <v>184</v>
      </c>
      <c r="D506" s="5" t="s">
        <v>37</v>
      </c>
      <c r="E506" s="5" t="s">
        <v>62</v>
      </c>
      <c r="F506" s="5" t="s">
        <v>63</v>
      </c>
      <c r="G506" s="5" t="s">
        <v>40</v>
      </c>
      <c r="H506" s="6">
        <v>45961</v>
      </c>
      <c r="I506" s="6">
        <v>45961</v>
      </c>
      <c r="J506" s="6">
        <v>45964</v>
      </c>
      <c r="K506" s="5" t="s">
        <v>41</v>
      </c>
      <c r="L506" s="5" t="s">
        <v>42</v>
      </c>
      <c r="M506" s="5" t="s">
        <v>43</v>
      </c>
      <c r="N506" s="5" t="s">
        <v>44</v>
      </c>
      <c r="O506" s="7">
        <v>372</v>
      </c>
      <c r="P506" s="5" t="s">
        <v>45</v>
      </c>
      <c r="Q506" s="7">
        <v>372</v>
      </c>
      <c r="R506" s="5" t="s">
        <v>45</v>
      </c>
      <c r="S506" s="7">
        <v>109.48</v>
      </c>
      <c r="T506" s="5" t="s">
        <v>46</v>
      </c>
      <c r="U506" s="5" t="s">
        <v>47</v>
      </c>
      <c r="V506" s="5" t="s">
        <v>47</v>
      </c>
      <c r="W506" s="5" t="s">
        <v>47</v>
      </c>
      <c r="X506" s="5" t="s">
        <v>47</v>
      </c>
    </row>
    <row r="507" spans="1:24" x14ac:dyDescent="0.25">
      <c r="A507" s="5" t="s">
        <v>34</v>
      </c>
      <c r="B507" s="5" t="s">
        <v>183</v>
      </c>
      <c r="C507" s="5" t="s">
        <v>184</v>
      </c>
      <c r="D507" s="5" t="s">
        <v>37</v>
      </c>
      <c r="E507" s="5" t="s">
        <v>58</v>
      </c>
      <c r="F507" s="5" t="s">
        <v>59</v>
      </c>
      <c r="G507" s="5" t="s">
        <v>40</v>
      </c>
      <c r="H507" s="6">
        <v>45961</v>
      </c>
      <c r="I507" s="6">
        <v>45961</v>
      </c>
      <c r="J507" s="6">
        <v>45964</v>
      </c>
      <c r="K507" s="5" t="s">
        <v>41</v>
      </c>
      <c r="L507" s="5" t="s">
        <v>42</v>
      </c>
      <c r="M507" s="5" t="s">
        <v>43</v>
      </c>
      <c r="N507" s="5" t="s">
        <v>44</v>
      </c>
      <c r="O507" s="7">
        <v>372</v>
      </c>
      <c r="P507" s="5" t="s">
        <v>45</v>
      </c>
      <c r="Q507" s="7">
        <v>372</v>
      </c>
      <c r="R507" s="5" t="s">
        <v>45</v>
      </c>
      <c r="S507" s="7">
        <v>109.48</v>
      </c>
      <c r="T507" s="5" t="s">
        <v>46</v>
      </c>
      <c r="U507" s="5" t="s">
        <v>47</v>
      </c>
      <c r="V507" s="5" t="s">
        <v>47</v>
      </c>
      <c r="W507" s="5" t="s">
        <v>47</v>
      </c>
      <c r="X507" s="5" t="s">
        <v>47</v>
      </c>
    </row>
    <row r="508" spans="1:24" x14ac:dyDescent="0.25">
      <c r="A508" s="5" t="s">
        <v>34</v>
      </c>
      <c r="B508" s="5" t="s">
        <v>183</v>
      </c>
      <c r="C508" s="5" t="s">
        <v>184</v>
      </c>
      <c r="D508" s="5" t="s">
        <v>37</v>
      </c>
      <c r="E508" s="5" t="s">
        <v>88</v>
      </c>
      <c r="F508" s="5" t="s">
        <v>89</v>
      </c>
      <c r="G508" s="5" t="s">
        <v>40</v>
      </c>
      <c r="H508" s="6">
        <v>45961</v>
      </c>
      <c r="I508" s="6">
        <v>45961</v>
      </c>
      <c r="J508" s="6">
        <v>45964</v>
      </c>
      <c r="K508" s="5" t="s">
        <v>41</v>
      </c>
      <c r="L508" s="5" t="s">
        <v>42</v>
      </c>
      <c r="M508" s="5" t="s">
        <v>43</v>
      </c>
      <c r="N508" s="5" t="s">
        <v>44</v>
      </c>
      <c r="O508" s="7">
        <v>372</v>
      </c>
      <c r="P508" s="5" t="s">
        <v>45</v>
      </c>
      <c r="Q508" s="7">
        <v>372</v>
      </c>
      <c r="R508" s="5" t="s">
        <v>45</v>
      </c>
      <c r="S508" s="7">
        <v>109.48</v>
      </c>
      <c r="T508" s="5" t="s">
        <v>46</v>
      </c>
      <c r="U508" s="5" t="s">
        <v>47</v>
      </c>
      <c r="V508" s="5" t="s">
        <v>47</v>
      </c>
      <c r="W508" s="5" t="s">
        <v>47</v>
      </c>
      <c r="X508" s="5" t="s">
        <v>47</v>
      </c>
    </row>
    <row r="509" spans="1:24" x14ac:dyDescent="0.25">
      <c r="A509" s="5" t="s">
        <v>34</v>
      </c>
      <c r="B509" s="5" t="s">
        <v>183</v>
      </c>
      <c r="C509" s="5" t="s">
        <v>184</v>
      </c>
      <c r="D509" s="5" t="s">
        <v>37</v>
      </c>
      <c r="E509" s="5" t="s">
        <v>102</v>
      </c>
      <c r="F509" s="5" t="s">
        <v>103</v>
      </c>
      <c r="G509" s="5" t="s">
        <v>40</v>
      </c>
      <c r="H509" s="6">
        <v>45961</v>
      </c>
      <c r="I509" s="6">
        <v>45961</v>
      </c>
      <c r="J509" s="6">
        <v>45964</v>
      </c>
      <c r="K509" s="5" t="s">
        <v>41</v>
      </c>
      <c r="L509" s="5" t="s">
        <v>42</v>
      </c>
      <c r="M509" s="5" t="s">
        <v>43</v>
      </c>
      <c r="N509" s="5" t="s">
        <v>44</v>
      </c>
      <c r="O509" s="7">
        <v>372</v>
      </c>
      <c r="P509" s="5" t="s">
        <v>45</v>
      </c>
      <c r="Q509" s="7">
        <v>372</v>
      </c>
      <c r="R509" s="5" t="s">
        <v>45</v>
      </c>
      <c r="S509" s="7">
        <v>109.48</v>
      </c>
      <c r="T509" s="5" t="s">
        <v>46</v>
      </c>
      <c r="U509" s="5" t="s">
        <v>47</v>
      </c>
      <c r="V509" s="5" t="s">
        <v>47</v>
      </c>
      <c r="W509" s="5" t="s">
        <v>47</v>
      </c>
      <c r="X509" s="5" t="s">
        <v>47</v>
      </c>
    </row>
    <row r="510" spans="1:24" x14ac:dyDescent="0.25">
      <c r="A510" s="5" t="s">
        <v>34</v>
      </c>
      <c r="B510" s="5" t="s">
        <v>183</v>
      </c>
      <c r="C510" s="5" t="s">
        <v>184</v>
      </c>
      <c r="D510" s="5" t="s">
        <v>37</v>
      </c>
      <c r="E510" s="5" t="s">
        <v>74</v>
      </c>
      <c r="F510" s="5" t="s">
        <v>75</v>
      </c>
      <c r="G510" s="5" t="s">
        <v>40</v>
      </c>
      <c r="H510" s="6">
        <v>45961</v>
      </c>
      <c r="I510" s="6">
        <v>45961</v>
      </c>
      <c r="J510" s="6">
        <v>45964</v>
      </c>
      <c r="K510" s="5" t="s">
        <v>41</v>
      </c>
      <c r="L510" s="5" t="s">
        <v>42</v>
      </c>
      <c r="M510" s="5" t="s">
        <v>43</v>
      </c>
      <c r="N510" s="5" t="s">
        <v>44</v>
      </c>
      <c r="O510" s="7">
        <v>362.7</v>
      </c>
      <c r="P510" s="5" t="s">
        <v>45</v>
      </c>
      <c r="Q510" s="7">
        <v>362.7</v>
      </c>
      <c r="R510" s="5" t="s">
        <v>45</v>
      </c>
      <c r="S510" s="7">
        <v>106.74</v>
      </c>
      <c r="T510" s="5" t="s">
        <v>46</v>
      </c>
      <c r="U510" s="5" t="s">
        <v>47</v>
      </c>
      <c r="V510" s="5" t="s">
        <v>47</v>
      </c>
      <c r="W510" s="5" t="s">
        <v>47</v>
      </c>
      <c r="X510" s="5" t="s">
        <v>47</v>
      </c>
    </row>
    <row r="511" spans="1:24" x14ac:dyDescent="0.25">
      <c r="A511" s="5" t="s">
        <v>34</v>
      </c>
      <c r="B511" s="5" t="s">
        <v>183</v>
      </c>
      <c r="C511" s="5" t="s">
        <v>184</v>
      </c>
      <c r="D511" s="5" t="s">
        <v>37</v>
      </c>
      <c r="E511" s="5" t="s">
        <v>68</v>
      </c>
      <c r="F511" s="5" t="s">
        <v>69</v>
      </c>
      <c r="G511" s="5" t="s">
        <v>40</v>
      </c>
      <c r="H511" s="6">
        <v>45961</v>
      </c>
      <c r="I511" s="6">
        <v>45961</v>
      </c>
      <c r="J511" s="6">
        <v>45964</v>
      </c>
      <c r="K511" s="5" t="s">
        <v>41</v>
      </c>
      <c r="L511" s="5" t="s">
        <v>42</v>
      </c>
      <c r="M511" s="5" t="s">
        <v>43</v>
      </c>
      <c r="N511" s="5" t="s">
        <v>44</v>
      </c>
      <c r="O511" s="7">
        <v>186</v>
      </c>
      <c r="P511" s="5" t="s">
        <v>45</v>
      </c>
      <c r="Q511" s="7">
        <v>186</v>
      </c>
      <c r="R511" s="5" t="s">
        <v>45</v>
      </c>
      <c r="S511" s="7">
        <v>54.74</v>
      </c>
      <c r="T511" s="5" t="s">
        <v>46</v>
      </c>
      <c r="U511" s="5" t="s">
        <v>47</v>
      </c>
      <c r="V511" s="5" t="s">
        <v>47</v>
      </c>
      <c r="W511" s="5" t="s">
        <v>47</v>
      </c>
      <c r="X511" s="5" t="s">
        <v>47</v>
      </c>
    </row>
    <row r="512" spans="1:24" x14ac:dyDescent="0.25">
      <c r="A512" s="5" t="s">
        <v>34</v>
      </c>
      <c r="B512" s="5" t="s">
        <v>185</v>
      </c>
      <c r="C512" s="5" t="s">
        <v>186</v>
      </c>
      <c r="D512" s="5" t="s">
        <v>37</v>
      </c>
      <c r="E512" s="5" t="s">
        <v>64</v>
      </c>
      <c r="F512" s="5" t="s">
        <v>65</v>
      </c>
      <c r="G512" s="5" t="s">
        <v>40</v>
      </c>
      <c r="H512" s="6">
        <v>45961</v>
      </c>
      <c r="I512" s="6">
        <v>45961</v>
      </c>
      <c r="J512" s="6">
        <v>45964</v>
      </c>
      <c r="K512" s="5" t="s">
        <v>135</v>
      </c>
      <c r="L512" s="5" t="s">
        <v>136</v>
      </c>
      <c r="M512" s="5" t="s">
        <v>43</v>
      </c>
      <c r="N512" s="5" t="s">
        <v>137</v>
      </c>
      <c r="O512" s="7">
        <v>1469.35</v>
      </c>
      <c r="P512" s="5" t="s">
        <v>45</v>
      </c>
      <c r="Q512" s="7">
        <v>1469.35</v>
      </c>
      <c r="R512" s="5" t="s">
        <v>45</v>
      </c>
      <c r="S512" s="7">
        <v>432.42</v>
      </c>
      <c r="T512" s="5" t="s">
        <v>46</v>
      </c>
      <c r="U512" s="5" t="s">
        <v>47</v>
      </c>
      <c r="V512" s="5" t="s">
        <v>47</v>
      </c>
      <c r="W512" s="5" t="s">
        <v>47</v>
      </c>
      <c r="X512" s="5" t="s">
        <v>47</v>
      </c>
    </row>
    <row r="513" spans="1:24" x14ac:dyDescent="0.25">
      <c r="A513" s="5" t="s">
        <v>34</v>
      </c>
      <c r="B513" s="5" t="s">
        <v>185</v>
      </c>
      <c r="C513" s="5" t="s">
        <v>186</v>
      </c>
      <c r="D513" s="5" t="s">
        <v>37</v>
      </c>
      <c r="E513" s="5" t="s">
        <v>62</v>
      </c>
      <c r="F513" s="5" t="s">
        <v>63</v>
      </c>
      <c r="G513" s="5" t="s">
        <v>40</v>
      </c>
      <c r="H513" s="6">
        <v>45961</v>
      </c>
      <c r="I513" s="6">
        <v>45961</v>
      </c>
      <c r="J513" s="6">
        <v>45964</v>
      </c>
      <c r="K513" s="5" t="s">
        <v>135</v>
      </c>
      <c r="L513" s="5" t="s">
        <v>136</v>
      </c>
      <c r="M513" s="5" t="s">
        <v>43</v>
      </c>
      <c r="N513" s="5" t="s">
        <v>137</v>
      </c>
      <c r="O513" s="7">
        <v>3348</v>
      </c>
      <c r="P513" s="5" t="s">
        <v>45</v>
      </c>
      <c r="Q513" s="7">
        <v>3348</v>
      </c>
      <c r="R513" s="5" t="s">
        <v>45</v>
      </c>
      <c r="S513" s="7">
        <v>985.29</v>
      </c>
      <c r="T513" s="5" t="s">
        <v>46</v>
      </c>
      <c r="U513" s="5" t="s">
        <v>47</v>
      </c>
      <c r="V513" s="5" t="s">
        <v>47</v>
      </c>
      <c r="W513" s="5" t="s">
        <v>47</v>
      </c>
      <c r="X513" s="5" t="s">
        <v>47</v>
      </c>
    </row>
    <row r="514" spans="1:24" x14ac:dyDescent="0.25">
      <c r="A514" s="5" t="s">
        <v>34</v>
      </c>
      <c r="B514" s="5" t="s">
        <v>185</v>
      </c>
      <c r="C514" s="5" t="s">
        <v>186</v>
      </c>
      <c r="D514" s="5" t="s">
        <v>37</v>
      </c>
      <c r="E514" s="5" t="s">
        <v>72</v>
      </c>
      <c r="F514" s="5" t="s">
        <v>73</v>
      </c>
      <c r="G514" s="5" t="s">
        <v>40</v>
      </c>
      <c r="H514" s="6">
        <v>45961</v>
      </c>
      <c r="I514" s="6">
        <v>45961</v>
      </c>
      <c r="J514" s="6">
        <v>45964</v>
      </c>
      <c r="K514" s="5" t="s">
        <v>135</v>
      </c>
      <c r="L514" s="5" t="s">
        <v>136</v>
      </c>
      <c r="M514" s="5" t="s">
        <v>43</v>
      </c>
      <c r="N514" s="5" t="s">
        <v>137</v>
      </c>
      <c r="O514" s="7">
        <v>359.6</v>
      </c>
      <c r="P514" s="5" t="s">
        <v>45</v>
      </c>
      <c r="Q514" s="7">
        <v>359.6</v>
      </c>
      <c r="R514" s="5" t="s">
        <v>45</v>
      </c>
      <c r="S514" s="7">
        <v>105.83</v>
      </c>
      <c r="T514" s="5" t="s">
        <v>46</v>
      </c>
      <c r="U514" s="5" t="s">
        <v>47</v>
      </c>
      <c r="V514" s="5" t="s">
        <v>47</v>
      </c>
      <c r="W514" s="5" t="s">
        <v>47</v>
      </c>
      <c r="X514" s="5" t="s">
        <v>47</v>
      </c>
    </row>
    <row r="515" spans="1:24" x14ac:dyDescent="0.25">
      <c r="A515" s="5" t="s">
        <v>34</v>
      </c>
      <c r="B515" s="5" t="s">
        <v>185</v>
      </c>
      <c r="C515" s="5" t="s">
        <v>186</v>
      </c>
      <c r="D515" s="5" t="s">
        <v>37</v>
      </c>
      <c r="E515" s="5" t="s">
        <v>116</v>
      </c>
      <c r="F515" s="5" t="s">
        <v>117</v>
      </c>
      <c r="G515" s="5" t="s">
        <v>40</v>
      </c>
      <c r="H515" s="6">
        <v>45961</v>
      </c>
      <c r="I515" s="6">
        <v>45961</v>
      </c>
      <c r="J515" s="6">
        <v>45964</v>
      </c>
      <c r="K515" s="5" t="s">
        <v>135</v>
      </c>
      <c r="L515" s="5" t="s">
        <v>136</v>
      </c>
      <c r="M515" s="5" t="s">
        <v>43</v>
      </c>
      <c r="N515" s="5" t="s">
        <v>137</v>
      </c>
      <c r="O515" s="7">
        <v>1091.2</v>
      </c>
      <c r="P515" s="5" t="s">
        <v>45</v>
      </c>
      <c r="Q515" s="7">
        <v>1091.2</v>
      </c>
      <c r="R515" s="5" t="s">
        <v>45</v>
      </c>
      <c r="S515" s="7">
        <v>321.13</v>
      </c>
      <c r="T515" s="5" t="s">
        <v>46</v>
      </c>
      <c r="U515" s="5" t="s">
        <v>47</v>
      </c>
      <c r="V515" s="5" t="s">
        <v>47</v>
      </c>
      <c r="W515" s="5" t="s">
        <v>47</v>
      </c>
      <c r="X515" s="5" t="s">
        <v>47</v>
      </c>
    </row>
    <row r="516" spans="1:24" x14ac:dyDescent="0.25">
      <c r="A516" s="5" t="s">
        <v>34</v>
      </c>
      <c r="B516" s="5" t="s">
        <v>185</v>
      </c>
      <c r="C516" s="5" t="s">
        <v>186</v>
      </c>
      <c r="D516" s="5" t="s">
        <v>37</v>
      </c>
      <c r="E516" s="5" t="s">
        <v>60</v>
      </c>
      <c r="F516" s="5" t="s">
        <v>61</v>
      </c>
      <c r="G516" s="5" t="s">
        <v>40</v>
      </c>
      <c r="H516" s="6">
        <v>45961</v>
      </c>
      <c r="I516" s="6">
        <v>45961</v>
      </c>
      <c r="J516" s="6">
        <v>45964</v>
      </c>
      <c r="K516" s="5" t="s">
        <v>135</v>
      </c>
      <c r="L516" s="5" t="s">
        <v>136</v>
      </c>
      <c r="M516" s="5" t="s">
        <v>43</v>
      </c>
      <c r="N516" s="5" t="s">
        <v>137</v>
      </c>
      <c r="O516" s="7">
        <v>2478.4499999999998</v>
      </c>
      <c r="P516" s="5" t="s">
        <v>45</v>
      </c>
      <c r="Q516" s="7">
        <v>2478.4499999999998</v>
      </c>
      <c r="R516" s="5" t="s">
        <v>45</v>
      </c>
      <c r="S516" s="7">
        <v>729.38</v>
      </c>
      <c r="T516" s="5" t="s">
        <v>46</v>
      </c>
      <c r="U516" s="5" t="s">
        <v>47</v>
      </c>
      <c r="V516" s="5" t="s">
        <v>47</v>
      </c>
      <c r="W516" s="5" t="s">
        <v>47</v>
      </c>
      <c r="X516" s="5" t="s">
        <v>47</v>
      </c>
    </row>
    <row r="517" spans="1:24" x14ac:dyDescent="0.25">
      <c r="A517" s="5" t="s">
        <v>34</v>
      </c>
      <c r="B517" s="5" t="s">
        <v>185</v>
      </c>
      <c r="C517" s="5" t="s">
        <v>186</v>
      </c>
      <c r="D517" s="5" t="s">
        <v>37</v>
      </c>
      <c r="E517" s="5" t="s">
        <v>82</v>
      </c>
      <c r="F517" s="5" t="s">
        <v>83</v>
      </c>
      <c r="G517" s="5" t="s">
        <v>40</v>
      </c>
      <c r="H517" s="6">
        <v>45961</v>
      </c>
      <c r="I517" s="6">
        <v>45961</v>
      </c>
      <c r="J517" s="6">
        <v>45964</v>
      </c>
      <c r="K517" s="5" t="s">
        <v>135</v>
      </c>
      <c r="L517" s="5" t="s">
        <v>136</v>
      </c>
      <c r="M517" s="5" t="s">
        <v>43</v>
      </c>
      <c r="N517" s="5" t="s">
        <v>137</v>
      </c>
      <c r="O517" s="7">
        <v>1054</v>
      </c>
      <c r="P517" s="5" t="s">
        <v>45</v>
      </c>
      <c r="Q517" s="7">
        <v>1054</v>
      </c>
      <c r="R517" s="5" t="s">
        <v>45</v>
      </c>
      <c r="S517" s="7">
        <v>310.18</v>
      </c>
      <c r="T517" s="5" t="s">
        <v>46</v>
      </c>
      <c r="U517" s="5" t="s">
        <v>47</v>
      </c>
      <c r="V517" s="5" t="s">
        <v>47</v>
      </c>
      <c r="W517" s="5" t="s">
        <v>47</v>
      </c>
      <c r="X517" s="5" t="s">
        <v>47</v>
      </c>
    </row>
    <row r="518" spans="1:24" x14ac:dyDescent="0.25">
      <c r="A518" s="5" t="s">
        <v>34</v>
      </c>
      <c r="B518" s="5" t="s">
        <v>185</v>
      </c>
      <c r="C518" s="5" t="s">
        <v>186</v>
      </c>
      <c r="D518" s="5" t="s">
        <v>37</v>
      </c>
      <c r="E518" s="5" t="s">
        <v>50</v>
      </c>
      <c r="F518" s="5" t="s">
        <v>51</v>
      </c>
      <c r="G518" s="5" t="s">
        <v>40</v>
      </c>
      <c r="H518" s="6">
        <v>45961</v>
      </c>
      <c r="I518" s="6">
        <v>45961</v>
      </c>
      <c r="J518" s="6">
        <v>45964</v>
      </c>
      <c r="K518" s="5" t="s">
        <v>135</v>
      </c>
      <c r="L518" s="5" t="s">
        <v>136</v>
      </c>
      <c r="M518" s="5" t="s">
        <v>43</v>
      </c>
      <c r="N518" s="5" t="s">
        <v>137</v>
      </c>
      <c r="O518" s="7">
        <v>2976</v>
      </c>
      <c r="P518" s="5" t="s">
        <v>45</v>
      </c>
      <c r="Q518" s="7">
        <v>2976</v>
      </c>
      <c r="R518" s="5" t="s">
        <v>45</v>
      </c>
      <c r="S518" s="7">
        <v>875.81</v>
      </c>
      <c r="T518" s="5" t="s">
        <v>46</v>
      </c>
      <c r="U518" s="5" t="s">
        <v>47</v>
      </c>
      <c r="V518" s="5" t="s">
        <v>47</v>
      </c>
      <c r="W518" s="5" t="s">
        <v>47</v>
      </c>
      <c r="X518" s="5" t="s">
        <v>47</v>
      </c>
    </row>
    <row r="519" spans="1:24" x14ac:dyDescent="0.25">
      <c r="A519" s="5" t="s">
        <v>34</v>
      </c>
      <c r="B519" s="5" t="s">
        <v>185</v>
      </c>
      <c r="C519" s="5" t="s">
        <v>186</v>
      </c>
      <c r="D519" s="5" t="s">
        <v>37</v>
      </c>
      <c r="E519" s="5" t="s">
        <v>68</v>
      </c>
      <c r="F519" s="5" t="s">
        <v>69</v>
      </c>
      <c r="G519" s="5" t="s">
        <v>40</v>
      </c>
      <c r="H519" s="6">
        <v>45961</v>
      </c>
      <c r="I519" s="6">
        <v>45961</v>
      </c>
      <c r="J519" s="6">
        <v>45964</v>
      </c>
      <c r="K519" s="5" t="s">
        <v>135</v>
      </c>
      <c r="L519" s="5" t="s">
        <v>136</v>
      </c>
      <c r="M519" s="5" t="s">
        <v>43</v>
      </c>
      <c r="N519" s="5" t="s">
        <v>137</v>
      </c>
      <c r="O519" s="7">
        <v>372</v>
      </c>
      <c r="P519" s="5" t="s">
        <v>45</v>
      </c>
      <c r="Q519" s="7">
        <v>372</v>
      </c>
      <c r="R519" s="5" t="s">
        <v>45</v>
      </c>
      <c r="S519" s="7">
        <v>109.48</v>
      </c>
      <c r="T519" s="5" t="s">
        <v>46</v>
      </c>
      <c r="U519" s="5" t="s">
        <v>47</v>
      </c>
      <c r="V519" s="5" t="s">
        <v>47</v>
      </c>
      <c r="W519" s="5" t="s">
        <v>47</v>
      </c>
      <c r="X519" s="5" t="s">
        <v>47</v>
      </c>
    </row>
    <row r="520" spans="1:24" x14ac:dyDescent="0.25">
      <c r="A520" s="5" t="s">
        <v>34</v>
      </c>
      <c r="B520" s="5" t="s">
        <v>185</v>
      </c>
      <c r="C520" s="5" t="s">
        <v>186</v>
      </c>
      <c r="D520" s="5" t="s">
        <v>37</v>
      </c>
      <c r="E520" s="5" t="s">
        <v>80</v>
      </c>
      <c r="F520" s="5" t="s">
        <v>81</v>
      </c>
      <c r="G520" s="5" t="s">
        <v>40</v>
      </c>
      <c r="H520" s="6">
        <v>45961</v>
      </c>
      <c r="I520" s="6">
        <v>45961</v>
      </c>
      <c r="J520" s="6">
        <v>45964</v>
      </c>
      <c r="K520" s="5" t="s">
        <v>135</v>
      </c>
      <c r="L520" s="5" t="s">
        <v>136</v>
      </c>
      <c r="M520" s="5" t="s">
        <v>43</v>
      </c>
      <c r="N520" s="5" t="s">
        <v>137</v>
      </c>
      <c r="O520" s="7">
        <v>1112.9000000000001</v>
      </c>
      <c r="P520" s="5" t="s">
        <v>45</v>
      </c>
      <c r="Q520" s="7">
        <v>1112.9000000000001</v>
      </c>
      <c r="R520" s="5" t="s">
        <v>45</v>
      </c>
      <c r="S520" s="7">
        <v>327.52</v>
      </c>
      <c r="T520" s="5" t="s">
        <v>46</v>
      </c>
      <c r="U520" s="5" t="s">
        <v>47</v>
      </c>
      <c r="V520" s="5" t="s">
        <v>47</v>
      </c>
      <c r="W520" s="5" t="s">
        <v>47</v>
      </c>
      <c r="X520" s="5" t="s">
        <v>47</v>
      </c>
    </row>
    <row r="521" spans="1:24" x14ac:dyDescent="0.25">
      <c r="A521" s="5" t="s">
        <v>34</v>
      </c>
      <c r="B521" s="5" t="s">
        <v>185</v>
      </c>
      <c r="C521" s="5" t="s">
        <v>186</v>
      </c>
      <c r="D521" s="5" t="s">
        <v>37</v>
      </c>
      <c r="E521" s="5" t="s">
        <v>70</v>
      </c>
      <c r="F521" s="5" t="s">
        <v>71</v>
      </c>
      <c r="G521" s="5" t="s">
        <v>40</v>
      </c>
      <c r="H521" s="6">
        <v>45961</v>
      </c>
      <c r="I521" s="6">
        <v>45961</v>
      </c>
      <c r="J521" s="6">
        <v>45964</v>
      </c>
      <c r="K521" s="5" t="s">
        <v>135</v>
      </c>
      <c r="L521" s="5" t="s">
        <v>136</v>
      </c>
      <c r="M521" s="5" t="s">
        <v>43</v>
      </c>
      <c r="N521" s="5" t="s">
        <v>137</v>
      </c>
      <c r="O521" s="7">
        <v>372</v>
      </c>
      <c r="P521" s="5" t="s">
        <v>45</v>
      </c>
      <c r="Q521" s="7">
        <v>372</v>
      </c>
      <c r="R521" s="5" t="s">
        <v>45</v>
      </c>
      <c r="S521" s="7">
        <v>109.48</v>
      </c>
      <c r="T521" s="5" t="s">
        <v>46</v>
      </c>
      <c r="U521" s="5" t="s">
        <v>47</v>
      </c>
      <c r="V521" s="5" t="s">
        <v>47</v>
      </c>
      <c r="W521" s="5" t="s">
        <v>47</v>
      </c>
      <c r="X521" s="5" t="s">
        <v>47</v>
      </c>
    </row>
    <row r="522" spans="1:24" x14ac:dyDescent="0.25">
      <c r="A522" s="5" t="s">
        <v>34</v>
      </c>
      <c r="B522" s="5" t="s">
        <v>185</v>
      </c>
      <c r="C522" s="5" t="s">
        <v>186</v>
      </c>
      <c r="D522" s="5" t="s">
        <v>37</v>
      </c>
      <c r="E522" s="5" t="s">
        <v>110</v>
      </c>
      <c r="F522" s="5" t="s">
        <v>111</v>
      </c>
      <c r="G522" s="5" t="s">
        <v>40</v>
      </c>
      <c r="H522" s="6">
        <v>45961</v>
      </c>
      <c r="I522" s="6">
        <v>45961</v>
      </c>
      <c r="J522" s="6">
        <v>45964</v>
      </c>
      <c r="K522" s="5" t="s">
        <v>135</v>
      </c>
      <c r="L522" s="5" t="s">
        <v>136</v>
      </c>
      <c r="M522" s="5" t="s">
        <v>43</v>
      </c>
      <c r="N522" s="5" t="s">
        <v>137</v>
      </c>
      <c r="O522" s="7">
        <v>3720</v>
      </c>
      <c r="P522" s="5" t="s">
        <v>45</v>
      </c>
      <c r="Q522" s="7">
        <v>3720</v>
      </c>
      <c r="R522" s="5" t="s">
        <v>45</v>
      </c>
      <c r="S522" s="7">
        <v>1094.76</v>
      </c>
      <c r="T522" s="5" t="s">
        <v>46</v>
      </c>
      <c r="U522" s="5" t="s">
        <v>47</v>
      </c>
      <c r="V522" s="5" t="s">
        <v>47</v>
      </c>
      <c r="W522" s="5" t="s">
        <v>47</v>
      </c>
      <c r="X522" s="5" t="s">
        <v>47</v>
      </c>
    </row>
    <row r="523" spans="1:24" x14ac:dyDescent="0.25">
      <c r="A523" s="5" t="s">
        <v>34</v>
      </c>
      <c r="B523" s="5" t="s">
        <v>185</v>
      </c>
      <c r="C523" s="5" t="s">
        <v>186</v>
      </c>
      <c r="D523" s="5" t="s">
        <v>37</v>
      </c>
      <c r="E523" s="5" t="s">
        <v>110</v>
      </c>
      <c r="F523" s="5" t="s">
        <v>111</v>
      </c>
      <c r="G523" s="5" t="s">
        <v>40</v>
      </c>
      <c r="H523" s="6">
        <v>45961</v>
      </c>
      <c r="I523" s="6">
        <v>45961</v>
      </c>
      <c r="J523" s="6">
        <v>45960</v>
      </c>
      <c r="K523" s="5" t="s">
        <v>150</v>
      </c>
      <c r="L523" s="5" t="s">
        <v>151</v>
      </c>
      <c r="M523" s="5" t="s">
        <v>43</v>
      </c>
      <c r="N523" s="5" t="s">
        <v>152</v>
      </c>
      <c r="O523" s="7">
        <v>173.6</v>
      </c>
      <c r="P523" s="5" t="s">
        <v>45</v>
      </c>
      <c r="Q523" s="7">
        <v>173.6</v>
      </c>
      <c r="R523" s="5" t="s">
        <v>45</v>
      </c>
      <c r="S523" s="7">
        <v>51.15</v>
      </c>
      <c r="T523" s="5" t="s">
        <v>46</v>
      </c>
      <c r="U523" s="5" t="s">
        <v>47</v>
      </c>
      <c r="V523" s="5" t="s">
        <v>47</v>
      </c>
      <c r="W523" s="5" t="s">
        <v>47</v>
      </c>
      <c r="X523" s="5" t="s">
        <v>47</v>
      </c>
    </row>
    <row r="524" spans="1:24" x14ac:dyDescent="0.25">
      <c r="A524" s="5" t="s">
        <v>34</v>
      </c>
      <c r="B524" s="5" t="s">
        <v>185</v>
      </c>
      <c r="C524" s="5" t="s">
        <v>186</v>
      </c>
      <c r="D524" s="5" t="s">
        <v>37</v>
      </c>
      <c r="E524" s="5" t="s">
        <v>92</v>
      </c>
      <c r="F524" s="5" t="s">
        <v>93</v>
      </c>
      <c r="G524" s="5" t="s">
        <v>40</v>
      </c>
      <c r="H524" s="6">
        <v>45961</v>
      </c>
      <c r="I524" s="6">
        <v>45961</v>
      </c>
      <c r="J524" s="6">
        <v>45964</v>
      </c>
      <c r="K524" s="5" t="s">
        <v>135</v>
      </c>
      <c r="L524" s="5" t="s">
        <v>136</v>
      </c>
      <c r="M524" s="5" t="s">
        <v>43</v>
      </c>
      <c r="N524" s="5" t="s">
        <v>137</v>
      </c>
      <c r="O524" s="7">
        <v>372</v>
      </c>
      <c r="P524" s="5" t="s">
        <v>45</v>
      </c>
      <c r="Q524" s="7">
        <v>372</v>
      </c>
      <c r="R524" s="5" t="s">
        <v>45</v>
      </c>
      <c r="S524" s="7">
        <v>109.48</v>
      </c>
      <c r="T524" s="5" t="s">
        <v>46</v>
      </c>
      <c r="U524" s="5" t="s">
        <v>47</v>
      </c>
      <c r="V524" s="5" t="s">
        <v>47</v>
      </c>
      <c r="W524" s="5" t="s">
        <v>47</v>
      </c>
      <c r="X524" s="5" t="s">
        <v>47</v>
      </c>
    </row>
    <row r="525" spans="1:24" x14ac:dyDescent="0.25">
      <c r="A525" s="5" t="s">
        <v>34</v>
      </c>
      <c r="B525" s="5" t="s">
        <v>185</v>
      </c>
      <c r="C525" s="5" t="s">
        <v>186</v>
      </c>
      <c r="D525" s="5" t="s">
        <v>37</v>
      </c>
      <c r="E525" s="5" t="s">
        <v>38</v>
      </c>
      <c r="F525" s="5" t="s">
        <v>39</v>
      </c>
      <c r="G525" s="5" t="s">
        <v>40</v>
      </c>
      <c r="H525" s="6">
        <v>45961</v>
      </c>
      <c r="I525" s="6">
        <v>45961</v>
      </c>
      <c r="J525" s="6">
        <v>45964</v>
      </c>
      <c r="K525" s="5" t="s">
        <v>135</v>
      </c>
      <c r="L525" s="5" t="s">
        <v>136</v>
      </c>
      <c r="M525" s="5" t="s">
        <v>43</v>
      </c>
      <c r="N525" s="5" t="s">
        <v>137</v>
      </c>
      <c r="O525" s="7">
        <v>2894.63</v>
      </c>
      <c r="P525" s="5" t="s">
        <v>45</v>
      </c>
      <c r="Q525" s="7">
        <v>2894.63</v>
      </c>
      <c r="R525" s="5" t="s">
        <v>45</v>
      </c>
      <c r="S525" s="7">
        <v>851.86</v>
      </c>
      <c r="T525" s="5" t="s">
        <v>46</v>
      </c>
      <c r="U525" s="5" t="s">
        <v>47</v>
      </c>
      <c r="V525" s="5" t="s">
        <v>47</v>
      </c>
      <c r="W525" s="5" t="s">
        <v>47</v>
      </c>
      <c r="X525" s="5" t="s">
        <v>47</v>
      </c>
    </row>
    <row r="526" spans="1:24" x14ac:dyDescent="0.25">
      <c r="A526" s="5" t="s">
        <v>34</v>
      </c>
      <c r="B526" s="5" t="s">
        <v>185</v>
      </c>
      <c r="C526" s="5" t="s">
        <v>186</v>
      </c>
      <c r="D526" s="5" t="s">
        <v>37</v>
      </c>
      <c r="E526" s="5" t="s">
        <v>48</v>
      </c>
      <c r="F526" s="5" t="s">
        <v>49</v>
      </c>
      <c r="G526" s="5" t="s">
        <v>40</v>
      </c>
      <c r="H526" s="6">
        <v>45961</v>
      </c>
      <c r="I526" s="6">
        <v>45961</v>
      </c>
      <c r="J526" s="6">
        <v>45964</v>
      </c>
      <c r="K526" s="5" t="s">
        <v>135</v>
      </c>
      <c r="L526" s="5" t="s">
        <v>136</v>
      </c>
      <c r="M526" s="5" t="s">
        <v>43</v>
      </c>
      <c r="N526" s="5" t="s">
        <v>137</v>
      </c>
      <c r="O526" s="7">
        <v>372</v>
      </c>
      <c r="P526" s="5" t="s">
        <v>45</v>
      </c>
      <c r="Q526" s="7">
        <v>372</v>
      </c>
      <c r="R526" s="5" t="s">
        <v>45</v>
      </c>
      <c r="S526" s="7">
        <v>109.48</v>
      </c>
      <c r="T526" s="5" t="s">
        <v>46</v>
      </c>
      <c r="U526" s="5" t="s">
        <v>47</v>
      </c>
      <c r="V526" s="5" t="s">
        <v>47</v>
      </c>
      <c r="W526" s="5" t="s">
        <v>47</v>
      </c>
      <c r="X526" s="5" t="s">
        <v>47</v>
      </c>
    </row>
    <row r="527" spans="1:24" x14ac:dyDescent="0.25">
      <c r="A527" s="5" t="s">
        <v>34</v>
      </c>
      <c r="B527" s="5" t="s">
        <v>185</v>
      </c>
      <c r="C527" s="5" t="s">
        <v>186</v>
      </c>
      <c r="D527" s="5" t="s">
        <v>37</v>
      </c>
      <c r="E527" s="5" t="s">
        <v>142</v>
      </c>
      <c r="F527" s="5" t="s">
        <v>143</v>
      </c>
      <c r="G527" s="5" t="s">
        <v>40</v>
      </c>
      <c r="H527" s="6">
        <v>45961</v>
      </c>
      <c r="I527" s="6">
        <v>45961</v>
      </c>
      <c r="J527" s="6">
        <v>45961</v>
      </c>
      <c r="K527" s="5" t="s">
        <v>144</v>
      </c>
      <c r="L527" s="5" t="s">
        <v>145</v>
      </c>
      <c r="M527" s="5" t="s">
        <v>43</v>
      </c>
      <c r="N527" s="5" t="s">
        <v>146</v>
      </c>
      <c r="O527" s="7">
        <v>334.03</v>
      </c>
      <c r="P527" s="5" t="s">
        <v>45</v>
      </c>
      <c r="Q527" s="7">
        <v>334.03</v>
      </c>
      <c r="R527" s="5" t="s">
        <v>45</v>
      </c>
      <c r="S527" s="7">
        <v>98.3</v>
      </c>
      <c r="T527" s="5" t="s">
        <v>46</v>
      </c>
      <c r="U527" s="5" t="s">
        <v>47</v>
      </c>
      <c r="V527" s="5" t="s">
        <v>47</v>
      </c>
      <c r="W527" s="5" t="s">
        <v>47</v>
      </c>
      <c r="X527" s="5" t="s">
        <v>47</v>
      </c>
    </row>
    <row r="528" spans="1:24" x14ac:dyDescent="0.25">
      <c r="A528" s="5" t="s">
        <v>34</v>
      </c>
      <c r="B528" s="5" t="s">
        <v>185</v>
      </c>
      <c r="C528" s="5" t="s">
        <v>186</v>
      </c>
      <c r="D528" s="5" t="s">
        <v>37</v>
      </c>
      <c r="E528" s="5" t="s">
        <v>74</v>
      </c>
      <c r="F528" s="5" t="s">
        <v>75</v>
      </c>
      <c r="G528" s="5" t="s">
        <v>40</v>
      </c>
      <c r="H528" s="6">
        <v>45961</v>
      </c>
      <c r="I528" s="6">
        <v>45961</v>
      </c>
      <c r="J528" s="6">
        <v>45964</v>
      </c>
      <c r="K528" s="5" t="s">
        <v>135</v>
      </c>
      <c r="L528" s="5" t="s">
        <v>136</v>
      </c>
      <c r="M528" s="5" t="s">
        <v>43</v>
      </c>
      <c r="N528" s="5" t="s">
        <v>137</v>
      </c>
      <c r="O528" s="7">
        <v>4075.73</v>
      </c>
      <c r="P528" s="5" t="s">
        <v>45</v>
      </c>
      <c r="Q528" s="7">
        <v>4075.73</v>
      </c>
      <c r="R528" s="5" t="s">
        <v>45</v>
      </c>
      <c r="S528" s="7">
        <v>1199.45</v>
      </c>
      <c r="T528" s="5" t="s">
        <v>46</v>
      </c>
      <c r="U528" s="5" t="s">
        <v>47</v>
      </c>
      <c r="V528" s="5" t="s">
        <v>47</v>
      </c>
      <c r="W528" s="5" t="s">
        <v>47</v>
      </c>
      <c r="X528" s="5" t="s">
        <v>47</v>
      </c>
    </row>
    <row r="529" spans="1:24" x14ac:dyDescent="0.25">
      <c r="A529" s="5" t="s">
        <v>34</v>
      </c>
      <c r="B529" s="5" t="s">
        <v>185</v>
      </c>
      <c r="C529" s="5" t="s">
        <v>186</v>
      </c>
      <c r="D529" s="5" t="s">
        <v>37</v>
      </c>
      <c r="E529" s="5" t="s">
        <v>100</v>
      </c>
      <c r="F529" s="5" t="s">
        <v>101</v>
      </c>
      <c r="G529" s="5" t="s">
        <v>40</v>
      </c>
      <c r="H529" s="6">
        <v>45961</v>
      </c>
      <c r="I529" s="6">
        <v>45961</v>
      </c>
      <c r="J529" s="6">
        <v>45964</v>
      </c>
      <c r="K529" s="5" t="s">
        <v>135</v>
      </c>
      <c r="L529" s="5" t="s">
        <v>136</v>
      </c>
      <c r="M529" s="5" t="s">
        <v>43</v>
      </c>
      <c r="N529" s="5" t="s">
        <v>137</v>
      </c>
      <c r="O529" s="7">
        <v>1116</v>
      </c>
      <c r="P529" s="5" t="s">
        <v>45</v>
      </c>
      <c r="Q529" s="7">
        <v>1116</v>
      </c>
      <c r="R529" s="5" t="s">
        <v>45</v>
      </c>
      <c r="S529" s="7">
        <v>328.43</v>
      </c>
      <c r="T529" s="5" t="s">
        <v>46</v>
      </c>
      <c r="U529" s="5" t="s">
        <v>47</v>
      </c>
      <c r="V529" s="5" t="s">
        <v>47</v>
      </c>
      <c r="W529" s="5" t="s">
        <v>47</v>
      </c>
      <c r="X529" s="5" t="s">
        <v>47</v>
      </c>
    </row>
    <row r="530" spans="1:24" x14ac:dyDescent="0.25">
      <c r="A530" s="5" t="s">
        <v>34</v>
      </c>
      <c r="B530" s="5" t="s">
        <v>187</v>
      </c>
      <c r="C530" s="5" t="s">
        <v>188</v>
      </c>
      <c r="D530" s="5" t="s">
        <v>37</v>
      </c>
      <c r="E530" s="5" t="s">
        <v>94</v>
      </c>
      <c r="F530" s="5" t="s">
        <v>95</v>
      </c>
      <c r="G530" s="5" t="s">
        <v>40</v>
      </c>
      <c r="H530" s="6">
        <v>45961</v>
      </c>
      <c r="I530" s="6">
        <v>45961</v>
      </c>
      <c r="J530" s="6">
        <v>45964</v>
      </c>
      <c r="K530" s="5" t="s">
        <v>41</v>
      </c>
      <c r="L530" s="5" t="s">
        <v>42</v>
      </c>
      <c r="M530" s="5" t="s">
        <v>43</v>
      </c>
      <c r="N530" s="5" t="s">
        <v>44</v>
      </c>
      <c r="O530" s="7">
        <v>11600</v>
      </c>
      <c r="P530" s="5" t="s">
        <v>45</v>
      </c>
      <c r="Q530" s="7">
        <v>11600</v>
      </c>
      <c r="R530" s="5" t="s">
        <v>45</v>
      </c>
      <c r="S530" s="7">
        <v>3413.77</v>
      </c>
      <c r="T530" s="5" t="s">
        <v>46</v>
      </c>
      <c r="U530" s="5" t="s">
        <v>47</v>
      </c>
      <c r="V530" s="5" t="s">
        <v>47</v>
      </c>
      <c r="W530" s="5" t="s">
        <v>47</v>
      </c>
      <c r="X530" s="5" t="s">
        <v>47</v>
      </c>
    </row>
    <row r="531" spans="1:24" x14ac:dyDescent="0.25">
      <c r="A531" s="5" t="s">
        <v>34</v>
      </c>
      <c r="B531" s="5" t="s">
        <v>187</v>
      </c>
      <c r="C531" s="5" t="s">
        <v>188</v>
      </c>
      <c r="D531" s="5" t="s">
        <v>37</v>
      </c>
      <c r="E531" s="5" t="s">
        <v>84</v>
      </c>
      <c r="F531" s="5" t="s">
        <v>85</v>
      </c>
      <c r="G531" s="5" t="s">
        <v>40</v>
      </c>
      <c r="H531" s="6">
        <v>45961</v>
      </c>
      <c r="I531" s="6">
        <v>45961</v>
      </c>
      <c r="J531" s="6">
        <v>45964</v>
      </c>
      <c r="K531" s="5" t="s">
        <v>41</v>
      </c>
      <c r="L531" s="5" t="s">
        <v>42</v>
      </c>
      <c r="M531" s="5" t="s">
        <v>43</v>
      </c>
      <c r="N531" s="5" t="s">
        <v>44</v>
      </c>
      <c r="O531" s="7">
        <v>8700</v>
      </c>
      <c r="P531" s="5" t="s">
        <v>45</v>
      </c>
      <c r="Q531" s="7">
        <v>8700</v>
      </c>
      <c r="R531" s="5" t="s">
        <v>45</v>
      </c>
      <c r="S531" s="7">
        <v>2560.33</v>
      </c>
      <c r="T531" s="5" t="s">
        <v>46</v>
      </c>
      <c r="U531" s="5" t="s">
        <v>47</v>
      </c>
      <c r="V531" s="5" t="s">
        <v>47</v>
      </c>
      <c r="W531" s="5" t="s">
        <v>47</v>
      </c>
      <c r="X531" s="5" t="s">
        <v>47</v>
      </c>
    </row>
    <row r="532" spans="1:24" x14ac:dyDescent="0.25">
      <c r="A532" s="5" t="s">
        <v>34</v>
      </c>
      <c r="B532" s="5" t="s">
        <v>187</v>
      </c>
      <c r="C532" s="5" t="s">
        <v>188</v>
      </c>
      <c r="D532" s="5" t="s">
        <v>37</v>
      </c>
      <c r="E532" s="5" t="s">
        <v>54</v>
      </c>
      <c r="F532" s="5" t="s">
        <v>55</v>
      </c>
      <c r="G532" s="5" t="s">
        <v>40</v>
      </c>
      <c r="H532" s="6">
        <v>45961</v>
      </c>
      <c r="I532" s="6">
        <v>45961</v>
      </c>
      <c r="J532" s="6">
        <v>45964</v>
      </c>
      <c r="K532" s="5" t="s">
        <v>41</v>
      </c>
      <c r="L532" s="5" t="s">
        <v>42</v>
      </c>
      <c r="M532" s="5" t="s">
        <v>43</v>
      </c>
      <c r="N532" s="5" t="s">
        <v>44</v>
      </c>
      <c r="O532" s="7">
        <v>2900</v>
      </c>
      <c r="P532" s="5" t="s">
        <v>45</v>
      </c>
      <c r="Q532" s="7">
        <v>2900</v>
      </c>
      <c r="R532" s="5" t="s">
        <v>45</v>
      </c>
      <c r="S532" s="7">
        <v>853.44</v>
      </c>
      <c r="T532" s="5" t="s">
        <v>46</v>
      </c>
      <c r="U532" s="5" t="s">
        <v>47</v>
      </c>
      <c r="V532" s="5" t="s">
        <v>47</v>
      </c>
      <c r="W532" s="5" t="s">
        <v>47</v>
      </c>
      <c r="X532" s="5" t="s">
        <v>47</v>
      </c>
    </row>
    <row r="533" spans="1:24" x14ac:dyDescent="0.25">
      <c r="A533" s="5" t="s">
        <v>34</v>
      </c>
      <c r="B533" s="5" t="s">
        <v>187</v>
      </c>
      <c r="C533" s="5" t="s">
        <v>188</v>
      </c>
      <c r="D533" s="5" t="s">
        <v>37</v>
      </c>
      <c r="E533" s="5" t="s">
        <v>72</v>
      </c>
      <c r="F533" s="5" t="s">
        <v>73</v>
      </c>
      <c r="G533" s="5" t="s">
        <v>40</v>
      </c>
      <c r="H533" s="6">
        <v>45961</v>
      </c>
      <c r="I533" s="6">
        <v>45961</v>
      </c>
      <c r="J533" s="6">
        <v>45964</v>
      </c>
      <c r="K533" s="5" t="s">
        <v>41</v>
      </c>
      <c r="L533" s="5" t="s">
        <v>42</v>
      </c>
      <c r="M533" s="5" t="s">
        <v>43</v>
      </c>
      <c r="N533" s="5" t="s">
        <v>44</v>
      </c>
      <c r="O533" s="7">
        <v>2900</v>
      </c>
      <c r="P533" s="5" t="s">
        <v>45</v>
      </c>
      <c r="Q533" s="7">
        <v>2900</v>
      </c>
      <c r="R533" s="5" t="s">
        <v>45</v>
      </c>
      <c r="S533" s="7">
        <v>853.44</v>
      </c>
      <c r="T533" s="5" t="s">
        <v>46</v>
      </c>
      <c r="U533" s="5" t="s">
        <v>47</v>
      </c>
      <c r="V533" s="5" t="s">
        <v>47</v>
      </c>
      <c r="W533" s="5" t="s">
        <v>47</v>
      </c>
      <c r="X533" s="5" t="s">
        <v>47</v>
      </c>
    </row>
    <row r="534" spans="1:24" x14ac:dyDescent="0.25">
      <c r="A534" s="5" t="s">
        <v>34</v>
      </c>
      <c r="B534" s="5" t="s">
        <v>187</v>
      </c>
      <c r="C534" s="5" t="s">
        <v>188</v>
      </c>
      <c r="D534" s="5" t="s">
        <v>37</v>
      </c>
      <c r="E534" s="5" t="s">
        <v>118</v>
      </c>
      <c r="F534" s="5" t="s">
        <v>119</v>
      </c>
      <c r="G534" s="5" t="s">
        <v>40</v>
      </c>
      <c r="H534" s="6">
        <v>45961</v>
      </c>
      <c r="I534" s="6">
        <v>45961</v>
      </c>
      <c r="J534" s="6">
        <v>45964</v>
      </c>
      <c r="K534" s="5" t="s">
        <v>41</v>
      </c>
      <c r="L534" s="5" t="s">
        <v>42</v>
      </c>
      <c r="M534" s="5" t="s">
        <v>43</v>
      </c>
      <c r="N534" s="5" t="s">
        <v>44</v>
      </c>
      <c r="O534" s="7">
        <v>2900</v>
      </c>
      <c r="P534" s="5" t="s">
        <v>45</v>
      </c>
      <c r="Q534" s="7">
        <v>2900</v>
      </c>
      <c r="R534" s="5" t="s">
        <v>45</v>
      </c>
      <c r="S534" s="7">
        <v>853.44</v>
      </c>
      <c r="T534" s="5" t="s">
        <v>46</v>
      </c>
      <c r="U534" s="5" t="s">
        <v>47</v>
      </c>
      <c r="V534" s="5" t="s">
        <v>47</v>
      </c>
      <c r="W534" s="5" t="s">
        <v>47</v>
      </c>
      <c r="X534" s="5" t="s">
        <v>47</v>
      </c>
    </row>
    <row r="535" spans="1:24" x14ac:dyDescent="0.25">
      <c r="A535" s="5" t="s">
        <v>34</v>
      </c>
      <c r="B535" s="5" t="s">
        <v>187</v>
      </c>
      <c r="C535" s="5" t="s">
        <v>188</v>
      </c>
      <c r="D535" s="5" t="s">
        <v>37</v>
      </c>
      <c r="E535" s="5" t="s">
        <v>80</v>
      </c>
      <c r="F535" s="5" t="s">
        <v>81</v>
      </c>
      <c r="G535" s="5" t="s">
        <v>40</v>
      </c>
      <c r="H535" s="6">
        <v>45961</v>
      </c>
      <c r="I535" s="6">
        <v>45961</v>
      </c>
      <c r="J535" s="6">
        <v>45964</v>
      </c>
      <c r="K535" s="5" t="s">
        <v>41</v>
      </c>
      <c r="L535" s="5" t="s">
        <v>42</v>
      </c>
      <c r="M535" s="5" t="s">
        <v>43</v>
      </c>
      <c r="N535" s="5" t="s">
        <v>44</v>
      </c>
      <c r="O535" s="7">
        <v>5800</v>
      </c>
      <c r="P535" s="5" t="s">
        <v>45</v>
      </c>
      <c r="Q535" s="7">
        <v>5800</v>
      </c>
      <c r="R535" s="5" t="s">
        <v>45</v>
      </c>
      <c r="S535" s="7">
        <v>1706.89</v>
      </c>
      <c r="T535" s="5" t="s">
        <v>46</v>
      </c>
      <c r="U535" s="5" t="s">
        <v>47</v>
      </c>
      <c r="V535" s="5" t="s">
        <v>47</v>
      </c>
      <c r="W535" s="5" t="s">
        <v>47</v>
      </c>
      <c r="X535" s="5" t="s">
        <v>47</v>
      </c>
    </row>
    <row r="536" spans="1:24" x14ac:dyDescent="0.25">
      <c r="A536" s="5" t="s">
        <v>34</v>
      </c>
      <c r="B536" s="5" t="s">
        <v>187</v>
      </c>
      <c r="C536" s="5" t="s">
        <v>188</v>
      </c>
      <c r="D536" s="5" t="s">
        <v>37</v>
      </c>
      <c r="E536" s="5" t="s">
        <v>100</v>
      </c>
      <c r="F536" s="5" t="s">
        <v>101</v>
      </c>
      <c r="G536" s="5" t="s">
        <v>40</v>
      </c>
      <c r="H536" s="6">
        <v>45961</v>
      </c>
      <c r="I536" s="6">
        <v>45961</v>
      </c>
      <c r="J536" s="6">
        <v>45964</v>
      </c>
      <c r="K536" s="5" t="s">
        <v>41</v>
      </c>
      <c r="L536" s="5" t="s">
        <v>42</v>
      </c>
      <c r="M536" s="5" t="s">
        <v>43</v>
      </c>
      <c r="N536" s="5" t="s">
        <v>44</v>
      </c>
      <c r="O536" s="7">
        <v>8700</v>
      </c>
      <c r="P536" s="5" t="s">
        <v>45</v>
      </c>
      <c r="Q536" s="7">
        <v>8700</v>
      </c>
      <c r="R536" s="5" t="s">
        <v>45</v>
      </c>
      <c r="S536" s="7">
        <v>2560.33</v>
      </c>
      <c r="T536" s="5" t="s">
        <v>46</v>
      </c>
      <c r="U536" s="5" t="s">
        <v>47</v>
      </c>
      <c r="V536" s="5" t="s">
        <v>47</v>
      </c>
      <c r="W536" s="5" t="s">
        <v>47</v>
      </c>
      <c r="X536" s="5" t="s">
        <v>47</v>
      </c>
    </row>
    <row r="537" spans="1:24" x14ac:dyDescent="0.25">
      <c r="A537" s="5" t="s">
        <v>34</v>
      </c>
      <c r="B537" s="5" t="s">
        <v>187</v>
      </c>
      <c r="C537" s="5" t="s">
        <v>188</v>
      </c>
      <c r="D537" s="5" t="s">
        <v>37</v>
      </c>
      <c r="E537" s="5" t="s">
        <v>98</v>
      </c>
      <c r="F537" s="5" t="s">
        <v>99</v>
      </c>
      <c r="G537" s="5" t="s">
        <v>40</v>
      </c>
      <c r="H537" s="6">
        <v>45961</v>
      </c>
      <c r="I537" s="6">
        <v>45961</v>
      </c>
      <c r="J537" s="6">
        <v>45964</v>
      </c>
      <c r="K537" s="5" t="s">
        <v>41</v>
      </c>
      <c r="L537" s="5" t="s">
        <v>42</v>
      </c>
      <c r="M537" s="5" t="s">
        <v>43</v>
      </c>
      <c r="N537" s="5" t="s">
        <v>44</v>
      </c>
      <c r="O537" s="7">
        <v>2900</v>
      </c>
      <c r="P537" s="5" t="s">
        <v>45</v>
      </c>
      <c r="Q537" s="7">
        <v>2900</v>
      </c>
      <c r="R537" s="5" t="s">
        <v>45</v>
      </c>
      <c r="S537" s="7">
        <v>853.44</v>
      </c>
      <c r="T537" s="5" t="s">
        <v>46</v>
      </c>
      <c r="U537" s="5" t="s">
        <v>47</v>
      </c>
      <c r="V537" s="5" t="s">
        <v>47</v>
      </c>
      <c r="W537" s="5" t="s">
        <v>47</v>
      </c>
      <c r="X537" s="5" t="s">
        <v>47</v>
      </c>
    </row>
    <row r="538" spans="1:24" x14ac:dyDescent="0.25">
      <c r="A538" s="5" t="s">
        <v>34</v>
      </c>
      <c r="B538" s="5" t="s">
        <v>187</v>
      </c>
      <c r="C538" s="5" t="s">
        <v>188</v>
      </c>
      <c r="D538" s="5" t="s">
        <v>37</v>
      </c>
      <c r="E538" s="5" t="s">
        <v>114</v>
      </c>
      <c r="F538" s="5" t="s">
        <v>115</v>
      </c>
      <c r="G538" s="5" t="s">
        <v>40</v>
      </c>
      <c r="H538" s="6">
        <v>45961</v>
      </c>
      <c r="I538" s="6">
        <v>45961</v>
      </c>
      <c r="J538" s="6">
        <v>45964</v>
      </c>
      <c r="K538" s="5" t="s">
        <v>41</v>
      </c>
      <c r="L538" s="5" t="s">
        <v>42</v>
      </c>
      <c r="M538" s="5" t="s">
        <v>43</v>
      </c>
      <c r="N538" s="5" t="s">
        <v>44</v>
      </c>
      <c r="O538" s="7">
        <v>8700</v>
      </c>
      <c r="P538" s="5" t="s">
        <v>45</v>
      </c>
      <c r="Q538" s="7">
        <v>8700</v>
      </c>
      <c r="R538" s="5" t="s">
        <v>45</v>
      </c>
      <c r="S538" s="7">
        <v>2560.33</v>
      </c>
      <c r="T538" s="5" t="s">
        <v>46</v>
      </c>
      <c r="U538" s="5" t="s">
        <v>47</v>
      </c>
      <c r="V538" s="5" t="s">
        <v>47</v>
      </c>
      <c r="W538" s="5" t="s">
        <v>47</v>
      </c>
      <c r="X538" s="5" t="s">
        <v>47</v>
      </c>
    </row>
    <row r="539" spans="1:24" x14ac:dyDescent="0.25">
      <c r="A539" s="5" t="s">
        <v>34</v>
      </c>
      <c r="B539" s="5" t="s">
        <v>187</v>
      </c>
      <c r="C539" s="5" t="s">
        <v>188</v>
      </c>
      <c r="D539" s="5" t="s">
        <v>37</v>
      </c>
      <c r="E539" s="5" t="s">
        <v>50</v>
      </c>
      <c r="F539" s="5" t="s">
        <v>51</v>
      </c>
      <c r="G539" s="5" t="s">
        <v>40</v>
      </c>
      <c r="H539" s="6">
        <v>45961</v>
      </c>
      <c r="I539" s="6">
        <v>45961</v>
      </c>
      <c r="J539" s="6">
        <v>45964</v>
      </c>
      <c r="K539" s="5" t="s">
        <v>41</v>
      </c>
      <c r="L539" s="5" t="s">
        <v>42</v>
      </c>
      <c r="M539" s="5" t="s">
        <v>43</v>
      </c>
      <c r="N539" s="5" t="s">
        <v>44</v>
      </c>
      <c r="O539" s="7">
        <v>5800</v>
      </c>
      <c r="P539" s="5" t="s">
        <v>45</v>
      </c>
      <c r="Q539" s="7">
        <v>5800</v>
      </c>
      <c r="R539" s="5" t="s">
        <v>45</v>
      </c>
      <c r="S539" s="7">
        <v>1706.89</v>
      </c>
      <c r="T539" s="5" t="s">
        <v>46</v>
      </c>
      <c r="U539" s="5" t="s">
        <v>47</v>
      </c>
      <c r="V539" s="5" t="s">
        <v>47</v>
      </c>
      <c r="W539" s="5" t="s">
        <v>47</v>
      </c>
      <c r="X539" s="5" t="s">
        <v>47</v>
      </c>
    </row>
    <row r="540" spans="1:24" x14ac:dyDescent="0.25">
      <c r="A540" s="5" t="s">
        <v>34</v>
      </c>
      <c r="B540" s="5" t="s">
        <v>187</v>
      </c>
      <c r="C540" s="5" t="s">
        <v>188</v>
      </c>
      <c r="D540" s="5" t="s">
        <v>37</v>
      </c>
      <c r="E540" s="5" t="s">
        <v>110</v>
      </c>
      <c r="F540" s="5" t="s">
        <v>111</v>
      </c>
      <c r="G540" s="5" t="s">
        <v>40</v>
      </c>
      <c r="H540" s="6">
        <v>45961</v>
      </c>
      <c r="I540" s="6">
        <v>45961</v>
      </c>
      <c r="J540" s="6">
        <v>45964</v>
      </c>
      <c r="K540" s="5" t="s">
        <v>41</v>
      </c>
      <c r="L540" s="5" t="s">
        <v>42</v>
      </c>
      <c r="M540" s="5" t="s">
        <v>43</v>
      </c>
      <c r="N540" s="5" t="s">
        <v>44</v>
      </c>
      <c r="O540" s="7">
        <v>5800</v>
      </c>
      <c r="P540" s="5" t="s">
        <v>45</v>
      </c>
      <c r="Q540" s="7">
        <v>5800</v>
      </c>
      <c r="R540" s="5" t="s">
        <v>45</v>
      </c>
      <c r="S540" s="7">
        <v>1706.89</v>
      </c>
      <c r="T540" s="5" t="s">
        <v>46</v>
      </c>
      <c r="U540" s="5" t="s">
        <v>47</v>
      </c>
      <c r="V540" s="5" t="s">
        <v>47</v>
      </c>
      <c r="W540" s="5" t="s">
        <v>47</v>
      </c>
      <c r="X540" s="5" t="s">
        <v>47</v>
      </c>
    </row>
    <row r="541" spans="1:24" x14ac:dyDescent="0.25">
      <c r="A541" s="5" t="s">
        <v>34</v>
      </c>
      <c r="B541" s="5" t="s">
        <v>187</v>
      </c>
      <c r="C541" s="5" t="s">
        <v>188</v>
      </c>
      <c r="D541" s="5" t="s">
        <v>37</v>
      </c>
      <c r="E541" s="5" t="s">
        <v>56</v>
      </c>
      <c r="F541" s="5" t="s">
        <v>57</v>
      </c>
      <c r="G541" s="5" t="s">
        <v>40</v>
      </c>
      <c r="H541" s="6">
        <v>45961</v>
      </c>
      <c r="I541" s="6">
        <v>45961</v>
      </c>
      <c r="J541" s="6">
        <v>45964</v>
      </c>
      <c r="K541" s="5" t="s">
        <v>41</v>
      </c>
      <c r="L541" s="5" t="s">
        <v>42</v>
      </c>
      <c r="M541" s="5" t="s">
        <v>43</v>
      </c>
      <c r="N541" s="5" t="s">
        <v>44</v>
      </c>
      <c r="O541" s="7">
        <v>14500</v>
      </c>
      <c r="P541" s="5" t="s">
        <v>45</v>
      </c>
      <c r="Q541" s="7">
        <v>14500</v>
      </c>
      <c r="R541" s="5" t="s">
        <v>45</v>
      </c>
      <c r="S541" s="7">
        <v>4267.22</v>
      </c>
      <c r="T541" s="5" t="s">
        <v>46</v>
      </c>
      <c r="U541" s="5" t="s">
        <v>47</v>
      </c>
      <c r="V541" s="5" t="s">
        <v>47</v>
      </c>
      <c r="W541" s="5" t="s">
        <v>47</v>
      </c>
      <c r="X541" s="5" t="s">
        <v>47</v>
      </c>
    </row>
    <row r="542" spans="1:24" x14ac:dyDescent="0.25">
      <c r="A542" s="5" t="s">
        <v>34</v>
      </c>
      <c r="B542" s="5" t="s">
        <v>187</v>
      </c>
      <c r="C542" s="5" t="s">
        <v>188</v>
      </c>
      <c r="D542" s="5" t="s">
        <v>37</v>
      </c>
      <c r="E542" s="5" t="s">
        <v>68</v>
      </c>
      <c r="F542" s="5" t="s">
        <v>69</v>
      </c>
      <c r="G542" s="5" t="s">
        <v>40</v>
      </c>
      <c r="H542" s="6">
        <v>45961</v>
      </c>
      <c r="I542" s="6">
        <v>45961</v>
      </c>
      <c r="J542" s="6">
        <v>45964</v>
      </c>
      <c r="K542" s="5" t="s">
        <v>41</v>
      </c>
      <c r="L542" s="5" t="s">
        <v>42</v>
      </c>
      <c r="M542" s="5" t="s">
        <v>43</v>
      </c>
      <c r="N542" s="5" t="s">
        <v>44</v>
      </c>
      <c r="O542" s="7">
        <v>2900</v>
      </c>
      <c r="P542" s="5" t="s">
        <v>45</v>
      </c>
      <c r="Q542" s="7">
        <v>2900</v>
      </c>
      <c r="R542" s="5" t="s">
        <v>45</v>
      </c>
      <c r="S542" s="7">
        <v>853.44</v>
      </c>
      <c r="T542" s="5" t="s">
        <v>46</v>
      </c>
      <c r="U542" s="5" t="s">
        <v>47</v>
      </c>
      <c r="V542" s="5" t="s">
        <v>47</v>
      </c>
      <c r="W542" s="5" t="s">
        <v>47</v>
      </c>
      <c r="X542" s="5" t="s">
        <v>47</v>
      </c>
    </row>
    <row r="543" spans="1:24" x14ac:dyDescent="0.25">
      <c r="A543" s="5" t="s">
        <v>34</v>
      </c>
      <c r="B543" s="5" t="s">
        <v>187</v>
      </c>
      <c r="C543" s="5" t="s">
        <v>188</v>
      </c>
      <c r="D543" s="5" t="s">
        <v>37</v>
      </c>
      <c r="E543" s="5" t="s">
        <v>58</v>
      </c>
      <c r="F543" s="5" t="s">
        <v>59</v>
      </c>
      <c r="G543" s="5" t="s">
        <v>40</v>
      </c>
      <c r="H543" s="6">
        <v>45961</v>
      </c>
      <c r="I543" s="6">
        <v>45961</v>
      </c>
      <c r="J543" s="6">
        <v>45964</v>
      </c>
      <c r="K543" s="5" t="s">
        <v>41</v>
      </c>
      <c r="L543" s="5" t="s">
        <v>42</v>
      </c>
      <c r="M543" s="5" t="s">
        <v>43</v>
      </c>
      <c r="N543" s="5" t="s">
        <v>44</v>
      </c>
      <c r="O543" s="7">
        <v>5800</v>
      </c>
      <c r="P543" s="5" t="s">
        <v>45</v>
      </c>
      <c r="Q543" s="7">
        <v>5800</v>
      </c>
      <c r="R543" s="5" t="s">
        <v>45</v>
      </c>
      <c r="S543" s="7">
        <v>1706.89</v>
      </c>
      <c r="T543" s="5" t="s">
        <v>46</v>
      </c>
      <c r="U543" s="5" t="s">
        <v>47</v>
      </c>
      <c r="V543" s="5" t="s">
        <v>47</v>
      </c>
      <c r="W543" s="5" t="s">
        <v>47</v>
      </c>
      <c r="X543" s="5" t="s">
        <v>47</v>
      </c>
    </row>
    <row r="544" spans="1:24" x14ac:dyDescent="0.25">
      <c r="A544" s="5" t="s">
        <v>34</v>
      </c>
      <c r="B544" s="5" t="s">
        <v>187</v>
      </c>
      <c r="C544" s="5" t="s">
        <v>188</v>
      </c>
      <c r="D544" s="5" t="s">
        <v>37</v>
      </c>
      <c r="E544" s="5" t="s">
        <v>38</v>
      </c>
      <c r="F544" s="5" t="s">
        <v>39</v>
      </c>
      <c r="G544" s="5" t="s">
        <v>40</v>
      </c>
      <c r="H544" s="6">
        <v>45961</v>
      </c>
      <c r="I544" s="6">
        <v>45961</v>
      </c>
      <c r="J544" s="6">
        <v>45964</v>
      </c>
      <c r="K544" s="5" t="s">
        <v>41</v>
      </c>
      <c r="L544" s="5" t="s">
        <v>42</v>
      </c>
      <c r="M544" s="5" t="s">
        <v>43</v>
      </c>
      <c r="N544" s="5" t="s">
        <v>44</v>
      </c>
      <c r="O544" s="7">
        <v>2900</v>
      </c>
      <c r="P544" s="5" t="s">
        <v>45</v>
      </c>
      <c r="Q544" s="7">
        <v>2900</v>
      </c>
      <c r="R544" s="5" t="s">
        <v>45</v>
      </c>
      <c r="S544" s="7">
        <v>853.44</v>
      </c>
      <c r="T544" s="5" t="s">
        <v>46</v>
      </c>
      <c r="U544" s="5" t="s">
        <v>47</v>
      </c>
      <c r="V544" s="5" t="s">
        <v>47</v>
      </c>
      <c r="W544" s="5" t="s">
        <v>47</v>
      </c>
      <c r="X544" s="5" t="s">
        <v>47</v>
      </c>
    </row>
    <row r="545" spans="1:24" x14ac:dyDescent="0.25">
      <c r="A545" s="5" t="s">
        <v>34</v>
      </c>
      <c r="B545" s="5" t="s">
        <v>187</v>
      </c>
      <c r="C545" s="5" t="s">
        <v>188</v>
      </c>
      <c r="D545" s="5" t="s">
        <v>37</v>
      </c>
      <c r="E545" s="5" t="s">
        <v>122</v>
      </c>
      <c r="F545" s="5" t="s">
        <v>123</v>
      </c>
      <c r="G545" s="5" t="s">
        <v>40</v>
      </c>
      <c r="H545" s="6">
        <v>45961</v>
      </c>
      <c r="I545" s="6">
        <v>45961</v>
      </c>
      <c r="J545" s="6">
        <v>45964</v>
      </c>
      <c r="K545" s="5" t="s">
        <v>41</v>
      </c>
      <c r="L545" s="5" t="s">
        <v>42</v>
      </c>
      <c r="M545" s="5" t="s">
        <v>43</v>
      </c>
      <c r="N545" s="5" t="s">
        <v>44</v>
      </c>
      <c r="O545" s="7">
        <v>2900</v>
      </c>
      <c r="P545" s="5" t="s">
        <v>45</v>
      </c>
      <c r="Q545" s="7">
        <v>2900</v>
      </c>
      <c r="R545" s="5" t="s">
        <v>45</v>
      </c>
      <c r="S545" s="7">
        <v>853.44</v>
      </c>
      <c r="T545" s="5" t="s">
        <v>46</v>
      </c>
      <c r="U545" s="5" t="s">
        <v>47</v>
      </c>
      <c r="V545" s="5" t="s">
        <v>47</v>
      </c>
      <c r="W545" s="5" t="s">
        <v>47</v>
      </c>
      <c r="X545" s="5" t="s">
        <v>47</v>
      </c>
    </row>
    <row r="546" spans="1:24" x14ac:dyDescent="0.25">
      <c r="A546" s="5" t="s">
        <v>34</v>
      </c>
      <c r="B546" s="5" t="s">
        <v>187</v>
      </c>
      <c r="C546" s="5" t="s">
        <v>188</v>
      </c>
      <c r="D546" s="5" t="s">
        <v>37</v>
      </c>
      <c r="E546" s="5" t="s">
        <v>74</v>
      </c>
      <c r="F546" s="5" t="s">
        <v>75</v>
      </c>
      <c r="G546" s="5" t="s">
        <v>40</v>
      </c>
      <c r="H546" s="6">
        <v>45961</v>
      </c>
      <c r="I546" s="6">
        <v>45961</v>
      </c>
      <c r="J546" s="6">
        <v>45964</v>
      </c>
      <c r="K546" s="5" t="s">
        <v>41</v>
      </c>
      <c r="L546" s="5" t="s">
        <v>42</v>
      </c>
      <c r="M546" s="5" t="s">
        <v>43</v>
      </c>
      <c r="N546" s="5" t="s">
        <v>44</v>
      </c>
      <c r="O546" s="7">
        <v>17400</v>
      </c>
      <c r="P546" s="5" t="s">
        <v>45</v>
      </c>
      <c r="Q546" s="7">
        <v>17400</v>
      </c>
      <c r="R546" s="5" t="s">
        <v>45</v>
      </c>
      <c r="S546" s="7">
        <v>5120.66</v>
      </c>
      <c r="T546" s="5" t="s">
        <v>46</v>
      </c>
      <c r="U546" s="5" t="s">
        <v>47</v>
      </c>
      <c r="V546" s="5" t="s">
        <v>47</v>
      </c>
      <c r="W546" s="5" t="s">
        <v>47</v>
      </c>
      <c r="X546" s="5" t="s">
        <v>47</v>
      </c>
    </row>
    <row r="547" spans="1:24" x14ac:dyDescent="0.25">
      <c r="A547" s="5" t="s">
        <v>34</v>
      </c>
      <c r="B547" s="5" t="s">
        <v>187</v>
      </c>
      <c r="C547" s="5" t="s">
        <v>188</v>
      </c>
      <c r="D547" s="5" t="s">
        <v>37</v>
      </c>
      <c r="E547" s="5" t="s">
        <v>116</v>
      </c>
      <c r="F547" s="5" t="s">
        <v>117</v>
      </c>
      <c r="G547" s="5" t="s">
        <v>40</v>
      </c>
      <c r="H547" s="6">
        <v>45961</v>
      </c>
      <c r="I547" s="6">
        <v>45961</v>
      </c>
      <c r="J547" s="6">
        <v>45964</v>
      </c>
      <c r="K547" s="5" t="s">
        <v>41</v>
      </c>
      <c r="L547" s="5" t="s">
        <v>42</v>
      </c>
      <c r="M547" s="5" t="s">
        <v>43</v>
      </c>
      <c r="N547" s="5" t="s">
        <v>44</v>
      </c>
      <c r="O547" s="7">
        <v>5800</v>
      </c>
      <c r="P547" s="5" t="s">
        <v>45</v>
      </c>
      <c r="Q547" s="7">
        <v>5800</v>
      </c>
      <c r="R547" s="5" t="s">
        <v>45</v>
      </c>
      <c r="S547" s="7">
        <v>1706.89</v>
      </c>
      <c r="T547" s="5" t="s">
        <v>46</v>
      </c>
      <c r="U547" s="5" t="s">
        <v>47</v>
      </c>
      <c r="V547" s="5" t="s">
        <v>47</v>
      </c>
      <c r="W547" s="5" t="s">
        <v>47</v>
      </c>
      <c r="X547" s="5" t="s">
        <v>47</v>
      </c>
    </row>
    <row r="548" spans="1:24" x14ac:dyDescent="0.25">
      <c r="A548" s="5" t="s">
        <v>34</v>
      </c>
      <c r="B548" s="5" t="s">
        <v>187</v>
      </c>
      <c r="C548" s="5" t="s">
        <v>188</v>
      </c>
      <c r="D548" s="5" t="s">
        <v>37</v>
      </c>
      <c r="E548" s="5" t="s">
        <v>52</v>
      </c>
      <c r="F548" s="5" t="s">
        <v>53</v>
      </c>
      <c r="G548" s="5" t="s">
        <v>40</v>
      </c>
      <c r="H548" s="6">
        <v>45961</v>
      </c>
      <c r="I548" s="6">
        <v>45961</v>
      </c>
      <c r="J548" s="6">
        <v>45964</v>
      </c>
      <c r="K548" s="5" t="s">
        <v>41</v>
      </c>
      <c r="L548" s="5" t="s">
        <v>42</v>
      </c>
      <c r="M548" s="5" t="s">
        <v>43</v>
      </c>
      <c r="N548" s="5" t="s">
        <v>44</v>
      </c>
      <c r="O548" s="7">
        <v>2900</v>
      </c>
      <c r="P548" s="5" t="s">
        <v>45</v>
      </c>
      <c r="Q548" s="7">
        <v>2900</v>
      </c>
      <c r="R548" s="5" t="s">
        <v>45</v>
      </c>
      <c r="S548" s="7">
        <v>853.44</v>
      </c>
      <c r="T548" s="5" t="s">
        <v>46</v>
      </c>
      <c r="U548" s="5" t="s">
        <v>47</v>
      </c>
      <c r="V548" s="5" t="s">
        <v>47</v>
      </c>
      <c r="W548" s="5" t="s">
        <v>47</v>
      </c>
      <c r="X548" s="5" t="s">
        <v>47</v>
      </c>
    </row>
    <row r="549" spans="1:24" x14ac:dyDescent="0.25">
      <c r="A549" s="5" t="s">
        <v>34</v>
      </c>
      <c r="B549" s="5" t="s">
        <v>187</v>
      </c>
      <c r="C549" s="5" t="s">
        <v>188</v>
      </c>
      <c r="D549" s="5" t="s">
        <v>37</v>
      </c>
      <c r="E549" s="5" t="s">
        <v>78</v>
      </c>
      <c r="F549" s="5" t="s">
        <v>79</v>
      </c>
      <c r="G549" s="5" t="s">
        <v>40</v>
      </c>
      <c r="H549" s="6">
        <v>45961</v>
      </c>
      <c r="I549" s="6">
        <v>45961</v>
      </c>
      <c r="J549" s="6">
        <v>45964</v>
      </c>
      <c r="K549" s="5" t="s">
        <v>41</v>
      </c>
      <c r="L549" s="5" t="s">
        <v>42</v>
      </c>
      <c r="M549" s="5" t="s">
        <v>43</v>
      </c>
      <c r="N549" s="5" t="s">
        <v>44</v>
      </c>
      <c r="O549" s="7">
        <v>2900</v>
      </c>
      <c r="P549" s="5" t="s">
        <v>45</v>
      </c>
      <c r="Q549" s="7">
        <v>2900</v>
      </c>
      <c r="R549" s="5" t="s">
        <v>45</v>
      </c>
      <c r="S549" s="7">
        <v>853.44</v>
      </c>
      <c r="T549" s="5" t="s">
        <v>46</v>
      </c>
      <c r="U549" s="5" t="s">
        <v>47</v>
      </c>
      <c r="V549" s="5" t="s">
        <v>47</v>
      </c>
      <c r="W549" s="5" t="s">
        <v>47</v>
      </c>
      <c r="X549" s="5" t="s">
        <v>47</v>
      </c>
    </row>
    <row r="550" spans="1:24" x14ac:dyDescent="0.25">
      <c r="A550" s="5" t="s">
        <v>34</v>
      </c>
      <c r="B550" s="5" t="s">
        <v>187</v>
      </c>
      <c r="C550" s="5" t="s">
        <v>188</v>
      </c>
      <c r="D550" s="5" t="s">
        <v>37</v>
      </c>
      <c r="E550" s="5" t="s">
        <v>86</v>
      </c>
      <c r="F550" s="5" t="s">
        <v>87</v>
      </c>
      <c r="G550" s="5" t="s">
        <v>40</v>
      </c>
      <c r="H550" s="6">
        <v>45961</v>
      </c>
      <c r="I550" s="6">
        <v>45961</v>
      </c>
      <c r="J550" s="6">
        <v>45964</v>
      </c>
      <c r="K550" s="5" t="s">
        <v>41</v>
      </c>
      <c r="L550" s="5" t="s">
        <v>42</v>
      </c>
      <c r="M550" s="5" t="s">
        <v>43</v>
      </c>
      <c r="N550" s="5" t="s">
        <v>44</v>
      </c>
      <c r="O550" s="7">
        <v>5800</v>
      </c>
      <c r="P550" s="5" t="s">
        <v>45</v>
      </c>
      <c r="Q550" s="7">
        <v>5800</v>
      </c>
      <c r="R550" s="5" t="s">
        <v>45</v>
      </c>
      <c r="S550" s="7">
        <v>1706.89</v>
      </c>
      <c r="T550" s="5" t="s">
        <v>46</v>
      </c>
      <c r="U550" s="5" t="s">
        <v>47</v>
      </c>
      <c r="V550" s="5" t="s">
        <v>47</v>
      </c>
      <c r="W550" s="5" t="s">
        <v>47</v>
      </c>
      <c r="X550" s="5" t="s">
        <v>47</v>
      </c>
    </row>
    <row r="551" spans="1:24" x14ac:dyDescent="0.25">
      <c r="A551" s="5" t="s">
        <v>34</v>
      </c>
      <c r="B551" s="5" t="s">
        <v>187</v>
      </c>
      <c r="C551" s="5" t="s">
        <v>188</v>
      </c>
      <c r="D551" s="5" t="s">
        <v>37</v>
      </c>
      <c r="E551" s="5" t="s">
        <v>62</v>
      </c>
      <c r="F551" s="5" t="s">
        <v>63</v>
      </c>
      <c r="G551" s="5" t="s">
        <v>40</v>
      </c>
      <c r="H551" s="6">
        <v>45961</v>
      </c>
      <c r="I551" s="6">
        <v>45961</v>
      </c>
      <c r="J551" s="6">
        <v>45964</v>
      </c>
      <c r="K551" s="5" t="s">
        <v>41</v>
      </c>
      <c r="L551" s="5" t="s">
        <v>42</v>
      </c>
      <c r="M551" s="5" t="s">
        <v>43</v>
      </c>
      <c r="N551" s="5" t="s">
        <v>44</v>
      </c>
      <c r="O551" s="7">
        <v>2900</v>
      </c>
      <c r="P551" s="5" t="s">
        <v>45</v>
      </c>
      <c r="Q551" s="7">
        <v>2900</v>
      </c>
      <c r="R551" s="5" t="s">
        <v>45</v>
      </c>
      <c r="S551" s="7">
        <v>853.44</v>
      </c>
      <c r="T551" s="5" t="s">
        <v>46</v>
      </c>
      <c r="U551" s="5" t="s">
        <v>47</v>
      </c>
      <c r="V551" s="5" t="s">
        <v>47</v>
      </c>
      <c r="W551" s="5" t="s">
        <v>47</v>
      </c>
      <c r="X551" s="5" t="s">
        <v>47</v>
      </c>
    </row>
    <row r="552" spans="1:24" x14ac:dyDescent="0.25">
      <c r="A552" s="5" t="s">
        <v>34</v>
      </c>
      <c r="B552" s="5" t="s">
        <v>187</v>
      </c>
      <c r="C552" s="5" t="s">
        <v>188</v>
      </c>
      <c r="D552" s="5" t="s">
        <v>37</v>
      </c>
      <c r="E552" s="5" t="s">
        <v>60</v>
      </c>
      <c r="F552" s="5" t="s">
        <v>61</v>
      </c>
      <c r="G552" s="5" t="s">
        <v>40</v>
      </c>
      <c r="H552" s="6">
        <v>45961</v>
      </c>
      <c r="I552" s="6">
        <v>45961</v>
      </c>
      <c r="J552" s="6">
        <v>45964</v>
      </c>
      <c r="K552" s="5" t="s">
        <v>41</v>
      </c>
      <c r="L552" s="5" t="s">
        <v>42</v>
      </c>
      <c r="M552" s="5" t="s">
        <v>43</v>
      </c>
      <c r="N552" s="5" t="s">
        <v>44</v>
      </c>
      <c r="O552" s="7">
        <v>15950</v>
      </c>
      <c r="P552" s="5" t="s">
        <v>45</v>
      </c>
      <c r="Q552" s="7">
        <v>15950</v>
      </c>
      <c r="R552" s="5" t="s">
        <v>45</v>
      </c>
      <c r="S552" s="7">
        <v>4693.9399999999996</v>
      </c>
      <c r="T552" s="5" t="s">
        <v>46</v>
      </c>
      <c r="U552" s="5" t="s">
        <v>47</v>
      </c>
      <c r="V552" s="5" t="s">
        <v>47</v>
      </c>
      <c r="W552" s="5" t="s">
        <v>47</v>
      </c>
      <c r="X552" s="5" t="s">
        <v>47</v>
      </c>
    </row>
    <row r="553" spans="1:24" x14ac:dyDescent="0.25">
      <c r="A553" s="5" t="s">
        <v>34</v>
      </c>
      <c r="B553" s="5" t="s">
        <v>187</v>
      </c>
      <c r="C553" s="5" t="s">
        <v>188</v>
      </c>
      <c r="D553" s="5" t="s">
        <v>37</v>
      </c>
      <c r="E553" s="5" t="s">
        <v>112</v>
      </c>
      <c r="F553" s="5" t="s">
        <v>113</v>
      </c>
      <c r="G553" s="5" t="s">
        <v>40</v>
      </c>
      <c r="H553" s="6">
        <v>45961</v>
      </c>
      <c r="I553" s="6">
        <v>45961</v>
      </c>
      <c r="J553" s="6">
        <v>45964</v>
      </c>
      <c r="K553" s="5" t="s">
        <v>41</v>
      </c>
      <c r="L553" s="5" t="s">
        <v>42</v>
      </c>
      <c r="M553" s="5" t="s">
        <v>43</v>
      </c>
      <c r="N553" s="5" t="s">
        <v>44</v>
      </c>
      <c r="O553" s="7">
        <v>2900</v>
      </c>
      <c r="P553" s="5" t="s">
        <v>45</v>
      </c>
      <c r="Q553" s="7">
        <v>2900</v>
      </c>
      <c r="R553" s="5" t="s">
        <v>45</v>
      </c>
      <c r="S553" s="7">
        <v>853.44</v>
      </c>
      <c r="T553" s="5" t="s">
        <v>46</v>
      </c>
      <c r="U553" s="5" t="s">
        <v>47</v>
      </c>
      <c r="V553" s="5" t="s">
        <v>47</v>
      </c>
      <c r="W553" s="5" t="s">
        <v>47</v>
      </c>
      <c r="X553" s="5" t="s">
        <v>47</v>
      </c>
    </row>
    <row r="554" spans="1:24" x14ac:dyDescent="0.25">
      <c r="A554" s="5" t="s">
        <v>34</v>
      </c>
      <c r="B554" s="5" t="s">
        <v>187</v>
      </c>
      <c r="C554" s="5" t="s">
        <v>188</v>
      </c>
      <c r="D554" s="5" t="s">
        <v>37</v>
      </c>
      <c r="E554" s="5" t="s">
        <v>102</v>
      </c>
      <c r="F554" s="5" t="s">
        <v>103</v>
      </c>
      <c r="G554" s="5" t="s">
        <v>40</v>
      </c>
      <c r="H554" s="6">
        <v>45961</v>
      </c>
      <c r="I554" s="6">
        <v>45961</v>
      </c>
      <c r="J554" s="6">
        <v>45964</v>
      </c>
      <c r="K554" s="5" t="s">
        <v>41</v>
      </c>
      <c r="L554" s="5" t="s">
        <v>42</v>
      </c>
      <c r="M554" s="5" t="s">
        <v>43</v>
      </c>
      <c r="N554" s="5" t="s">
        <v>44</v>
      </c>
      <c r="O554" s="7">
        <v>8700</v>
      </c>
      <c r="P554" s="5" t="s">
        <v>45</v>
      </c>
      <c r="Q554" s="7">
        <v>8700</v>
      </c>
      <c r="R554" s="5" t="s">
        <v>45</v>
      </c>
      <c r="S554" s="7">
        <v>2560.33</v>
      </c>
      <c r="T554" s="5" t="s">
        <v>46</v>
      </c>
      <c r="U554" s="5" t="s">
        <v>47</v>
      </c>
      <c r="V554" s="5" t="s">
        <v>47</v>
      </c>
      <c r="W554" s="5" t="s">
        <v>47</v>
      </c>
      <c r="X554" s="5" t="s">
        <v>47</v>
      </c>
    </row>
    <row r="555" spans="1:24" x14ac:dyDescent="0.25">
      <c r="A555" s="5" t="s">
        <v>34</v>
      </c>
      <c r="B555" s="5" t="s">
        <v>187</v>
      </c>
      <c r="C555" s="5" t="s">
        <v>188</v>
      </c>
      <c r="D555" s="5" t="s">
        <v>37</v>
      </c>
      <c r="E555" s="5" t="s">
        <v>76</v>
      </c>
      <c r="F555" s="5" t="s">
        <v>77</v>
      </c>
      <c r="G555" s="5" t="s">
        <v>40</v>
      </c>
      <c r="H555" s="6">
        <v>45961</v>
      </c>
      <c r="I555" s="6">
        <v>45961</v>
      </c>
      <c r="J555" s="6">
        <v>45964</v>
      </c>
      <c r="K555" s="5" t="s">
        <v>41</v>
      </c>
      <c r="L555" s="5" t="s">
        <v>42</v>
      </c>
      <c r="M555" s="5" t="s">
        <v>43</v>
      </c>
      <c r="N555" s="5" t="s">
        <v>44</v>
      </c>
      <c r="O555" s="7">
        <v>2900</v>
      </c>
      <c r="P555" s="5" t="s">
        <v>45</v>
      </c>
      <c r="Q555" s="7">
        <v>2900</v>
      </c>
      <c r="R555" s="5" t="s">
        <v>45</v>
      </c>
      <c r="S555" s="7">
        <v>853.44</v>
      </c>
      <c r="T555" s="5" t="s">
        <v>46</v>
      </c>
      <c r="U555" s="5" t="s">
        <v>47</v>
      </c>
      <c r="V555" s="5" t="s">
        <v>47</v>
      </c>
      <c r="W555" s="5" t="s">
        <v>47</v>
      </c>
      <c r="X555" s="5" t="s">
        <v>47</v>
      </c>
    </row>
    <row r="556" spans="1:24" x14ac:dyDescent="0.25">
      <c r="A556" s="5" t="s">
        <v>34</v>
      </c>
      <c r="B556" s="5" t="s">
        <v>187</v>
      </c>
      <c r="C556" s="5" t="s">
        <v>188</v>
      </c>
      <c r="D556" s="5" t="s">
        <v>37</v>
      </c>
      <c r="E556" s="5" t="s">
        <v>104</v>
      </c>
      <c r="F556" s="5" t="s">
        <v>105</v>
      </c>
      <c r="G556" s="5" t="s">
        <v>40</v>
      </c>
      <c r="H556" s="6">
        <v>45961</v>
      </c>
      <c r="I556" s="6">
        <v>45961</v>
      </c>
      <c r="J556" s="6">
        <v>45964</v>
      </c>
      <c r="K556" s="5" t="s">
        <v>41</v>
      </c>
      <c r="L556" s="5" t="s">
        <v>42</v>
      </c>
      <c r="M556" s="5" t="s">
        <v>43</v>
      </c>
      <c r="N556" s="5" t="s">
        <v>44</v>
      </c>
      <c r="O556" s="7">
        <v>8700</v>
      </c>
      <c r="P556" s="5" t="s">
        <v>45</v>
      </c>
      <c r="Q556" s="7">
        <v>8700</v>
      </c>
      <c r="R556" s="5" t="s">
        <v>45</v>
      </c>
      <c r="S556" s="7">
        <v>2560.33</v>
      </c>
      <c r="T556" s="5" t="s">
        <v>46</v>
      </c>
      <c r="U556" s="5" t="s">
        <v>47</v>
      </c>
      <c r="V556" s="5" t="s">
        <v>47</v>
      </c>
      <c r="W556" s="5" t="s">
        <v>47</v>
      </c>
      <c r="X556" s="5" t="s">
        <v>47</v>
      </c>
    </row>
    <row r="557" spans="1:24" x14ac:dyDescent="0.25">
      <c r="A557" s="5" t="s">
        <v>34</v>
      </c>
      <c r="B557" s="5" t="s">
        <v>187</v>
      </c>
      <c r="C557" s="5" t="s">
        <v>188</v>
      </c>
      <c r="D557" s="5" t="s">
        <v>37</v>
      </c>
      <c r="E557" s="5" t="s">
        <v>90</v>
      </c>
      <c r="F557" s="5" t="s">
        <v>91</v>
      </c>
      <c r="G557" s="5" t="s">
        <v>40</v>
      </c>
      <c r="H557" s="6">
        <v>45961</v>
      </c>
      <c r="I557" s="6">
        <v>45961</v>
      </c>
      <c r="J557" s="6">
        <v>45964</v>
      </c>
      <c r="K557" s="5" t="s">
        <v>41</v>
      </c>
      <c r="L557" s="5" t="s">
        <v>42</v>
      </c>
      <c r="M557" s="5" t="s">
        <v>43</v>
      </c>
      <c r="N557" s="5" t="s">
        <v>44</v>
      </c>
      <c r="O557" s="7">
        <v>5800</v>
      </c>
      <c r="P557" s="5" t="s">
        <v>45</v>
      </c>
      <c r="Q557" s="7">
        <v>5800</v>
      </c>
      <c r="R557" s="5" t="s">
        <v>45</v>
      </c>
      <c r="S557" s="7">
        <v>1706.89</v>
      </c>
      <c r="T557" s="5" t="s">
        <v>46</v>
      </c>
      <c r="U557" s="5" t="s">
        <v>47</v>
      </c>
      <c r="V557" s="5" t="s">
        <v>47</v>
      </c>
      <c r="W557" s="5" t="s">
        <v>47</v>
      </c>
      <c r="X557" s="5" t="s">
        <v>47</v>
      </c>
    </row>
    <row r="558" spans="1:24" x14ac:dyDescent="0.25">
      <c r="A558" s="5" t="s">
        <v>34</v>
      </c>
      <c r="B558" s="5" t="s">
        <v>187</v>
      </c>
      <c r="C558" s="5" t="s">
        <v>188</v>
      </c>
      <c r="D558" s="5" t="s">
        <v>37</v>
      </c>
      <c r="E558" s="5" t="s">
        <v>88</v>
      </c>
      <c r="F558" s="5" t="s">
        <v>89</v>
      </c>
      <c r="G558" s="5" t="s">
        <v>40</v>
      </c>
      <c r="H558" s="6">
        <v>45961</v>
      </c>
      <c r="I558" s="6">
        <v>45961</v>
      </c>
      <c r="J558" s="6">
        <v>45964</v>
      </c>
      <c r="K558" s="5" t="s">
        <v>41</v>
      </c>
      <c r="L558" s="5" t="s">
        <v>42</v>
      </c>
      <c r="M558" s="5" t="s">
        <v>43</v>
      </c>
      <c r="N558" s="5" t="s">
        <v>44</v>
      </c>
      <c r="O558" s="7">
        <v>2900</v>
      </c>
      <c r="P558" s="5" t="s">
        <v>45</v>
      </c>
      <c r="Q558" s="7">
        <v>2900</v>
      </c>
      <c r="R558" s="5" t="s">
        <v>45</v>
      </c>
      <c r="S558" s="7">
        <v>853.44</v>
      </c>
      <c r="T558" s="5" t="s">
        <v>46</v>
      </c>
      <c r="U558" s="5" t="s">
        <v>47</v>
      </c>
      <c r="V558" s="5" t="s">
        <v>47</v>
      </c>
      <c r="W558" s="5" t="s">
        <v>47</v>
      </c>
      <c r="X558" s="5" t="s">
        <v>47</v>
      </c>
    </row>
    <row r="559" spans="1:24" x14ac:dyDescent="0.25">
      <c r="A559" s="5" t="s">
        <v>34</v>
      </c>
      <c r="B559" s="5" t="s">
        <v>187</v>
      </c>
      <c r="C559" s="5" t="s">
        <v>188</v>
      </c>
      <c r="D559" s="5" t="s">
        <v>37</v>
      </c>
      <c r="E559" s="5" t="s">
        <v>64</v>
      </c>
      <c r="F559" s="5" t="s">
        <v>65</v>
      </c>
      <c r="G559" s="5" t="s">
        <v>40</v>
      </c>
      <c r="H559" s="6">
        <v>45961</v>
      </c>
      <c r="I559" s="6">
        <v>45961</v>
      </c>
      <c r="J559" s="6">
        <v>45964</v>
      </c>
      <c r="K559" s="5" t="s">
        <v>41</v>
      </c>
      <c r="L559" s="5" t="s">
        <v>42</v>
      </c>
      <c r="M559" s="5" t="s">
        <v>43</v>
      </c>
      <c r="N559" s="5" t="s">
        <v>44</v>
      </c>
      <c r="O559" s="7">
        <v>2900</v>
      </c>
      <c r="P559" s="5" t="s">
        <v>45</v>
      </c>
      <c r="Q559" s="7">
        <v>2900</v>
      </c>
      <c r="R559" s="5" t="s">
        <v>45</v>
      </c>
      <c r="S559" s="7">
        <v>853.44</v>
      </c>
      <c r="T559" s="5" t="s">
        <v>46</v>
      </c>
      <c r="U559" s="5" t="s">
        <v>47</v>
      </c>
      <c r="V559" s="5" t="s">
        <v>47</v>
      </c>
      <c r="W559" s="5" t="s">
        <v>47</v>
      </c>
      <c r="X559" s="5" t="s">
        <v>47</v>
      </c>
    </row>
    <row r="560" spans="1:24" x14ac:dyDescent="0.25">
      <c r="A560" s="5" t="s">
        <v>34</v>
      </c>
      <c r="B560" s="5" t="s">
        <v>187</v>
      </c>
      <c r="C560" s="5" t="s">
        <v>188</v>
      </c>
      <c r="D560" s="5" t="s">
        <v>37</v>
      </c>
      <c r="E560" s="5" t="s">
        <v>96</v>
      </c>
      <c r="F560" s="5" t="s">
        <v>97</v>
      </c>
      <c r="G560" s="5" t="s">
        <v>40</v>
      </c>
      <c r="H560" s="6">
        <v>45961</v>
      </c>
      <c r="I560" s="6">
        <v>45961</v>
      </c>
      <c r="J560" s="6">
        <v>45964</v>
      </c>
      <c r="K560" s="5" t="s">
        <v>41</v>
      </c>
      <c r="L560" s="5" t="s">
        <v>42</v>
      </c>
      <c r="M560" s="5" t="s">
        <v>43</v>
      </c>
      <c r="N560" s="5" t="s">
        <v>44</v>
      </c>
      <c r="O560" s="7">
        <v>23200</v>
      </c>
      <c r="P560" s="5" t="s">
        <v>45</v>
      </c>
      <c r="Q560" s="7">
        <v>23200</v>
      </c>
      <c r="R560" s="5" t="s">
        <v>45</v>
      </c>
      <c r="S560" s="7">
        <v>6827.55</v>
      </c>
      <c r="T560" s="5" t="s">
        <v>46</v>
      </c>
      <c r="U560" s="5" t="s">
        <v>47</v>
      </c>
      <c r="V560" s="5" t="s">
        <v>47</v>
      </c>
      <c r="W560" s="5" t="s">
        <v>47</v>
      </c>
      <c r="X560" s="5" t="s">
        <v>47</v>
      </c>
    </row>
    <row r="561" spans="1:24" x14ac:dyDescent="0.25">
      <c r="A561" s="5" t="s">
        <v>34</v>
      </c>
      <c r="B561" s="5" t="s">
        <v>187</v>
      </c>
      <c r="C561" s="5" t="s">
        <v>188</v>
      </c>
      <c r="D561" s="5" t="s">
        <v>37</v>
      </c>
      <c r="E561" s="5" t="s">
        <v>48</v>
      </c>
      <c r="F561" s="5" t="s">
        <v>49</v>
      </c>
      <c r="G561" s="5" t="s">
        <v>40</v>
      </c>
      <c r="H561" s="6">
        <v>45961</v>
      </c>
      <c r="I561" s="6">
        <v>45961</v>
      </c>
      <c r="J561" s="6">
        <v>45964</v>
      </c>
      <c r="K561" s="5" t="s">
        <v>41</v>
      </c>
      <c r="L561" s="5" t="s">
        <v>42</v>
      </c>
      <c r="M561" s="5" t="s">
        <v>43</v>
      </c>
      <c r="N561" s="5" t="s">
        <v>44</v>
      </c>
      <c r="O561" s="7">
        <v>5800</v>
      </c>
      <c r="P561" s="5" t="s">
        <v>45</v>
      </c>
      <c r="Q561" s="7">
        <v>5800</v>
      </c>
      <c r="R561" s="5" t="s">
        <v>45</v>
      </c>
      <c r="S561" s="7">
        <v>1706.89</v>
      </c>
      <c r="T561" s="5" t="s">
        <v>46</v>
      </c>
      <c r="U561" s="5" t="s">
        <v>47</v>
      </c>
      <c r="V561" s="5" t="s">
        <v>47</v>
      </c>
      <c r="W561" s="5" t="s">
        <v>47</v>
      </c>
      <c r="X561" s="5" t="s">
        <v>47</v>
      </c>
    </row>
    <row r="562" spans="1:24" x14ac:dyDescent="0.25">
      <c r="A562" s="5" t="s">
        <v>34</v>
      </c>
      <c r="B562" s="5" t="s">
        <v>189</v>
      </c>
      <c r="C562" s="5" t="s">
        <v>190</v>
      </c>
      <c r="D562" s="5" t="s">
        <v>37</v>
      </c>
      <c r="E562" s="5" t="s">
        <v>138</v>
      </c>
      <c r="F562" s="5" t="s">
        <v>139</v>
      </c>
      <c r="G562" s="5" t="s">
        <v>40</v>
      </c>
      <c r="H562" s="6">
        <v>45961</v>
      </c>
      <c r="I562" s="6">
        <v>45961</v>
      </c>
      <c r="J562" s="6">
        <v>45964</v>
      </c>
      <c r="K562" s="5" t="s">
        <v>135</v>
      </c>
      <c r="L562" s="5" t="s">
        <v>136</v>
      </c>
      <c r="M562" s="5" t="s">
        <v>43</v>
      </c>
      <c r="N562" s="5" t="s">
        <v>137</v>
      </c>
      <c r="O562" s="7">
        <v>31900</v>
      </c>
      <c r="P562" s="5" t="s">
        <v>45</v>
      </c>
      <c r="Q562" s="7">
        <v>31900</v>
      </c>
      <c r="R562" s="5" t="s">
        <v>45</v>
      </c>
      <c r="S562" s="7">
        <v>9387.8799999999992</v>
      </c>
      <c r="T562" s="5" t="s">
        <v>46</v>
      </c>
      <c r="U562" s="5" t="s">
        <v>47</v>
      </c>
      <c r="V562" s="5" t="s">
        <v>47</v>
      </c>
      <c r="W562" s="5" t="s">
        <v>47</v>
      </c>
      <c r="X562" s="5" t="s">
        <v>47</v>
      </c>
    </row>
    <row r="563" spans="1:24" x14ac:dyDescent="0.25">
      <c r="A563" s="5" t="s">
        <v>34</v>
      </c>
      <c r="B563" s="5" t="s">
        <v>189</v>
      </c>
      <c r="C563" s="5" t="s">
        <v>190</v>
      </c>
      <c r="D563" s="5" t="s">
        <v>37</v>
      </c>
      <c r="E563" s="5" t="s">
        <v>78</v>
      </c>
      <c r="F563" s="5" t="s">
        <v>79</v>
      </c>
      <c r="G563" s="5" t="s">
        <v>40</v>
      </c>
      <c r="H563" s="6">
        <v>45961</v>
      </c>
      <c r="I563" s="6">
        <v>45961</v>
      </c>
      <c r="J563" s="6">
        <v>45964</v>
      </c>
      <c r="K563" s="5" t="s">
        <v>135</v>
      </c>
      <c r="L563" s="5" t="s">
        <v>136</v>
      </c>
      <c r="M563" s="5" t="s">
        <v>43</v>
      </c>
      <c r="N563" s="5" t="s">
        <v>137</v>
      </c>
      <c r="O563" s="7">
        <v>252300</v>
      </c>
      <c r="P563" s="5" t="s">
        <v>45</v>
      </c>
      <c r="Q563" s="7">
        <v>252300</v>
      </c>
      <c r="R563" s="5" t="s">
        <v>45</v>
      </c>
      <c r="S563" s="7">
        <v>74249.56</v>
      </c>
      <c r="T563" s="5" t="s">
        <v>46</v>
      </c>
      <c r="U563" s="5" t="s">
        <v>47</v>
      </c>
      <c r="V563" s="5" t="s">
        <v>47</v>
      </c>
      <c r="W563" s="5" t="s">
        <v>47</v>
      </c>
      <c r="X563" s="5" t="s">
        <v>47</v>
      </c>
    </row>
    <row r="564" spans="1:24" x14ac:dyDescent="0.25">
      <c r="A564" s="5" t="s">
        <v>34</v>
      </c>
      <c r="B564" s="5" t="s">
        <v>189</v>
      </c>
      <c r="C564" s="5" t="s">
        <v>190</v>
      </c>
      <c r="D564" s="5" t="s">
        <v>37</v>
      </c>
      <c r="E564" s="5" t="s">
        <v>80</v>
      </c>
      <c r="F564" s="5" t="s">
        <v>81</v>
      </c>
      <c r="G564" s="5" t="s">
        <v>40</v>
      </c>
      <c r="H564" s="6">
        <v>45961</v>
      </c>
      <c r="I564" s="6">
        <v>45961</v>
      </c>
      <c r="J564" s="6">
        <v>45964</v>
      </c>
      <c r="K564" s="5" t="s">
        <v>135</v>
      </c>
      <c r="L564" s="5" t="s">
        <v>136</v>
      </c>
      <c r="M564" s="5" t="s">
        <v>43</v>
      </c>
      <c r="N564" s="5" t="s">
        <v>137</v>
      </c>
      <c r="O564" s="7">
        <v>34800</v>
      </c>
      <c r="P564" s="5" t="s">
        <v>45</v>
      </c>
      <c r="Q564" s="7">
        <v>34800</v>
      </c>
      <c r="R564" s="5" t="s">
        <v>45</v>
      </c>
      <c r="S564" s="7">
        <v>10241.32</v>
      </c>
      <c r="T564" s="5" t="s">
        <v>46</v>
      </c>
      <c r="U564" s="5" t="s">
        <v>47</v>
      </c>
      <c r="V564" s="5" t="s">
        <v>47</v>
      </c>
      <c r="W564" s="5" t="s">
        <v>47</v>
      </c>
      <c r="X564" s="5" t="s">
        <v>47</v>
      </c>
    </row>
    <row r="565" spans="1:24" x14ac:dyDescent="0.25">
      <c r="A565" s="5" t="s">
        <v>34</v>
      </c>
      <c r="B565" s="5" t="s">
        <v>189</v>
      </c>
      <c r="C565" s="5" t="s">
        <v>190</v>
      </c>
      <c r="D565" s="5" t="s">
        <v>37</v>
      </c>
      <c r="E565" s="5" t="s">
        <v>54</v>
      </c>
      <c r="F565" s="5" t="s">
        <v>55</v>
      </c>
      <c r="G565" s="5" t="s">
        <v>40</v>
      </c>
      <c r="H565" s="6">
        <v>45961</v>
      </c>
      <c r="I565" s="6">
        <v>45961</v>
      </c>
      <c r="J565" s="6">
        <v>45964</v>
      </c>
      <c r="K565" s="5" t="s">
        <v>135</v>
      </c>
      <c r="L565" s="5" t="s">
        <v>136</v>
      </c>
      <c r="M565" s="5" t="s">
        <v>43</v>
      </c>
      <c r="N565" s="5" t="s">
        <v>137</v>
      </c>
      <c r="O565" s="7">
        <v>17400</v>
      </c>
      <c r="P565" s="5" t="s">
        <v>45</v>
      </c>
      <c r="Q565" s="7">
        <v>17400</v>
      </c>
      <c r="R565" s="5" t="s">
        <v>45</v>
      </c>
      <c r="S565" s="7">
        <v>5120.66</v>
      </c>
      <c r="T565" s="5" t="s">
        <v>46</v>
      </c>
      <c r="U565" s="5" t="s">
        <v>47</v>
      </c>
      <c r="V565" s="5" t="s">
        <v>47</v>
      </c>
      <c r="W565" s="5" t="s">
        <v>47</v>
      </c>
      <c r="X565" s="5" t="s">
        <v>47</v>
      </c>
    </row>
    <row r="566" spans="1:24" x14ac:dyDescent="0.25">
      <c r="A566" s="5" t="s">
        <v>34</v>
      </c>
      <c r="B566" s="5" t="s">
        <v>189</v>
      </c>
      <c r="C566" s="5" t="s">
        <v>190</v>
      </c>
      <c r="D566" s="5" t="s">
        <v>37</v>
      </c>
      <c r="E566" s="5" t="s">
        <v>98</v>
      </c>
      <c r="F566" s="5" t="s">
        <v>99</v>
      </c>
      <c r="G566" s="5" t="s">
        <v>40</v>
      </c>
      <c r="H566" s="6">
        <v>45961</v>
      </c>
      <c r="I566" s="6">
        <v>45961</v>
      </c>
      <c r="J566" s="6">
        <v>45964</v>
      </c>
      <c r="K566" s="5" t="s">
        <v>135</v>
      </c>
      <c r="L566" s="5" t="s">
        <v>136</v>
      </c>
      <c r="M566" s="5" t="s">
        <v>43</v>
      </c>
      <c r="N566" s="5" t="s">
        <v>137</v>
      </c>
      <c r="O566" s="7">
        <v>2900</v>
      </c>
      <c r="P566" s="5" t="s">
        <v>45</v>
      </c>
      <c r="Q566" s="7">
        <v>2900</v>
      </c>
      <c r="R566" s="5" t="s">
        <v>45</v>
      </c>
      <c r="S566" s="7">
        <v>853.44</v>
      </c>
      <c r="T566" s="5" t="s">
        <v>46</v>
      </c>
      <c r="U566" s="5" t="s">
        <v>47</v>
      </c>
      <c r="V566" s="5" t="s">
        <v>47</v>
      </c>
      <c r="W566" s="5" t="s">
        <v>47</v>
      </c>
      <c r="X566" s="5" t="s">
        <v>47</v>
      </c>
    </row>
    <row r="567" spans="1:24" x14ac:dyDescent="0.25">
      <c r="A567" s="5" t="s">
        <v>34</v>
      </c>
      <c r="B567" s="5" t="s">
        <v>189</v>
      </c>
      <c r="C567" s="5" t="s">
        <v>190</v>
      </c>
      <c r="D567" s="5" t="s">
        <v>37</v>
      </c>
      <c r="E567" s="5" t="s">
        <v>116</v>
      </c>
      <c r="F567" s="5" t="s">
        <v>117</v>
      </c>
      <c r="G567" s="5" t="s">
        <v>40</v>
      </c>
      <c r="H567" s="6">
        <v>45961</v>
      </c>
      <c r="I567" s="6">
        <v>45961</v>
      </c>
      <c r="J567" s="6">
        <v>45964</v>
      </c>
      <c r="K567" s="5" t="s">
        <v>135</v>
      </c>
      <c r="L567" s="5" t="s">
        <v>136</v>
      </c>
      <c r="M567" s="5" t="s">
        <v>43</v>
      </c>
      <c r="N567" s="5" t="s">
        <v>137</v>
      </c>
      <c r="O567" s="7">
        <v>66700</v>
      </c>
      <c r="P567" s="5" t="s">
        <v>45</v>
      </c>
      <c r="Q567" s="7">
        <v>66700</v>
      </c>
      <c r="R567" s="5" t="s">
        <v>45</v>
      </c>
      <c r="S567" s="7">
        <v>19629.189999999999</v>
      </c>
      <c r="T567" s="5" t="s">
        <v>46</v>
      </c>
      <c r="U567" s="5" t="s">
        <v>47</v>
      </c>
      <c r="V567" s="5" t="s">
        <v>47</v>
      </c>
      <c r="W567" s="5" t="s">
        <v>47</v>
      </c>
      <c r="X567" s="5" t="s">
        <v>47</v>
      </c>
    </row>
    <row r="568" spans="1:24" x14ac:dyDescent="0.25">
      <c r="A568" s="5" t="s">
        <v>34</v>
      </c>
      <c r="B568" s="5" t="s">
        <v>189</v>
      </c>
      <c r="C568" s="5" t="s">
        <v>190</v>
      </c>
      <c r="D568" s="5" t="s">
        <v>37</v>
      </c>
      <c r="E568" s="5" t="s">
        <v>50</v>
      </c>
      <c r="F568" s="5" t="s">
        <v>51</v>
      </c>
      <c r="G568" s="5" t="s">
        <v>40</v>
      </c>
      <c r="H568" s="6">
        <v>45961</v>
      </c>
      <c r="I568" s="6">
        <v>45961</v>
      </c>
      <c r="J568" s="6">
        <v>45964</v>
      </c>
      <c r="K568" s="5" t="s">
        <v>135</v>
      </c>
      <c r="L568" s="5" t="s">
        <v>136</v>
      </c>
      <c r="M568" s="5" t="s">
        <v>43</v>
      </c>
      <c r="N568" s="5" t="s">
        <v>137</v>
      </c>
      <c r="O568" s="7">
        <v>89900</v>
      </c>
      <c r="P568" s="5" t="s">
        <v>45</v>
      </c>
      <c r="Q568" s="7">
        <v>89900</v>
      </c>
      <c r="R568" s="5" t="s">
        <v>45</v>
      </c>
      <c r="S568" s="7">
        <v>26456.74</v>
      </c>
      <c r="T568" s="5" t="s">
        <v>46</v>
      </c>
      <c r="U568" s="5" t="s">
        <v>47</v>
      </c>
      <c r="V568" s="5" t="s">
        <v>47</v>
      </c>
      <c r="W568" s="5" t="s">
        <v>47</v>
      </c>
      <c r="X568" s="5" t="s">
        <v>47</v>
      </c>
    </row>
    <row r="569" spans="1:24" x14ac:dyDescent="0.25">
      <c r="A569" s="5" t="s">
        <v>34</v>
      </c>
      <c r="B569" s="5" t="s">
        <v>189</v>
      </c>
      <c r="C569" s="5" t="s">
        <v>190</v>
      </c>
      <c r="D569" s="5" t="s">
        <v>37</v>
      </c>
      <c r="E569" s="5" t="s">
        <v>72</v>
      </c>
      <c r="F569" s="5" t="s">
        <v>73</v>
      </c>
      <c r="G569" s="5" t="s">
        <v>40</v>
      </c>
      <c r="H569" s="6">
        <v>45961</v>
      </c>
      <c r="I569" s="6">
        <v>45961</v>
      </c>
      <c r="J569" s="6">
        <v>45964</v>
      </c>
      <c r="K569" s="5" t="s">
        <v>135</v>
      </c>
      <c r="L569" s="5" t="s">
        <v>136</v>
      </c>
      <c r="M569" s="5" t="s">
        <v>43</v>
      </c>
      <c r="N569" s="5" t="s">
        <v>137</v>
      </c>
      <c r="O569" s="7">
        <v>17400</v>
      </c>
      <c r="P569" s="5" t="s">
        <v>45</v>
      </c>
      <c r="Q569" s="7">
        <v>17400</v>
      </c>
      <c r="R569" s="5" t="s">
        <v>45</v>
      </c>
      <c r="S569" s="7">
        <v>5120.66</v>
      </c>
      <c r="T569" s="5" t="s">
        <v>46</v>
      </c>
      <c r="U569" s="5" t="s">
        <v>47</v>
      </c>
      <c r="V569" s="5" t="s">
        <v>47</v>
      </c>
      <c r="W569" s="5" t="s">
        <v>47</v>
      </c>
      <c r="X569" s="5" t="s">
        <v>47</v>
      </c>
    </row>
    <row r="570" spans="1:24" x14ac:dyDescent="0.25">
      <c r="A570" s="5" t="s">
        <v>34</v>
      </c>
      <c r="B570" s="5" t="s">
        <v>189</v>
      </c>
      <c r="C570" s="5" t="s">
        <v>190</v>
      </c>
      <c r="D570" s="5" t="s">
        <v>37</v>
      </c>
      <c r="E570" s="5" t="s">
        <v>38</v>
      </c>
      <c r="F570" s="5" t="s">
        <v>39</v>
      </c>
      <c r="G570" s="5" t="s">
        <v>40</v>
      </c>
      <c r="H570" s="6">
        <v>45961</v>
      </c>
      <c r="I570" s="6">
        <v>45961</v>
      </c>
      <c r="J570" s="6">
        <v>45964</v>
      </c>
      <c r="K570" s="5" t="s">
        <v>135</v>
      </c>
      <c r="L570" s="5" t="s">
        <v>136</v>
      </c>
      <c r="M570" s="5" t="s">
        <v>43</v>
      </c>
      <c r="N570" s="5" t="s">
        <v>137</v>
      </c>
      <c r="O570" s="7">
        <v>75400</v>
      </c>
      <c r="P570" s="5" t="s">
        <v>45</v>
      </c>
      <c r="Q570" s="7">
        <v>75400</v>
      </c>
      <c r="R570" s="5" t="s">
        <v>45</v>
      </c>
      <c r="S570" s="7">
        <v>22189.52</v>
      </c>
      <c r="T570" s="5" t="s">
        <v>46</v>
      </c>
      <c r="U570" s="5" t="s">
        <v>47</v>
      </c>
      <c r="V570" s="5" t="s">
        <v>47</v>
      </c>
      <c r="W570" s="5" t="s">
        <v>47</v>
      </c>
      <c r="X570" s="5" t="s">
        <v>47</v>
      </c>
    </row>
    <row r="571" spans="1:24" x14ac:dyDescent="0.25">
      <c r="A571" s="5" t="s">
        <v>34</v>
      </c>
      <c r="B571" s="5" t="s">
        <v>189</v>
      </c>
      <c r="C571" s="5" t="s">
        <v>190</v>
      </c>
      <c r="D571" s="5" t="s">
        <v>37</v>
      </c>
      <c r="E571" s="5" t="s">
        <v>48</v>
      </c>
      <c r="F571" s="5" t="s">
        <v>49</v>
      </c>
      <c r="G571" s="5" t="s">
        <v>40</v>
      </c>
      <c r="H571" s="6">
        <v>45961</v>
      </c>
      <c r="I571" s="6">
        <v>45961</v>
      </c>
      <c r="J571" s="6">
        <v>45964</v>
      </c>
      <c r="K571" s="5" t="s">
        <v>135</v>
      </c>
      <c r="L571" s="5" t="s">
        <v>136</v>
      </c>
      <c r="M571" s="5" t="s">
        <v>43</v>
      </c>
      <c r="N571" s="5" t="s">
        <v>137</v>
      </c>
      <c r="O571" s="7">
        <v>113100</v>
      </c>
      <c r="P571" s="5" t="s">
        <v>45</v>
      </c>
      <c r="Q571" s="7">
        <v>113100</v>
      </c>
      <c r="R571" s="5" t="s">
        <v>45</v>
      </c>
      <c r="S571" s="7">
        <v>33284.28</v>
      </c>
      <c r="T571" s="5" t="s">
        <v>46</v>
      </c>
      <c r="U571" s="5" t="s">
        <v>47</v>
      </c>
      <c r="V571" s="5" t="s">
        <v>47</v>
      </c>
      <c r="W571" s="5" t="s">
        <v>47</v>
      </c>
      <c r="X571" s="5" t="s">
        <v>47</v>
      </c>
    </row>
    <row r="572" spans="1:24" x14ac:dyDescent="0.25">
      <c r="A572" s="5" t="s">
        <v>34</v>
      </c>
      <c r="B572" s="5" t="s">
        <v>189</v>
      </c>
      <c r="C572" s="5" t="s">
        <v>190</v>
      </c>
      <c r="D572" s="5" t="s">
        <v>37</v>
      </c>
      <c r="E572" s="5" t="s">
        <v>142</v>
      </c>
      <c r="F572" s="5" t="s">
        <v>143</v>
      </c>
      <c r="G572" s="5" t="s">
        <v>40</v>
      </c>
      <c r="H572" s="6">
        <v>45961</v>
      </c>
      <c r="I572" s="6">
        <v>45961</v>
      </c>
      <c r="J572" s="6">
        <v>45964</v>
      </c>
      <c r="K572" s="5" t="s">
        <v>135</v>
      </c>
      <c r="L572" s="5" t="s">
        <v>136</v>
      </c>
      <c r="M572" s="5" t="s">
        <v>43</v>
      </c>
      <c r="N572" s="5" t="s">
        <v>137</v>
      </c>
      <c r="O572" s="7">
        <v>2900</v>
      </c>
      <c r="P572" s="5" t="s">
        <v>45</v>
      </c>
      <c r="Q572" s="7">
        <v>2900</v>
      </c>
      <c r="R572" s="5" t="s">
        <v>45</v>
      </c>
      <c r="S572" s="7">
        <v>853.44</v>
      </c>
      <c r="T572" s="5" t="s">
        <v>46</v>
      </c>
      <c r="U572" s="5" t="s">
        <v>47</v>
      </c>
      <c r="V572" s="5" t="s">
        <v>47</v>
      </c>
      <c r="W572" s="5" t="s">
        <v>47</v>
      </c>
      <c r="X572" s="5" t="s">
        <v>47</v>
      </c>
    </row>
    <row r="573" spans="1:24" x14ac:dyDescent="0.25">
      <c r="A573" s="5" t="s">
        <v>34</v>
      </c>
      <c r="B573" s="5" t="s">
        <v>189</v>
      </c>
      <c r="C573" s="5" t="s">
        <v>190</v>
      </c>
      <c r="D573" s="5" t="s">
        <v>37</v>
      </c>
      <c r="E573" s="5" t="s">
        <v>106</v>
      </c>
      <c r="F573" s="5" t="s">
        <v>107</v>
      </c>
      <c r="G573" s="5" t="s">
        <v>40</v>
      </c>
      <c r="H573" s="6">
        <v>45961</v>
      </c>
      <c r="I573" s="6">
        <v>45961</v>
      </c>
      <c r="J573" s="6">
        <v>45964</v>
      </c>
      <c r="K573" s="5" t="s">
        <v>135</v>
      </c>
      <c r="L573" s="5" t="s">
        <v>136</v>
      </c>
      <c r="M573" s="5" t="s">
        <v>43</v>
      </c>
      <c r="N573" s="5" t="s">
        <v>137</v>
      </c>
      <c r="O573" s="7">
        <v>23200</v>
      </c>
      <c r="P573" s="5" t="s">
        <v>45</v>
      </c>
      <c r="Q573" s="7">
        <v>23200</v>
      </c>
      <c r="R573" s="5" t="s">
        <v>45</v>
      </c>
      <c r="S573" s="7">
        <v>6827.55</v>
      </c>
      <c r="T573" s="5" t="s">
        <v>46</v>
      </c>
      <c r="U573" s="5" t="s">
        <v>47</v>
      </c>
      <c r="V573" s="5" t="s">
        <v>47</v>
      </c>
      <c r="W573" s="5" t="s">
        <v>47</v>
      </c>
      <c r="X573" s="5" t="s">
        <v>47</v>
      </c>
    </row>
    <row r="574" spans="1:24" x14ac:dyDescent="0.25">
      <c r="A574" s="5" t="s">
        <v>34</v>
      </c>
      <c r="B574" s="5" t="s">
        <v>189</v>
      </c>
      <c r="C574" s="5" t="s">
        <v>190</v>
      </c>
      <c r="D574" s="5" t="s">
        <v>37</v>
      </c>
      <c r="E574" s="5" t="s">
        <v>74</v>
      </c>
      <c r="F574" s="5" t="s">
        <v>75</v>
      </c>
      <c r="G574" s="5" t="s">
        <v>40</v>
      </c>
      <c r="H574" s="6">
        <v>45961</v>
      </c>
      <c r="I574" s="6">
        <v>45961</v>
      </c>
      <c r="J574" s="6">
        <v>45964</v>
      </c>
      <c r="K574" s="5" t="s">
        <v>135</v>
      </c>
      <c r="L574" s="5" t="s">
        <v>136</v>
      </c>
      <c r="M574" s="5" t="s">
        <v>43</v>
      </c>
      <c r="N574" s="5" t="s">
        <v>137</v>
      </c>
      <c r="O574" s="7">
        <v>638000</v>
      </c>
      <c r="P574" s="5" t="s">
        <v>45</v>
      </c>
      <c r="Q574" s="7">
        <v>638000</v>
      </c>
      <c r="R574" s="5" t="s">
        <v>45</v>
      </c>
      <c r="S574" s="7">
        <v>187757.5</v>
      </c>
      <c r="T574" s="5" t="s">
        <v>46</v>
      </c>
      <c r="U574" s="5" t="s">
        <v>47</v>
      </c>
      <c r="V574" s="5" t="s">
        <v>47</v>
      </c>
      <c r="W574" s="5" t="s">
        <v>47</v>
      </c>
      <c r="X574" s="5" t="s">
        <v>47</v>
      </c>
    </row>
    <row r="575" spans="1:24" x14ac:dyDescent="0.25">
      <c r="A575" s="5" t="s">
        <v>34</v>
      </c>
      <c r="B575" s="5" t="s">
        <v>189</v>
      </c>
      <c r="C575" s="5" t="s">
        <v>190</v>
      </c>
      <c r="D575" s="5" t="s">
        <v>37</v>
      </c>
      <c r="E575" s="5" t="s">
        <v>60</v>
      </c>
      <c r="F575" s="5" t="s">
        <v>61</v>
      </c>
      <c r="G575" s="5" t="s">
        <v>40</v>
      </c>
      <c r="H575" s="6">
        <v>45961</v>
      </c>
      <c r="I575" s="6">
        <v>45961</v>
      </c>
      <c r="J575" s="6">
        <v>45964</v>
      </c>
      <c r="K575" s="5" t="s">
        <v>135</v>
      </c>
      <c r="L575" s="5" t="s">
        <v>136</v>
      </c>
      <c r="M575" s="5" t="s">
        <v>43</v>
      </c>
      <c r="N575" s="5" t="s">
        <v>137</v>
      </c>
      <c r="O575" s="7">
        <v>124700</v>
      </c>
      <c r="P575" s="5" t="s">
        <v>45</v>
      </c>
      <c r="Q575" s="7">
        <v>124700</v>
      </c>
      <c r="R575" s="5" t="s">
        <v>45</v>
      </c>
      <c r="S575" s="7">
        <v>36698.06</v>
      </c>
      <c r="T575" s="5" t="s">
        <v>46</v>
      </c>
      <c r="U575" s="5" t="s">
        <v>47</v>
      </c>
      <c r="V575" s="5" t="s">
        <v>47</v>
      </c>
      <c r="W575" s="5" t="s">
        <v>47</v>
      </c>
      <c r="X575" s="5" t="s">
        <v>47</v>
      </c>
    </row>
    <row r="576" spans="1:24" x14ac:dyDescent="0.25">
      <c r="A576" s="5" t="s">
        <v>34</v>
      </c>
      <c r="B576" s="5" t="s">
        <v>189</v>
      </c>
      <c r="C576" s="5" t="s">
        <v>190</v>
      </c>
      <c r="D576" s="5" t="s">
        <v>37</v>
      </c>
      <c r="E576" s="5" t="s">
        <v>68</v>
      </c>
      <c r="F576" s="5" t="s">
        <v>69</v>
      </c>
      <c r="G576" s="5" t="s">
        <v>40</v>
      </c>
      <c r="H576" s="6">
        <v>45961</v>
      </c>
      <c r="I576" s="6">
        <v>45961</v>
      </c>
      <c r="J576" s="6">
        <v>45964</v>
      </c>
      <c r="K576" s="5" t="s">
        <v>135</v>
      </c>
      <c r="L576" s="5" t="s">
        <v>136</v>
      </c>
      <c r="M576" s="5" t="s">
        <v>43</v>
      </c>
      <c r="N576" s="5" t="s">
        <v>137</v>
      </c>
      <c r="O576" s="7">
        <v>43500</v>
      </c>
      <c r="P576" s="5" t="s">
        <v>45</v>
      </c>
      <c r="Q576" s="7">
        <v>43500</v>
      </c>
      <c r="R576" s="5" t="s">
        <v>45</v>
      </c>
      <c r="S576" s="7">
        <v>12801.65</v>
      </c>
      <c r="T576" s="5" t="s">
        <v>46</v>
      </c>
      <c r="U576" s="5" t="s">
        <v>47</v>
      </c>
      <c r="V576" s="5" t="s">
        <v>47</v>
      </c>
      <c r="W576" s="5" t="s">
        <v>47</v>
      </c>
      <c r="X576" s="5" t="s">
        <v>47</v>
      </c>
    </row>
    <row r="577" spans="1:24" x14ac:dyDescent="0.25">
      <c r="A577" s="5" t="s">
        <v>34</v>
      </c>
      <c r="B577" s="5" t="s">
        <v>189</v>
      </c>
      <c r="C577" s="5" t="s">
        <v>190</v>
      </c>
      <c r="D577" s="5" t="s">
        <v>37</v>
      </c>
      <c r="E577" s="5" t="s">
        <v>84</v>
      </c>
      <c r="F577" s="5" t="s">
        <v>85</v>
      </c>
      <c r="G577" s="5" t="s">
        <v>40</v>
      </c>
      <c r="H577" s="6">
        <v>45961</v>
      </c>
      <c r="I577" s="6">
        <v>45961</v>
      </c>
      <c r="J577" s="6">
        <v>45964</v>
      </c>
      <c r="K577" s="5" t="s">
        <v>135</v>
      </c>
      <c r="L577" s="5" t="s">
        <v>136</v>
      </c>
      <c r="M577" s="5" t="s">
        <v>43</v>
      </c>
      <c r="N577" s="5" t="s">
        <v>137</v>
      </c>
      <c r="O577" s="7">
        <v>26100</v>
      </c>
      <c r="P577" s="5" t="s">
        <v>45</v>
      </c>
      <c r="Q577" s="7">
        <v>26100</v>
      </c>
      <c r="R577" s="5" t="s">
        <v>45</v>
      </c>
      <c r="S577" s="7">
        <v>7680.99</v>
      </c>
      <c r="T577" s="5" t="s">
        <v>46</v>
      </c>
      <c r="U577" s="5" t="s">
        <v>47</v>
      </c>
      <c r="V577" s="5" t="s">
        <v>47</v>
      </c>
      <c r="W577" s="5" t="s">
        <v>47</v>
      </c>
      <c r="X577" s="5" t="s">
        <v>47</v>
      </c>
    </row>
    <row r="578" spans="1:24" x14ac:dyDescent="0.25">
      <c r="A578" s="5" t="s">
        <v>34</v>
      </c>
      <c r="B578" s="5" t="s">
        <v>189</v>
      </c>
      <c r="C578" s="5" t="s">
        <v>190</v>
      </c>
      <c r="D578" s="5" t="s">
        <v>37</v>
      </c>
      <c r="E578" s="5" t="s">
        <v>92</v>
      </c>
      <c r="F578" s="5" t="s">
        <v>93</v>
      </c>
      <c r="G578" s="5" t="s">
        <v>40</v>
      </c>
      <c r="H578" s="6">
        <v>45961</v>
      </c>
      <c r="I578" s="6">
        <v>45961</v>
      </c>
      <c r="J578" s="6">
        <v>45964</v>
      </c>
      <c r="K578" s="5" t="s">
        <v>135</v>
      </c>
      <c r="L578" s="5" t="s">
        <v>136</v>
      </c>
      <c r="M578" s="5" t="s">
        <v>43</v>
      </c>
      <c r="N578" s="5" t="s">
        <v>137</v>
      </c>
      <c r="O578" s="7">
        <v>8700</v>
      </c>
      <c r="P578" s="5" t="s">
        <v>45</v>
      </c>
      <c r="Q578" s="7">
        <v>8700</v>
      </c>
      <c r="R578" s="5" t="s">
        <v>45</v>
      </c>
      <c r="S578" s="7">
        <v>2560.33</v>
      </c>
      <c r="T578" s="5" t="s">
        <v>46</v>
      </c>
      <c r="U578" s="5" t="s">
        <v>47</v>
      </c>
      <c r="V578" s="5" t="s">
        <v>47</v>
      </c>
      <c r="W578" s="5" t="s">
        <v>47</v>
      </c>
      <c r="X578" s="5" t="s">
        <v>47</v>
      </c>
    </row>
    <row r="579" spans="1:24" x14ac:dyDescent="0.25">
      <c r="A579" s="5" t="s">
        <v>34</v>
      </c>
      <c r="B579" s="5" t="s">
        <v>189</v>
      </c>
      <c r="C579" s="5" t="s">
        <v>190</v>
      </c>
      <c r="D579" s="5" t="s">
        <v>37</v>
      </c>
      <c r="E579" s="5" t="s">
        <v>110</v>
      </c>
      <c r="F579" s="5" t="s">
        <v>111</v>
      </c>
      <c r="G579" s="5" t="s">
        <v>40</v>
      </c>
      <c r="H579" s="6">
        <v>45961</v>
      </c>
      <c r="I579" s="6">
        <v>45961</v>
      </c>
      <c r="J579" s="6">
        <v>45964</v>
      </c>
      <c r="K579" s="5" t="s">
        <v>135</v>
      </c>
      <c r="L579" s="5" t="s">
        <v>136</v>
      </c>
      <c r="M579" s="5" t="s">
        <v>43</v>
      </c>
      <c r="N579" s="5" t="s">
        <v>137</v>
      </c>
      <c r="O579" s="7">
        <v>133400</v>
      </c>
      <c r="P579" s="5" t="s">
        <v>45</v>
      </c>
      <c r="Q579" s="7">
        <v>133400</v>
      </c>
      <c r="R579" s="5" t="s">
        <v>45</v>
      </c>
      <c r="S579" s="7">
        <v>39258.39</v>
      </c>
      <c r="T579" s="5" t="s">
        <v>46</v>
      </c>
      <c r="U579" s="5" t="s">
        <v>47</v>
      </c>
      <c r="V579" s="5" t="s">
        <v>47</v>
      </c>
      <c r="W579" s="5" t="s">
        <v>47</v>
      </c>
      <c r="X579" s="5" t="s">
        <v>47</v>
      </c>
    </row>
    <row r="580" spans="1:24" x14ac:dyDescent="0.25">
      <c r="A580" s="5" t="s">
        <v>34</v>
      </c>
      <c r="B580" s="5" t="s">
        <v>189</v>
      </c>
      <c r="C580" s="5" t="s">
        <v>190</v>
      </c>
      <c r="D580" s="5" t="s">
        <v>37</v>
      </c>
      <c r="E580" s="5" t="s">
        <v>122</v>
      </c>
      <c r="F580" s="5" t="s">
        <v>123</v>
      </c>
      <c r="G580" s="5" t="s">
        <v>40</v>
      </c>
      <c r="H580" s="6">
        <v>45961</v>
      </c>
      <c r="I580" s="6">
        <v>45961</v>
      </c>
      <c r="J580" s="6">
        <v>45964</v>
      </c>
      <c r="K580" s="5" t="s">
        <v>135</v>
      </c>
      <c r="L580" s="5" t="s">
        <v>136</v>
      </c>
      <c r="M580" s="5" t="s">
        <v>43</v>
      </c>
      <c r="N580" s="5" t="s">
        <v>137</v>
      </c>
      <c r="O580" s="7">
        <v>2900</v>
      </c>
      <c r="P580" s="5" t="s">
        <v>45</v>
      </c>
      <c r="Q580" s="7">
        <v>2900</v>
      </c>
      <c r="R580" s="5" t="s">
        <v>45</v>
      </c>
      <c r="S580" s="7">
        <v>853.44</v>
      </c>
      <c r="T580" s="5" t="s">
        <v>46</v>
      </c>
      <c r="U580" s="5" t="s">
        <v>47</v>
      </c>
      <c r="V580" s="5" t="s">
        <v>47</v>
      </c>
      <c r="W580" s="5" t="s">
        <v>47</v>
      </c>
      <c r="X580" s="5" t="s">
        <v>47</v>
      </c>
    </row>
    <row r="581" spans="1:24" x14ac:dyDescent="0.25">
      <c r="A581" s="5" t="s">
        <v>34</v>
      </c>
      <c r="B581" s="5" t="s">
        <v>189</v>
      </c>
      <c r="C581" s="5" t="s">
        <v>190</v>
      </c>
      <c r="D581" s="5" t="s">
        <v>37</v>
      </c>
      <c r="E581" s="5" t="s">
        <v>142</v>
      </c>
      <c r="F581" s="5" t="s">
        <v>143</v>
      </c>
      <c r="G581" s="5" t="s">
        <v>40</v>
      </c>
      <c r="H581" s="6">
        <v>45961</v>
      </c>
      <c r="I581" s="6">
        <v>45961</v>
      </c>
      <c r="J581" s="6">
        <v>45961</v>
      </c>
      <c r="K581" s="5" t="s">
        <v>144</v>
      </c>
      <c r="L581" s="5" t="s">
        <v>145</v>
      </c>
      <c r="M581" s="5" t="s">
        <v>43</v>
      </c>
      <c r="N581" s="5" t="s">
        <v>146</v>
      </c>
      <c r="O581" s="7">
        <v>2900</v>
      </c>
      <c r="P581" s="5" t="s">
        <v>45</v>
      </c>
      <c r="Q581" s="7">
        <v>2900</v>
      </c>
      <c r="R581" s="5" t="s">
        <v>45</v>
      </c>
      <c r="S581" s="7">
        <v>853.44</v>
      </c>
      <c r="T581" s="5" t="s">
        <v>46</v>
      </c>
      <c r="U581" s="5" t="s">
        <v>47</v>
      </c>
      <c r="V581" s="5" t="s">
        <v>47</v>
      </c>
      <c r="W581" s="5" t="s">
        <v>47</v>
      </c>
      <c r="X581" s="5" t="s">
        <v>47</v>
      </c>
    </row>
    <row r="582" spans="1:24" x14ac:dyDescent="0.25">
      <c r="A582" s="5" t="s">
        <v>34</v>
      </c>
      <c r="B582" s="5" t="s">
        <v>189</v>
      </c>
      <c r="C582" s="5" t="s">
        <v>190</v>
      </c>
      <c r="D582" s="5" t="s">
        <v>37</v>
      </c>
      <c r="E582" s="5" t="s">
        <v>96</v>
      </c>
      <c r="F582" s="5" t="s">
        <v>97</v>
      </c>
      <c r="G582" s="5" t="s">
        <v>40</v>
      </c>
      <c r="H582" s="6">
        <v>45961</v>
      </c>
      <c r="I582" s="6">
        <v>45961</v>
      </c>
      <c r="J582" s="6">
        <v>45964</v>
      </c>
      <c r="K582" s="5" t="s">
        <v>135</v>
      </c>
      <c r="L582" s="5" t="s">
        <v>136</v>
      </c>
      <c r="M582" s="5" t="s">
        <v>43</v>
      </c>
      <c r="N582" s="5" t="s">
        <v>137</v>
      </c>
      <c r="O582" s="7">
        <v>627850</v>
      </c>
      <c r="P582" s="5" t="s">
        <v>45</v>
      </c>
      <c r="Q582" s="7">
        <v>627850</v>
      </c>
      <c r="R582" s="5" t="s">
        <v>45</v>
      </c>
      <c r="S582" s="7">
        <v>184770.45</v>
      </c>
      <c r="T582" s="5" t="s">
        <v>46</v>
      </c>
      <c r="U582" s="5" t="s">
        <v>47</v>
      </c>
      <c r="V582" s="5" t="s">
        <v>47</v>
      </c>
      <c r="W582" s="5" t="s">
        <v>47</v>
      </c>
      <c r="X582" s="5" t="s">
        <v>47</v>
      </c>
    </row>
    <row r="583" spans="1:24" x14ac:dyDescent="0.25">
      <c r="A583" s="5" t="s">
        <v>34</v>
      </c>
      <c r="B583" s="5" t="s">
        <v>189</v>
      </c>
      <c r="C583" s="5" t="s">
        <v>190</v>
      </c>
      <c r="D583" s="5" t="s">
        <v>37</v>
      </c>
      <c r="E583" s="5" t="s">
        <v>64</v>
      </c>
      <c r="F583" s="5" t="s">
        <v>65</v>
      </c>
      <c r="G583" s="5" t="s">
        <v>40</v>
      </c>
      <c r="H583" s="6">
        <v>45961</v>
      </c>
      <c r="I583" s="6">
        <v>45961</v>
      </c>
      <c r="J583" s="6">
        <v>45964</v>
      </c>
      <c r="K583" s="5" t="s">
        <v>135</v>
      </c>
      <c r="L583" s="5" t="s">
        <v>136</v>
      </c>
      <c r="M583" s="5" t="s">
        <v>43</v>
      </c>
      <c r="N583" s="5" t="s">
        <v>137</v>
      </c>
      <c r="O583" s="7">
        <v>72500</v>
      </c>
      <c r="P583" s="5" t="s">
        <v>45</v>
      </c>
      <c r="Q583" s="7">
        <v>72500</v>
      </c>
      <c r="R583" s="5" t="s">
        <v>45</v>
      </c>
      <c r="S583" s="7">
        <v>21336.080000000002</v>
      </c>
      <c r="T583" s="5" t="s">
        <v>46</v>
      </c>
      <c r="U583" s="5" t="s">
        <v>47</v>
      </c>
      <c r="V583" s="5" t="s">
        <v>47</v>
      </c>
      <c r="W583" s="5" t="s">
        <v>47</v>
      </c>
      <c r="X583" s="5" t="s">
        <v>47</v>
      </c>
    </row>
    <row r="584" spans="1:24" x14ac:dyDescent="0.25">
      <c r="A584" s="5" t="s">
        <v>34</v>
      </c>
      <c r="B584" s="5" t="s">
        <v>189</v>
      </c>
      <c r="C584" s="5" t="s">
        <v>190</v>
      </c>
      <c r="D584" s="5" t="s">
        <v>37</v>
      </c>
      <c r="E584" s="5" t="s">
        <v>118</v>
      </c>
      <c r="F584" s="5" t="s">
        <v>119</v>
      </c>
      <c r="G584" s="5" t="s">
        <v>40</v>
      </c>
      <c r="H584" s="6">
        <v>45961</v>
      </c>
      <c r="I584" s="6">
        <v>45961</v>
      </c>
      <c r="J584" s="6">
        <v>45964</v>
      </c>
      <c r="K584" s="5" t="s">
        <v>135</v>
      </c>
      <c r="L584" s="5" t="s">
        <v>136</v>
      </c>
      <c r="M584" s="5" t="s">
        <v>43</v>
      </c>
      <c r="N584" s="5" t="s">
        <v>137</v>
      </c>
      <c r="O584" s="7">
        <v>101500</v>
      </c>
      <c r="P584" s="5" t="s">
        <v>45</v>
      </c>
      <c r="Q584" s="7">
        <v>101500</v>
      </c>
      <c r="R584" s="5" t="s">
        <v>45</v>
      </c>
      <c r="S584" s="7">
        <v>29870.51</v>
      </c>
      <c r="T584" s="5" t="s">
        <v>46</v>
      </c>
      <c r="U584" s="5" t="s">
        <v>47</v>
      </c>
      <c r="V584" s="5" t="s">
        <v>47</v>
      </c>
      <c r="W584" s="5" t="s">
        <v>47</v>
      </c>
      <c r="X584" s="5" t="s">
        <v>47</v>
      </c>
    </row>
    <row r="585" spans="1:24" x14ac:dyDescent="0.25">
      <c r="A585" s="5" t="s">
        <v>34</v>
      </c>
      <c r="B585" s="5" t="s">
        <v>189</v>
      </c>
      <c r="C585" s="5" t="s">
        <v>190</v>
      </c>
      <c r="D585" s="5" t="s">
        <v>37</v>
      </c>
      <c r="E585" s="5" t="s">
        <v>82</v>
      </c>
      <c r="F585" s="5" t="s">
        <v>83</v>
      </c>
      <c r="G585" s="5" t="s">
        <v>40</v>
      </c>
      <c r="H585" s="6">
        <v>45961</v>
      </c>
      <c r="I585" s="6">
        <v>45961</v>
      </c>
      <c r="J585" s="6">
        <v>45964</v>
      </c>
      <c r="K585" s="5" t="s">
        <v>135</v>
      </c>
      <c r="L585" s="5" t="s">
        <v>136</v>
      </c>
      <c r="M585" s="5" t="s">
        <v>43</v>
      </c>
      <c r="N585" s="5" t="s">
        <v>137</v>
      </c>
      <c r="O585" s="7">
        <v>113100</v>
      </c>
      <c r="P585" s="5" t="s">
        <v>45</v>
      </c>
      <c r="Q585" s="7">
        <v>113100</v>
      </c>
      <c r="R585" s="5" t="s">
        <v>45</v>
      </c>
      <c r="S585" s="7">
        <v>33284.28</v>
      </c>
      <c r="T585" s="5" t="s">
        <v>46</v>
      </c>
      <c r="U585" s="5" t="s">
        <v>47</v>
      </c>
      <c r="V585" s="5" t="s">
        <v>47</v>
      </c>
      <c r="W585" s="5" t="s">
        <v>47</v>
      </c>
      <c r="X585" s="5" t="s">
        <v>47</v>
      </c>
    </row>
    <row r="586" spans="1:24" x14ac:dyDescent="0.25">
      <c r="A586" s="5" t="s">
        <v>34</v>
      </c>
      <c r="B586" s="5" t="s">
        <v>189</v>
      </c>
      <c r="C586" s="5" t="s">
        <v>190</v>
      </c>
      <c r="D586" s="5" t="s">
        <v>37</v>
      </c>
      <c r="E586" s="5" t="s">
        <v>110</v>
      </c>
      <c r="F586" s="5" t="s">
        <v>111</v>
      </c>
      <c r="G586" s="5" t="s">
        <v>40</v>
      </c>
      <c r="H586" s="6">
        <v>45961</v>
      </c>
      <c r="I586" s="6">
        <v>45961</v>
      </c>
      <c r="J586" s="6">
        <v>45960</v>
      </c>
      <c r="K586" s="5" t="s">
        <v>150</v>
      </c>
      <c r="L586" s="5" t="s">
        <v>151</v>
      </c>
      <c r="M586" s="5" t="s">
        <v>43</v>
      </c>
      <c r="N586" s="5" t="s">
        <v>152</v>
      </c>
      <c r="O586" s="7">
        <v>2900</v>
      </c>
      <c r="P586" s="5" t="s">
        <v>45</v>
      </c>
      <c r="Q586" s="7">
        <v>2900</v>
      </c>
      <c r="R586" s="5" t="s">
        <v>45</v>
      </c>
      <c r="S586" s="7">
        <v>854.45</v>
      </c>
      <c r="T586" s="5" t="s">
        <v>46</v>
      </c>
      <c r="U586" s="5" t="s">
        <v>47</v>
      </c>
      <c r="V586" s="5" t="s">
        <v>47</v>
      </c>
      <c r="W586" s="5" t="s">
        <v>47</v>
      </c>
      <c r="X586" s="5" t="s">
        <v>47</v>
      </c>
    </row>
    <row r="587" spans="1:24" x14ac:dyDescent="0.25">
      <c r="A587" s="5" t="s">
        <v>34</v>
      </c>
      <c r="B587" s="5" t="s">
        <v>189</v>
      </c>
      <c r="C587" s="5" t="s">
        <v>190</v>
      </c>
      <c r="D587" s="5" t="s">
        <v>37</v>
      </c>
      <c r="E587" s="5" t="s">
        <v>86</v>
      </c>
      <c r="F587" s="5" t="s">
        <v>87</v>
      </c>
      <c r="G587" s="5" t="s">
        <v>40</v>
      </c>
      <c r="H587" s="6">
        <v>45961</v>
      </c>
      <c r="I587" s="6">
        <v>45961</v>
      </c>
      <c r="J587" s="6">
        <v>45964</v>
      </c>
      <c r="K587" s="5" t="s">
        <v>135</v>
      </c>
      <c r="L587" s="5" t="s">
        <v>136</v>
      </c>
      <c r="M587" s="5" t="s">
        <v>43</v>
      </c>
      <c r="N587" s="5" t="s">
        <v>137</v>
      </c>
      <c r="O587" s="7">
        <v>188500</v>
      </c>
      <c r="P587" s="5" t="s">
        <v>45</v>
      </c>
      <c r="Q587" s="7">
        <v>188500</v>
      </c>
      <c r="R587" s="5" t="s">
        <v>45</v>
      </c>
      <c r="S587" s="7">
        <v>55473.81</v>
      </c>
      <c r="T587" s="5" t="s">
        <v>46</v>
      </c>
      <c r="U587" s="5" t="s">
        <v>47</v>
      </c>
      <c r="V587" s="5" t="s">
        <v>47</v>
      </c>
      <c r="W587" s="5" t="s">
        <v>47</v>
      </c>
      <c r="X587" s="5" t="s">
        <v>47</v>
      </c>
    </row>
    <row r="588" spans="1:24" x14ac:dyDescent="0.25">
      <c r="A588" s="5" t="s">
        <v>34</v>
      </c>
      <c r="B588" s="5" t="s">
        <v>189</v>
      </c>
      <c r="C588" s="5" t="s">
        <v>190</v>
      </c>
      <c r="D588" s="5" t="s">
        <v>37</v>
      </c>
      <c r="E588" s="5" t="s">
        <v>104</v>
      </c>
      <c r="F588" s="5" t="s">
        <v>105</v>
      </c>
      <c r="G588" s="5" t="s">
        <v>40</v>
      </c>
      <c r="H588" s="6">
        <v>45961</v>
      </c>
      <c r="I588" s="6">
        <v>45961</v>
      </c>
      <c r="J588" s="6">
        <v>45964</v>
      </c>
      <c r="K588" s="5" t="s">
        <v>135</v>
      </c>
      <c r="L588" s="5" t="s">
        <v>136</v>
      </c>
      <c r="M588" s="5" t="s">
        <v>43</v>
      </c>
      <c r="N588" s="5" t="s">
        <v>137</v>
      </c>
      <c r="O588" s="7">
        <v>63800</v>
      </c>
      <c r="P588" s="5" t="s">
        <v>45</v>
      </c>
      <c r="Q588" s="7">
        <v>63800</v>
      </c>
      <c r="R588" s="5" t="s">
        <v>45</v>
      </c>
      <c r="S588" s="7">
        <v>18775.75</v>
      </c>
      <c r="T588" s="5" t="s">
        <v>46</v>
      </c>
      <c r="U588" s="5" t="s">
        <v>47</v>
      </c>
      <c r="V588" s="5" t="s">
        <v>47</v>
      </c>
      <c r="W588" s="5" t="s">
        <v>47</v>
      </c>
      <c r="X588" s="5" t="s">
        <v>47</v>
      </c>
    </row>
    <row r="589" spans="1:24" x14ac:dyDescent="0.25">
      <c r="A589" s="5" t="s">
        <v>34</v>
      </c>
      <c r="B589" s="5" t="s">
        <v>189</v>
      </c>
      <c r="C589" s="5" t="s">
        <v>190</v>
      </c>
      <c r="D589" s="5" t="s">
        <v>37</v>
      </c>
      <c r="E589" s="5" t="s">
        <v>62</v>
      </c>
      <c r="F589" s="5" t="s">
        <v>63</v>
      </c>
      <c r="G589" s="5" t="s">
        <v>40</v>
      </c>
      <c r="H589" s="6">
        <v>45961</v>
      </c>
      <c r="I589" s="6">
        <v>45961</v>
      </c>
      <c r="J589" s="6">
        <v>45964</v>
      </c>
      <c r="K589" s="5" t="s">
        <v>135</v>
      </c>
      <c r="L589" s="5" t="s">
        <v>136</v>
      </c>
      <c r="M589" s="5" t="s">
        <v>43</v>
      </c>
      <c r="N589" s="5" t="s">
        <v>137</v>
      </c>
      <c r="O589" s="7">
        <v>72500</v>
      </c>
      <c r="P589" s="5" t="s">
        <v>45</v>
      </c>
      <c r="Q589" s="7">
        <v>72500</v>
      </c>
      <c r="R589" s="5" t="s">
        <v>45</v>
      </c>
      <c r="S589" s="7">
        <v>21336.080000000002</v>
      </c>
      <c r="T589" s="5" t="s">
        <v>46</v>
      </c>
      <c r="U589" s="5" t="s">
        <v>47</v>
      </c>
      <c r="V589" s="5" t="s">
        <v>47</v>
      </c>
      <c r="W589" s="5" t="s">
        <v>47</v>
      </c>
      <c r="X589" s="5" t="s">
        <v>47</v>
      </c>
    </row>
    <row r="590" spans="1:24" x14ac:dyDescent="0.25">
      <c r="A590" s="5" t="s">
        <v>34</v>
      </c>
      <c r="B590" s="5" t="s">
        <v>189</v>
      </c>
      <c r="C590" s="5" t="s">
        <v>190</v>
      </c>
      <c r="D590" s="5" t="s">
        <v>37</v>
      </c>
      <c r="E590" s="5" t="s">
        <v>58</v>
      </c>
      <c r="F590" s="5" t="s">
        <v>59</v>
      </c>
      <c r="G590" s="5" t="s">
        <v>40</v>
      </c>
      <c r="H590" s="6">
        <v>45961</v>
      </c>
      <c r="I590" s="6">
        <v>45961</v>
      </c>
      <c r="J590" s="6">
        <v>45964</v>
      </c>
      <c r="K590" s="5" t="s">
        <v>135</v>
      </c>
      <c r="L590" s="5" t="s">
        <v>136</v>
      </c>
      <c r="M590" s="5" t="s">
        <v>43</v>
      </c>
      <c r="N590" s="5" t="s">
        <v>137</v>
      </c>
      <c r="O590" s="7">
        <v>5800</v>
      </c>
      <c r="P590" s="5" t="s">
        <v>45</v>
      </c>
      <c r="Q590" s="7">
        <v>5800</v>
      </c>
      <c r="R590" s="5" t="s">
        <v>45</v>
      </c>
      <c r="S590" s="7">
        <v>1706.89</v>
      </c>
      <c r="T590" s="5" t="s">
        <v>46</v>
      </c>
      <c r="U590" s="5" t="s">
        <v>47</v>
      </c>
      <c r="V590" s="5" t="s">
        <v>47</v>
      </c>
      <c r="W590" s="5" t="s">
        <v>47</v>
      </c>
      <c r="X590" s="5" t="s">
        <v>47</v>
      </c>
    </row>
    <row r="591" spans="1:24" x14ac:dyDescent="0.25">
      <c r="A591" s="5" t="s">
        <v>34</v>
      </c>
      <c r="B591" s="5" t="s">
        <v>189</v>
      </c>
      <c r="C591" s="5" t="s">
        <v>190</v>
      </c>
      <c r="D591" s="5" t="s">
        <v>37</v>
      </c>
      <c r="E591" s="5" t="s">
        <v>100</v>
      </c>
      <c r="F591" s="5" t="s">
        <v>101</v>
      </c>
      <c r="G591" s="5" t="s">
        <v>40</v>
      </c>
      <c r="H591" s="6">
        <v>45961</v>
      </c>
      <c r="I591" s="6">
        <v>45961</v>
      </c>
      <c r="J591" s="6">
        <v>45964</v>
      </c>
      <c r="K591" s="5" t="s">
        <v>135</v>
      </c>
      <c r="L591" s="5" t="s">
        <v>136</v>
      </c>
      <c r="M591" s="5" t="s">
        <v>43</v>
      </c>
      <c r="N591" s="5" t="s">
        <v>137</v>
      </c>
      <c r="O591" s="7">
        <v>52200</v>
      </c>
      <c r="P591" s="5" t="s">
        <v>45</v>
      </c>
      <c r="Q591" s="7">
        <v>52200</v>
      </c>
      <c r="R591" s="5" t="s">
        <v>45</v>
      </c>
      <c r="S591" s="7">
        <v>15361.98</v>
      </c>
      <c r="T591" s="5" t="s">
        <v>46</v>
      </c>
      <c r="U591" s="5" t="s">
        <v>47</v>
      </c>
      <c r="V591" s="5" t="s">
        <v>47</v>
      </c>
      <c r="W591" s="5" t="s">
        <v>47</v>
      </c>
      <c r="X591" s="5" t="s">
        <v>47</v>
      </c>
    </row>
    <row r="592" spans="1:24" x14ac:dyDescent="0.25">
      <c r="A592" s="5" t="s">
        <v>34</v>
      </c>
      <c r="B592" s="5" t="s">
        <v>189</v>
      </c>
      <c r="C592" s="5" t="s">
        <v>190</v>
      </c>
      <c r="D592" s="5" t="s">
        <v>37</v>
      </c>
      <c r="E592" s="5" t="s">
        <v>102</v>
      </c>
      <c r="F592" s="5" t="s">
        <v>103</v>
      </c>
      <c r="G592" s="5" t="s">
        <v>40</v>
      </c>
      <c r="H592" s="6">
        <v>45961</v>
      </c>
      <c r="I592" s="6">
        <v>45961</v>
      </c>
      <c r="J592" s="6">
        <v>45964</v>
      </c>
      <c r="K592" s="5" t="s">
        <v>135</v>
      </c>
      <c r="L592" s="5" t="s">
        <v>136</v>
      </c>
      <c r="M592" s="5" t="s">
        <v>43</v>
      </c>
      <c r="N592" s="5" t="s">
        <v>137</v>
      </c>
      <c r="O592" s="7">
        <v>258100</v>
      </c>
      <c r="P592" s="5" t="s">
        <v>45</v>
      </c>
      <c r="Q592" s="7">
        <v>258100</v>
      </c>
      <c r="R592" s="5" t="s">
        <v>45</v>
      </c>
      <c r="S592" s="7">
        <v>75956.44</v>
      </c>
      <c r="T592" s="5" t="s">
        <v>46</v>
      </c>
      <c r="U592" s="5" t="s">
        <v>47</v>
      </c>
      <c r="V592" s="5" t="s">
        <v>47</v>
      </c>
      <c r="W592" s="5" t="s">
        <v>47</v>
      </c>
      <c r="X592" s="5" t="s">
        <v>47</v>
      </c>
    </row>
    <row r="593" spans="1:24" x14ac:dyDescent="0.25">
      <c r="A593" s="5" t="s">
        <v>34</v>
      </c>
      <c r="B593" s="5" t="s">
        <v>189</v>
      </c>
      <c r="C593" s="5" t="s">
        <v>190</v>
      </c>
      <c r="D593" s="5" t="s">
        <v>37</v>
      </c>
      <c r="E593" s="5" t="s">
        <v>52</v>
      </c>
      <c r="F593" s="5" t="s">
        <v>53</v>
      </c>
      <c r="G593" s="5" t="s">
        <v>40</v>
      </c>
      <c r="H593" s="6">
        <v>45961</v>
      </c>
      <c r="I593" s="6">
        <v>45961</v>
      </c>
      <c r="J593" s="6">
        <v>45964</v>
      </c>
      <c r="K593" s="5" t="s">
        <v>135</v>
      </c>
      <c r="L593" s="5" t="s">
        <v>136</v>
      </c>
      <c r="M593" s="5" t="s">
        <v>43</v>
      </c>
      <c r="N593" s="5" t="s">
        <v>137</v>
      </c>
      <c r="O593" s="7">
        <v>8700</v>
      </c>
      <c r="P593" s="5" t="s">
        <v>45</v>
      </c>
      <c r="Q593" s="7">
        <v>8700</v>
      </c>
      <c r="R593" s="5" t="s">
        <v>45</v>
      </c>
      <c r="S593" s="7">
        <v>2560.33</v>
      </c>
      <c r="T593" s="5" t="s">
        <v>46</v>
      </c>
      <c r="U593" s="5" t="s">
        <v>47</v>
      </c>
      <c r="V593" s="5" t="s">
        <v>47</v>
      </c>
      <c r="W593" s="5" t="s">
        <v>47</v>
      </c>
      <c r="X593" s="5" t="s">
        <v>47</v>
      </c>
    </row>
    <row r="594" spans="1:24" x14ac:dyDescent="0.25">
      <c r="A594" s="5" t="s">
        <v>34</v>
      </c>
      <c r="B594" s="5" t="s">
        <v>189</v>
      </c>
      <c r="C594" s="5" t="s">
        <v>190</v>
      </c>
      <c r="D594" s="5" t="s">
        <v>37</v>
      </c>
      <c r="E594" s="5" t="s">
        <v>70</v>
      </c>
      <c r="F594" s="5" t="s">
        <v>71</v>
      </c>
      <c r="G594" s="5" t="s">
        <v>40</v>
      </c>
      <c r="H594" s="6">
        <v>45961</v>
      </c>
      <c r="I594" s="6">
        <v>45961</v>
      </c>
      <c r="J594" s="6">
        <v>45964</v>
      </c>
      <c r="K594" s="5" t="s">
        <v>135</v>
      </c>
      <c r="L594" s="5" t="s">
        <v>136</v>
      </c>
      <c r="M594" s="5" t="s">
        <v>43</v>
      </c>
      <c r="N594" s="5" t="s">
        <v>137</v>
      </c>
      <c r="O594" s="7">
        <v>17400</v>
      </c>
      <c r="P594" s="5" t="s">
        <v>45</v>
      </c>
      <c r="Q594" s="7">
        <v>17400</v>
      </c>
      <c r="R594" s="5" t="s">
        <v>45</v>
      </c>
      <c r="S594" s="7">
        <v>5120.66</v>
      </c>
      <c r="T594" s="5" t="s">
        <v>46</v>
      </c>
      <c r="U594" s="5" t="s">
        <v>47</v>
      </c>
      <c r="V594" s="5" t="s">
        <v>47</v>
      </c>
      <c r="W594" s="5" t="s">
        <v>47</v>
      </c>
      <c r="X594" s="5" t="s">
        <v>47</v>
      </c>
    </row>
    <row r="595" spans="1:24" x14ac:dyDescent="0.25">
      <c r="A595" s="5" t="s">
        <v>34</v>
      </c>
      <c r="B595" s="5" t="s">
        <v>191</v>
      </c>
      <c r="C595" s="5" t="s">
        <v>192</v>
      </c>
      <c r="D595" s="5" t="s">
        <v>37</v>
      </c>
      <c r="E595" s="5" t="s">
        <v>110</v>
      </c>
      <c r="F595" s="5" t="s">
        <v>111</v>
      </c>
      <c r="G595" s="5" t="s">
        <v>40</v>
      </c>
      <c r="H595" s="6">
        <v>45961</v>
      </c>
      <c r="I595" s="6">
        <v>45961</v>
      </c>
      <c r="J595" s="6">
        <v>45964</v>
      </c>
      <c r="K595" s="5" t="s">
        <v>135</v>
      </c>
      <c r="L595" s="5" t="s">
        <v>136</v>
      </c>
      <c r="M595" s="5" t="s">
        <v>43</v>
      </c>
      <c r="N595" s="5" t="s">
        <v>137</v>
      </c>
      <c r="O595" s="7">
        <v>433</v>
      </c>
      <c r="P595" s="5" t="s">
        <v>45</v>
      </c>
      <c r="Q595" s="7">
        <v>433</v>
      </c>
      <c r="R595" s="5" t="s">
        <v>45</v>
      </c>
      <c r="S595" s="7">
        <v>127.43</v>
      </c>
      <c r="T595" s="5" t="s">
        <v>46</v>
      </c>
      <c r="U595" s="5" t="s">
        <v>47</v>
      </c>
      <c r="V595" s="5" t="s">
        <v>47</v>
      </c>
      <c r="W595" s="5" t="s">
        <v>47</v>
      </c>
      <c r="X595" s="5" t="s">
        <v>47</v>
      </c>
    </row>
    <row r="596" spans="1:24" x14ac:dyDescent="0.25">
      <c r="A596" s="5" t="s">
        <v>34</v>
      </c>
      <c r="B596" s="5" t="s">
        <v>191</v>
      </c>
      <c r="C596" s="5" t="s">
        <v>192</v>
      </c>
      <c r="D596" s="5" t="s">
        <v>37</v>
      </c>
      <c r="E596" s="5" t="s">
        <v>102</v>
      </c>
      <c r="F596" s="5" t="s">
        <v>103</v>
      </c>
      <c r="G596" s="5" t="s">
        <v>40</v>
      </c>
      <c r="H596" s="6">
        <v>45961</v>
      </c>
      <c r="I596" s="6">
        <v>45961</v>
      </c>
      <c r="J596" s="6">
        <v>45964</v>
      </c>
      <c r="K596" s="5" t="s">
        <v>135</v>
      </c>
      <c r="L596" s="5" t="s">
        <v>136</v>
      </c>
      <c r="M596" s="5" t="s">
        <v>43</v>
      </c>
      <c r="N596" s="5" t="s">
        <v>137</v>
      </c>
      <c r="O596" s="7">
        <v>4</v>
      </c>
      <c r="P596" s="5" t="s">
        <v>45</v>
      </c>
      <c r="Q596" s="7">
        <v>4</v>
      </c>
      <c r="R596" s="5" t="s">
        <v>45</v>
      </c>
      <c r="S596" s="7">
        <v>1.18</v>
      </c>
      <c r="T596" s="5" t="s">
        <v>46</v>
      </c>
      <c r="U596" s="5" t="s">
        <v>47</v>
      </c>
      <c r="V596" s="5" t="s">
        <v>47</v>
      </c>
      <c r="W596" s="5" t="s">
        <v>47</v>
      </c>
      <c r="X596" s="5" t="s">
        <v>47</v>
      </c>
    </row>
    <row r="597" spans="1:24" x14ac:dyDescent="0.25">
      <c r="A597" s="5" t="s">
        <v>34</v>
      </c>
      <c r="B597" s="5" t="s">
        <v>191</v>
      </c>
      <c r="C597" s="5" t="s">
        <v>192</v>
      </c>
      <c r="D597" s="5" t="s">
        <v>37</v>
      </c>
      <c r="E597" s="5" t="s">
        <v>50</v>
      </c>
      <c r="F597" s="5" t="s">
        <v>51</v>
      </c>
      <c r="G597" s="5" t="s">
        <v>40</v>
      </c>
      <c r="H597" s="6">
        <v>45961</v>
      </c>
      <c r="I597" s="6">
        <v>45961</v>
      </c>
      <c r="J597" s="6">
        <v>45964</v>
      </c>
      <c r="K597" s="5" t="s">
        <v>135</v>
      </c>
      <c r="L597" s="5" t="s">
        <v>136</v>
      </c>
      <c r="M597" s="5" t="s">
        <v>43</v>
      </c>
      <c r="N597" s="5" t="s">
        <v>137</v>
      </c>
      <c r="O597" s="7">
        <v>187</v>
      </c>
      <c r="P597" s="5" t="s">
        <v>45</v>
      </c>
      <c r="Q597" s="7">
        <v>187</v>
      </c>
      <c r="R597" s="5" t="s">
        <v>45</v>
      </c>
      <c r="S597" s="7">
        <v>55.03</v>
      </c>
      <c r="T597" s="5" t="s">
        <v>46</v>
      </c>
      <c r="U597" s="5" t="s">
        <v>47</v>
      </c>
      <c r="V597" s="5" t="s">
        <v>47</v>
      </c>
      <c r="W597" s="5" t="s">
        <v>47</v>
      </c>
      <c r="X597" s="5" t="s">
        <v>47</v>
      </c>
    </row>
    <row r="598" spans="1:24" x14ac:dyDescent="0.25">
      <c r="A598" s="5" t="s">
        <v>34</v>
      </c>
      <c r="B598" s="5" t="s">
        <v>191</v>
      </c>
      <c r="C598" s="5" t="s">
        <v>192</v>
      </c>
      <c r="D598" s="5" t="s">
        <v>37</v>
      </c>
      <c r="E598" s="5" t="s">
        <v>62</v>
      </c>
      <c r="F598" s="5" t="s">
        <v>63</v>
      </c>
      <c r="G598" s="5" t="s">
        <v>40</v>
      </c>
      <c r="H598" s="6">
        <v>45961</v>
      </c>
      <c r="I598" s="6">
        <v>45961</v>
      </c>
      <c r="J598" s="6">
        <v>45964</v>
      </c>
      <c r="K598" s="5" t="s">
        <v>135</v>
      </c>
      <c r="L598" s="5" t="s">
        <v>136</v>
      </c>
      <c r="M598" s="5" t="s">
        <v>43</v>
      </c>
      <c r="N598" s="5" t="s">
        <v>137</v>
      </c>
      <c r="O598" s="7">
        <v>223</v>
      </c>
      <c r="P598" s="5" t="s">
        <v>45</v>
      </c>
      <c r="Q598" s="7">
        <v>223</v>
      </c>
      <c r="R598" s="5" t="s">
        <v>45</v>
      </c>
      <c r="S598" s="7">
        <v>65.63</v>
      </c>
      <c r="T598" s="5" t="s">
        <v>46</v>
      </c>
      <c r="U598" s="5" t="s">
        <v>47</v>
      </c>
      <c r="V598" s="5" t="s">
        <v>47</v>
      </c>
      <c r="W598" s="5" t="s">
        <v>47</v>
      </c>
      <c r="X598" s="5" t="s">
        <v>47</v>
      </c>
    </row>
    <row r="599" spans="1:24" x14ac:dyDescent="0.25">
      <c r="A599" s="5" t="s">
        <v>34</v>
      </c>
      <c r="B599" s="5" t="s">
        <v>191</v>
      </c>
      <c r="C599" s="5" t="s">
        <v>192</v>
      </c>
      <c r="D599" s="5" t="s">
        <v>37</v>
      </c>
      <c r="E599" s="5" t="s">
        <v>68</v>
      </c>
      <c r="F599" s="5" t="s">
        <v>69</v>
      </c>
      <c r="G599" s="5" t="s">
        <v>40</v>
      </c>
      <c r="H599" s="6">
        <v>45961</v>
      </c>
      <c r="I599" s="6">
        <v>45961</v>
      </c>
      <c r="J599" s="6">
        <v>45964</v>
      </c>
      <c r="K599" s="5" t="s">
        <v>135</v>
      </c>
      <c r="L599" s="5" t="s">
        <v>136</v>
      </c>
      <c r="M599" s="5" t="s">
        <v>43</v>
      </c>
      <c r="N599" s="5" t="s">
        <v>137</v>
      </c>
      <c r="O599" s="7">
        <v>133</v>
      </c>
      <c r="P599" s="5" t="s">
        <v>45</v>
      </c>
      <c r="Q599" s="7">
        <v>133</v>
      </c>
      <c r="R599" s="5" t="s">
        <v>45</v>
      </c>
      <c r="S599" s="7">
        <v>39.14</v>
      </c>
      <c r="T599" s="5" t="s">
        <v>46</v>
      </c>
      <c r="U599" s="5" t="s">
        <v>47</v>
      </c>
      <c r="V599" s="5" t="s">
        <v>47</v>
      </c>
      <c r="W599" s="5" t="s">
        <v>47</v>
      </c>
      <c r="X599" s="5" t="s">
        <v>47</v>
      </c>
    </row>
    <row r="600" spans="1:24" x14ac:dyDescent="0.25">
      <c r="A600" s="5" t="s">
        <v>34</v>
      </c>
      <c r="B600" s="5" t="s">
        <v>193</v>
      </c>
      <c r="C600" s="5" t="s">
        <v>194</v>
      </c>
      <c r="D600" s="5" t="s">
        <v>37</v>
      </c>
      <c r="E600" s="5" t="s">
        <v>108</v>
      </c>
      <c r="F600" s="5" t="s">
        <v>109</v>
      </c>
      <c r="G600" s="5" t="s">
        <v>40</v>
      </c>
      <c r="H600" s="6">
        <v>45961</v>
      </c>
      <c r="I600" s="6">
        <v>45961</v>
      </c>
      <c r="J600" s="6">
        <v>45964</v>
      </c>
      <c r="K600" s="5" t="s">
        <v>195</v>
      </c>
      <c r="L600" s="5" t="s">
        <v>196</v>
      </c>
      <c r="M600" s="5" t="s">
        <v>43</v>
      </c>
      <c r="N600" s="5" t="s">
        <v>197</v>
      </c>
      <c r="O600" s="7">
        <v>1112.72</v>
      </c>
      <c r="P600" s="5" t="s">
        <v>45</v>
      </c>
      <c r="Q600" s="7">
        <v>1112.72</v>
      </c>
      <c r="R600" s="5" t="s">
        <v>45</v>
      </c>
      <c r="S600" s="7">
        <v>327.45999999999998</v>
      </c>
      <c r="T600" s="5" t="s">
        <v>46</v>
      </c>
      <c r="U600" s="5" t="s">
        <v>47</v>
      </c>
      <c r="V600" s="5" t="s">
        <v>47</v>
      </c>
      <c r="W600" s="5" t="s">
        <v>47</v>
      </c>
      <c r="X600" s="5" t="s">
        <v>47</v>
      </c>
    </row>
    <row r="601" spans="1:24" x14ac:dyDescent="0.25">
      <c r="A601" s="5" t="s">
        <v>34</v>
      </c>
      <c r="B601" s="5" t="s">
        <v>198</v>
      </c>
      <c r="C601" s="5" t="s">
        <v>199</v>
      </c>
      <c r="D601" s="5" t="s">
        <v>37</v>
      </c>
      <c r="E601" s="5" t="s">
        <v>96</v>
      </c>
      <c r="F601" s="5" t="s">
        <v>97</v>
      </c>
      <c r="G601" s="5" t="s">
        <v>40</v>
      </c>
      <c r="H601" s="6">
        <v>45961</v>
      </c>
      <c r="I601" s="6">
        <v>45961</v>
      </c>
      <c r="J601" s="6">
        <v>45964</v>
      </c>
      <c r="K601" s="5" t="s">
        <v>147</v>
      </c>
      <c r="L601" s="5" t="s">
        <v>148</v>
      </c>
      <c r="M601" s="5" t="s">
        <v>43</v>
      </c>
      <c r="N601" s="5" t="s">
        <v>149</v>
      </c>
      <c r="O601" s="7">
        <v>1651.29</v>
      </c>
      <c r="P601" s="5" t="s">
        <v>45</v>
      </c>
      <c r="Q601" s="7">
        <v>1651.29</v>
      </c>
      <c r="R601" s="5" t="s">
        <v>45</v>
      </c>
      <c r="S601" s="7">
        <v>485.96</v>
      </c>
      <c r="T601" s="5" t="s">
        <v>46</v>
      </c>
      <c r="U601" s="5" t="s">
        <v>47</v>
      </c>
      <c r="V601" s="5" t="s">
        <v>47</v>
      </c>
      <c r="W601" s="5" t="s">
        <v>47</v>
      </c>
      <c r="X601" s="5" t="s">
        <v>47</v>
      </c>
    </row>
    <row r="602" spans="1:24" x14ac:dyDescent="0.25">
      <c r="A602" s="5" t="s">
        <v>34</v>
      </c>
      <c r="B602" s="5" t="s">
        <v>200</v>
      </c>
      <c r="C602" s="5" t="s">
        <v>201</v>
      </c>
      <c r="D602" s="5" t="s">
        <v>37</v>
      </c>
      <c r="E602" s="5" t="s">
        <v>86</v>
      </c>
      <c r="F602" s="5" t="s">
        <v>87</v>
      </c>
      <c r="G602" s="5" t="s">
        <v>40</v>
      </c>
      <c r="H602" s="6">
        <v>45961</v>
      </c>
      <c r="I602" s="6">
        <v>45961</v>
      </c>
      <c r="J602" s="6">
        <v>45964</v>
      </c>
      <c r="K602" s="5" t="s">
        <v>41</v>
      </c>
      <c r="L602" s="5" t="s">
        <v>42</v>
      </c>
      <c r="M602" s="5" t="s">
        <v>43</v>
      </c>
      <c r="N602" s="5" t="s">
        <v>44</v>
      </c>
      <c r="O602" s="7">
        <v>592.27</v>
      </c>
      <c r="P602" s="5" t="s">
        <v>45</v>
      </c>
      <c r="Q602" s="7">
        <v>592.27</v>
      </c>
      <c r="R602" s="5" t="s">
        <v>45</v>
      </c>
      <c r="S602" s="7">
        <v>174.3</v>
      </c>
      <c r="T602" s="5" t="s">
        <v>46</v>
      </c>
      <c r="U602" s="5" t="s">
        <v>47</v>
      </c>
      <c r="V602" s="5" t="s">
        <v>47</v>
      </c>
      <c r="W602" s="5" t="s">
        <v>47</v>
      </c>
      <c r="X602" s="5" t="s">
        <v>47</v>
      </c>
    </row>
    <row r="603" spans="1:24" x14ac:dyDescent="0.25">
      <c r="A603" s="5" t="s">
        <v>34</v>
      </c>
      <c r="B603" s="5" t="s">
        <v>200</v>
      </c>
      <c r="C603" s="5" t="s">
        <v>201</v>
      </c>
      <c r="D603" s="5" t="s">
        <v>37</v>
      </c>
      <c r="E603" s="5" t="s">
        <v>62</v>
      </c>
      <c r="F603" s="5" t="s">
        <v>63</v>
      </c>
      <c r="G603" s="5" t="s">
        <v>40</v>
      </c>
      <c r="H603" s="6">
        <v>45961</v>
      </c>
      <c r="I603" s="6">
        <v>45961</v>
      </c>
      <c r="J603" s="6">
        <v>45964</v>
      </c>
      <c r="K603" s="5" t="s">
        <v>41</v>
      </c>
      <c r="L603" s="5" t="s">
        <v>42</v>
      </c>
      <c r="M603" s="5" t="s">
        <v>43</v>
      </c>
      <c r="N603" s="5" t="s">
        <v>44</v>
      </c>
      <c r="O603" s="7">
        <v>299.5</v>
      </c>
      <c r="P603" s="5" t="s">
        <v>45</v>
      </c>
      <c r="Q603" s="7">
        <v>299.5</v>
      </c>
      <c r="R603" s="5" t="s">
        <v>45</v>
      </c>
      <c r="S603" s="7">
        <v>88.14</v>
      </c>
      <c r="T603" s="5" t="s">
        <v>46</v>
      </c>
      <c r="U603" s="5" t="s">
        <v>47</v>
      </c>
      <c r="V603" s="5" t="s">
        <v>47</v>
      </c>
      <c r="W603" s="5" t="s">
        <v>47</v>
      </c>
      <c r="X603" s="5" t="s">
        <v>47</v>
      </c>
    </row>
    <row r="604" spans="1:24" x14ac:dyDescent="0.25">
      <c r="A604" s="5" t="s">
        <v>34</v>
      </c>
      <c r="B604" s="5" t="s">
        <v>200</v>
      </c>
      <c r="C604" s="5" t="s">
        <v>201</v>
      </c>
      <c r="D604" s="5" t="s">
        <v>37</v>
      </c>
      <c r="E604" s="5" t="s">
        <v>66</v>
      </c>
      <c r="F604" s="5" t="s">
        <v>67</v>
      </c>
      <c r="G604" s="5" t="s">
        <v>40</v>
      </c>
      <c r="H604" s="6">
        <v>45961</v>
      </c>
      <c r="I604" s="6">
        <v>45961</v>
      </c>
      <c r="J604" s="6">
        <v>45964</v>
      </c>
      <c r="K604" s="5" t="s">
        <v>41</v>
      </c>
      <c r="L604" s="5" t="s">
        <v>42</v>
      </c>
      <c r="M604" s="5" t="s">
        <v>43</v>
      </c>
      <c r="N604" s="5" t="s">
        <v>44</v>
      </c>
      <c r="O604" s="7">
        <v>1472.76</v>
      </c>
      <c r="P604" s="5" t="s">
        <v>45</v>
      </c>
      <c r="Q604" s="7">
        <v>1472.76</v>
      </c>
      <c r="R604" s="5" t="s">
        <v>45</v>
      </c>
      <c r="S604" s="7">
        <v>433.42</v>
      </c>
      <c r="T604" s="5" t="s">
        <v>46</v>
      </c>
      <c r="U604" s="5" t="s">
        <v>47</v>
      </c>
      <c r="V604" s="5" t="s">
        <v>47</v>
      </c>
      <c r="W604" s="5" t="s">
        <v>47</v>
      </c>
      <c r="X604" s="5" t="s">
        <v>47</v>
      </c>
    </row>
    <row r="605" spans="1:24" x14ac:dyDescent="0.25">
      <c r="A605" s="5" t="s">
        <v>34</v>
      </c>
      <c r="B605" s="5" t="s">
        <v>200</v>
      </c>
      <c r="C605" s="5" t="s">
        <v>201</v>
      </c>
      <c r="D605" s="5" t="s">
        <v>37</v>
      </c>
      <c r="E605" s="5" t="s">
        <v>52</v>
      </c>
      <c r="F605" s="5" t="s">
        <v>53</v>
      </c>
      <c r="G605" s="5" t="s">
        <v>40</v>
      </c>
      <c r="H605" s="6">
        <v>45961</v>
      </c>
      <c r="I605" s="6">
        <v>45961</v>
      </c>
      <c r="J605" s="6">
        <v>45964</v>
      </c>
      <c r="K605" s="5" t="s">
        <v>41</v>
      </c>
      <c r="L605" s="5" t="s">
        <v>42</v>
      </c>
      <c r="M605" s="5" t="s">
        <v>43</v>
      </c>
      <c r="N605" s="5" t="s">
        <v>44</v>
      </c>
      <c r="O605" s="7">
        <v>147.6</v>
      </c>
      <c r="P605" s="5" t="s">
        <v>45</v>
      </c>
      <c r="Q605" s="7">
        <v>147.6</v>
      </c>
      <c r="R605" s="5" t="s">
        <v>45</v>
      </c>
      <c r="S605" s="7">
        <v>43.44</v>
      </c>
      <c r="T605" s="5" t="s">
        <v>46</v>
      </c>
      <c r="U605" s="5" t="s">
        <v>47</v>
      </c>
      <c r="V605" s="5" t="s">
        <v>47</v>
      </c>
      <c r="W605" s="5" t="s">
        <v>47</v>
      </c>
      <c r="X605" s="5" t="s">
        <v>47</v>
      </c>
    </row>
    <row r="606" spans="1:24" x14ac:dyDescent="0.25">
      <c r="A606" s="5" t="s">
        <v>34</v>
      </c>
      <c r="B606" s="5" t="s">
        <v>200</v>
      </c>
      <c r="C606" s="5" t="s">
        <v>201</v>
      </c>
      <c r="D606" s="5" t="s">
        <v>37</v>
      </c>
      <c r="E606" s="5" t="s">
        <v>54</v>
      </c>
      <c r="F606" s="5" t="s">
        <v>55</v>
      </c>
      <c r="G606" s="5" t="s">
        <v>40</v>
      </c>
      <c r="H606" s="6">
        <v>45961</v>
      </c>
      <c r="I606" s="6">
        <v>45961</v>
      </c>
      <c r="J606" s="6">
        <v>45964</v>
      </c>
      <c r="K606" s="5" t="s">
        <v>41</v>
      </c>
      <c r="L606" s="5" t="s">
        <v>42</v>
      </c>
      <c r="M606" s="5" t="s">
        <v>43</v>
      </c>
      <c r="N606" s="5" t="s">
        <v>44</v>
      </c>
      <c r="O606" s="7">
        <v>355.11</v>
      </c>
      <c r="P606" s="5" t="s">
        <v>45</v>
      </c>
      <c r="Q606" s="7">
        <v>355.11</v>
      </c>
      <c r="R606" s="5" t="s">
        <v>45</v>
      </c>
      <c r="S606" s="7">
        <v>104.51</v>
      </c>
      <c r="T606" s="5" t="s">
        <v>46</v>
      </c>
      <c r="U606" s="5" t="s">
        <v>47</v>
      </c>
      <c r="V606" s="5" t="s">
        <v>47</v>
      </c>
      <c r="W606" s="5" t="s">
        <v>47</v>
      </c>
      <c r="X606" s="5" t="s">
        <v>47</v>
      </c>
    </row>
    <row r="607" spans="1:24" x14ac:dyDescent="0.25">
      <c r="A607" s="5" t="s">
        <v>34</v>
      </c>
      <c r="B607" s="5" t="s">
        <v>200</v>
      </c>
      <c r="C607" s="5" t="s">
        <v>201</v>
      </c>
      <c r="D607" s="5" t="s">
        <v>37</v>
      </c>
      <c r="E607" s="5" t="s">
        <v>38</v>
      </c>
      <c r="F607" s="5" t="s">
        <v>39</v>
      </c>
      <c r="G607" s="5" t="s">
        <v>40</v>
      </c>
      <c r="H607" s="6">
        <v>45961</v>
      </c>
      <c r="I607" s="6">
        <v>45961</v>
      </c>
      <c r="J607" s="6">
        <v>45964</v>
      </c>
      <c r="K607" s="5" t="s">
        <v>41</v>
      </c>
      <c r="L607" s="5" t="s">
        <v>42</v>
      </c>
      <c r="M607" s="5" t="s">
        <v>43</v>
      </c>
      <c r="N607" s="5" t="s">
        <v>44</v>
      </c>
      <c r="O607" s="7">
        <v>232.61</v>
      </c>
      <c r="P607" s="5" t="s">
        <v>45</v>
      </c>
      <c r="Q607" s="7">
        <v>232.61</v>
      </c>
      <c r="R607" s="5" t="s">
        <v>45</v>
      </c>
      <c r="S607" s="7">
        <v>68.45</v>
      </c>
      <c r="T607" s="5" t="s">
        <v>46</v>
      </c>
      <c r="U607" s="5" t="s">
        <v>47</v>
      </c>
      <c r="V607" s="5" t="s">
        <v>47</v>
      </c>
      <c r="W607" s="5" t="s">
        <v>47</v>
      </c>
      <c r="X607" s="5" t="s">
        <v>47</v>
      </c>
    </row>
    <row r="608" spans="1:24" x14ac:dyDescent="0.25">
      <c r="A608" s="5" t="s">
        <v>34</v>
      </c>
      <c r="B608" s="5" t="s">
        <v>200</v>
      </c>
      <c r="C608" s="5" t="s">
        <v>201</v>
      </c>
      <c r="D608" s="5" t="s">
        <v>37</v>
      </c>
      <c r="E608" s="5" t="s">
        <v>64</v>
      </c>
      <c r="F608" s="5" t="s">
        <v>65</v>
      </c>
      <c r="G608" s="5" t="s">
        <v>40</v>
      </c>
      <c r="H608" s="6">
        <v>45961</v>
      </c>
      <c r="I608" s="6">
        <v>45961</v>
      </c>
      <c r="J608" s="6">
        <v>45964</v>
      </c>
      <c r="K608" s="5" t="s">
        <v>41</v>
      </c>
      <c r="L608" s="5" t="s">
        <v>42</v>
      </c>
      <c r="M608" s="5" t="s">
        <v>43</v>
      </c>
      <c r="N608" s="5" t="s">
        <v>44</v>
      </c>
      <c r="O608" s="7">
        <v>180.08</v>
      </c>
      <c r="P608" s="5" t="s">
        <v>45</v>
      </c>
      <c r="Q608" s="7">
        <v>180.08</v>
      </c>
      <c r="R608" s="5" t="s">
        <v>45</v>
      </c>
      <c r="S608" s="7">
        <v>53</v>
      </c>
      <c r="T608" s="5" t="s">
        <v>46</v>
      </c>
      <c r="U608" s="5" t="s">
        <v>47</v>
      </c>
      <c r="V608" s="5" t="s">
        <v>47</v>
      </c>
      <c r="W608" s="5" t="s">
        <v>47</v>
      </c>
      <c r="X608" s="5" t="s">
        <v>47</v>
      </c>
    </row>
    <row r="609" spans="1:24" x14ac:dyDescent="0.25">
      <c r="A609" s="5" t="s">
        <v>34</v>
      </c>
      <c r="B609" s="5" t="s">
        <v>200</v>
      </c>
      <c r="C609" s="5" t="s">
        <v>201</v>
      </c>
      <c r="D609" s="5" t="s">
        <v>37</v>
      </c>
      <c r="E609" s="5" t="s">
        <v>114</v>
      </c>
      <c r="F609" s="5" t="s">
        <v>115</v>
      </c>
      <c r="G609" s="5" t="s">
        <v>40</v>
      </c>
      <c r="H609" s="6">
        <v>45961</v>
      </c>
      <c r="I609" s="6">
        <v>45961</v>
      </c>
      <c r="J609" s="6">
        <v>45964</v>
      </c>
      <c r="K609" s="5" t="s">
        <v>41</v>
      </c>
      <c r="L609" s="5" t="s">
        <v>42</v>
      </c>
      <c r="M609" s="5" t="s">
        <v>43</v>
      </c>
      <c r="N609" s="5" t="s">
        <v>44</v>
      </c>
      <c r="O609" s="7">
        <v>1831.36</v>
      </c>
      <c r="P609" s="5" t="s">
        <v>45</v>
      </c>
      <c r="Q609" s="7">
        <v>1831.36</v>
      </c>
      <c r="R609" s="5" t="s">
        <v>45</v>
      </c>
      <c r="S609" s="7">
        <v>538.95000000000005</v>
      </c>
      <c r="T609" s="5" t="s">
        <v>46</v>
      </c>
      <c r="U609" s="5" t="s">
        <v>47</v>
      </c>
      <c r="V609" s="5" t="s">
        <v>47</v>
      </c>
      <c r="W609" s="5" t="s">
        <v>47</v>
      </c>
      <c r="X609" s="5" t="s">
        <v>47</v>
      </c>
    </row>
    <row r="610" spans="1:24" x14ac:dyDescent="0.25">
      <c r="A610" s="5" t="s">
        <v>34</v>
      </c>
      <c r="B610" s="5" t="s">
        <v>200</v>
      </c>
      <c r="C610" s="5" t="s">
        <v>201</v>
      </c>
      <c r="D610" s="5" t="s">
        <v>37</v>
      </c>
      <c r="E610" s="5" t="s">
        <v>90</v>
      </c>
      <c r="F610" s="5" t="s">
        <v>91</v>
      </c>
      <c r="G610" s="5" t="s">
        <v>40</v>
      </c>
      <c r="H610" s="6">
        <v>45961</v>
      </c>
      <c r="I610" s="6">
        <v>45961</v>
      </c>
      <c r="J610" s="6">
        <v>45964</v>
      </c>
      <c r="K610" s="5" t="s">
        <v>41</v>
      </c>
      <c r="L610" s="5" t="s">
        <v>42</v>
      </c>
      <c r="M610" s="5" t="s">
        <v>43</v>
      </c>
      <c r="N610" s="5" t="s">
        <v>44</v>
      </c>
      <c r="O610" s="7">
        <v>414.3</v>
      </c>
      <c r="P610" s="5" t="s">
        <v>45</v>
      </c>
      <c r="Q610" s="7">
        <v>414.3</v>
      </c>
      <c r="R610" s="5" t="s">
        <v>45</v>
      </c>
      <c r="S610" s="7">
        <v>121.92</v>
      </c>
      <c r="T610" s="5" t="s">
        <v>46</v>
      </c>
      <c r="U610" s="5" t="s">
        <v>47</v>
      </c>
      <c r="V610" s="5" t="s">
        <v>47</v>
      </c>
      <c r="W610" s="5" t="s">
        <v>47</v>
      </c>
      <c r="X610" s="5" t="s">
        <v>47</v>
      </c>
    </row>
    <row r="611" spans="1:24" x14ac:dyDescent="0.25">
      <c r="A611" s="5" t="s">
        <v>34</v>
      </c>
      <c r="B611" s="5" t="s">
        <v>200</v>
      </c>
      <c r="C611" s="5" t="s">
        <v>201</v>
      </c>
      <c r="D611" s="5" t="s">
        <v>37</v>
      </c>
      <c r="E611" s="5" t="s">
        <v>58</v>
      </c>
      <c r="F611" s="5" t="s">
        <v>59</v>
      </c>
      <c r="G611" s="5" t="s">
        <v>40</v>
      </c>
      <c r="H611" s="6">
        <v>45961</v>
      </c>
      <c r="I611" s="6">
        <v>45961</v>
      </c>
      <c r="J611" s="6">
        <v>45964</v>
      </c>
      <c r="K611" s="5" t="s">
        <v>41</v>
      </c>
      <c r="L611" s="5" t="s">
        <v>42</v>
      </c>
      <c r="M611" s="5" t="s">
        <v>43</v>
      </c>
      <c r="N611" s="5" t="s">
        <v>44</v>
      </c>
      <c r="O611" s="7">
        <v>2451.2600000000002</v>
      </c>
      <c r="P611" s="5" t="s">
        <v>45</v>
      </c>
      <c r="Q611" s="7">
        <v>2451.2600000000002</v>
      </c>
      <c r="R611" s="5" t="s">
        <v>45</v>
      </c>
      <c r="S611" s="7">
        <v>721.38</v>
      </c>
      <c r="T611" s="5" t="s">
        <v>46</v>
      </c>
      <c r="U611" s="5" t="s">
        <v>47</v>
      </c>
      <c r="V611" s="5" t="s">
        <v>47</v>
      </c>
      <c r="W611" s="5" t="s">
        <v>47</v>
      </c>
      <c r="X611" s="5" t="s">
        <v>47</v>
      </c>
    </row>
    <row r="612" spans="1:24" x14ac:dyDescent="0.25">
      <c r="A612" s="5" t="s">
        <v>34</v>
      </c>
      <c r="B612" s="5" t="s">
        <v>200</v>
      </c>
      <c r="C612" s="5" t="s">
        <v>201</v>
      </c>
      <c r="D612" s="5" t="s">
        <v>37</v>
      </c>
      <c r="E612" s="5" t="s">
        <v>50</v>
      </c>
      <c r="F612" s="5" t="s">
        <v>51</v>
      </c>
      <c r="G612" s="5" t="s">
        <v>40</v>
      </c>
      <c r="H612" s="6">
        <v>45961</v>
      </c>
      <c r="I612" s="6">
        <v>45961</v>
      </c>
      <c r="J612" s="6">
        <v>45964</v>
      </c>
      <c r="K612" s="5" t="s">
        <v>41</v>
      </c>
      <c r="L612" s="5" t="s">
        <v>42</v>
      </c>
      <c r="M612" s="5" t="s">
        <v>43</v>
      </c>
      <c r="N612" s="5" t="s">
        <v>44</v>
      </c>
      <c r="O612" s="7">
        <v>621.44000000000005</v>
      </c>
      <c r="P612" s="5" t="s">
        <v>45</v>
      </c>
      <c r="Q612" s="7">
        <v>621.44000000000005</v>
      </c>
      <c r="R612" s="5" t="s">
        <v>45</v>
      </c>
      <c r="S612" s="7">
        <v>182.88</v>
      </c>
      <c r="T612" s="5" t="s">
        <v>46</v>
      </c>
      <c r="U612" s="5" t="s">
        <v>47</v>
      </c>
      <c r="V612" s="5" t="s">
        <v>47</v>
      </c>
      <c r="W612" s="5" t="s">
        <v>47</v>
      </c>
      <c r="X612" s="5" t="s">
        <v>47</v>
      </c>
    </row>
    <row r="613" spans="1:24" x14ac:dyDescent="0.25">
      <c r="A613" s="5" t="s">
        <v>34</v>
      </c>
      <c r="B613" s="5" t="s">
        <v>200</v>
      </c>
      <c r="C613" s="5" t="s">
        <v>201</v>
      </c>
      <c r="D613" s="5" t="s">
        <v>37</v>
      </c>
      <c r="E613" s="5" t="s">
        <v>48</v>
      </c>
      <c r="F613" s="5" t="s">
        <v>49</v>
      </c>
      <c r="G613" s="5" t="s">
        <v>40</v>
      </c>
      <c r="H613" s="6">
        <v>45961</v>
      </c>
      <c r="I613" s="6">
        <v>45961</v>
      </c>
      <c r="J613" s="6">
        <v>45964</v>
      </c>
      <c r="K613" s="5" t="s">
        <v>41</v>
      </c>
      <c r="L613" s="5" t="s">
        <v>42</v>
      </c>
      <c r="M613" s="5" t="s">
        <v>43</v>
      </c>
      <c r="N613" s="5" t="s">
        <v>44</v>
      </c>
      <c r="O613" s="7">
        <v>545.55999999999995</v>
      </c>
      <c r="P613" s="5" t="s">
        <v>45</v>
      </c>
      <c r="Q613" s="7">
        <v>545.55999999999995</v>
      </c>
      <c r="R613" s="5" t="s">
        <v>45</v>
      </c>
      <c r="S613" s="7">
        <v>160.55000000000001</v>
      </c>
      <c r="T613" s="5" t="s">
        <v>46</v>
      </c>
      <c r="U613" s="5" t="s">
        <v>47</v>
      </c>
      <c r="V613" s="5" t="s">
        <v>47</v>
      </c>
      <c r="W613" s="5" t="s">
        <v>47</v>
      </c>
      <c r="X613" s="5" t="s">
        <v>47</v>
      </c>
    </row>
    <row r="614" spans="1:24" x14ac:dyDescent="0.25">
      <c r="A614" s="5" t="s">
        <v>34</v>
      </c>
      <c r="B614" s="5" t="s">
        <v>200</v>
      </c>
      <c r="C614" s="5" t="s">
        <v>201</v>
      </c>
      <c r="D614" s="5" t="s">
        <v>37</v>
      </c>
      <c r="E614" s="5" t="s">
        <v>82</v>
      </c>
      <c r="F614" s="5" t="s">
        <v>83</v>
      </c>
      <c r="G614" s="5" t="s">
        <v>40</v>
      </c>
      <c r="H614" s="6">
        <v>45961</v>
      </c>
      <c r="I614" s="6">
        <v>45961</v>
      </c>
      <c r="J614" s="6">
        <v>45964</v>
      </c>
      <c r="K614" s="5" t="s">
        <v>41</v>
      </c>
      <c r="L614" s="5" t="s">
        <v>42</v>
      </c>
      <c r="M614" s="5" t="s">
        <v>43</v>
      </c>
      <c r="N614" s="5" t="s">
        <v>44</v>
      </c>
      <c r="O614" s="7">
        <v>514.16999999999996</v>
      </c>
      <c r="P614" s="5" t="s">
        <v>45</v>
      </c>
      <c r="Q614" s="7">
        <v>514.16999999999996</v>
      </c>
      <c r="R614" s="5" t="s">
        <v>45</v>
      </c>
      <c r="S614" s="7">
        <v>151.32</v>
      </c>
      <c r="T614" s="5" t="s">
        <v>46</v>
      </c>
      <c r="U614" s="5" t="s">
        <v>47</v>
      </c>
      <c r="V614" s="5" t="s">
        <v>47</v>
      </c>
      <c r="W614" s="5" t="s">
        <v>47</v>
      </c>
      <c r="X614" s="5" t="s">
        <v>47</v>
      </c>
    </row>
    <row r="615" spans="1:24" x14ac:dyDescent="0.25">
      <c r="A615" s="5" t="s">
        <v>34</v>
      </c>
      <c r="B615" s="5" t="s">
        <v>200</v>
      </c>
      <c r="C615" s="5" t="s">
        <v>201</v>
      </c>
      <c r="D615" s="5" t="s">
        <v>37</v>
      </c>
      <c r="E615" s="5" t="s">
        <v>92</v>
      </c>
      <c r="F615" s="5" t="s">
        <v>93</v>
      </c>
      <c r="G615" s="5" t="s">
        <v>40</v>
      </c>
      <c r="H615" s="6">
        <v>45961</v>
      </c>
      <c r="I615" s="6">
        <v>45961</v>
      </c>
      <c r="J615" s="6">
        <v>45964</v>
      </c>
      <c r="K615" s="5" t="s">
        <v>41</v>
      </c>
      <c r="L615" s="5" t="s">
        <v>42</v>
      </c>
      <c r="M615" s="5" t="s">
        <v>43</v>
      </c>
      <c r="N615" s="5" t="s">
        <v>44</v>
      </c>
      <c r="O615" s="7">
        <v>549</v>
      </c>
      <c r="P615" s="5" t="s">
        <v>45</v>
      </c>
      <c r="Q615" s="7">
        <v>549</v>
      </c>
      <c r="R615" s="5" t="s">
        <v>45</v>
      </c>
      <c r="S615" s="7">
        <v>161.57</v>
      </c>
      <c r="T615" s="5" t="s">
        <v>46</v>
      </c>
      <c r="U615" s="5" t="s">
        <v>47</v>
      </c>
      <c r="V615" s="5" t="s">
        <v>47</v>
      </c>
      <c r="W615" s="5" t="s">
        <v>47</v>
      </c>
      <c r="X615" s="5" t="s">
        <v>47</v>
      </c>
    </row>
    <row r="616" spans="1:24" x14ac:dyDescent="0.25">
      <c r="A616" s="5" t="s">
        <v>34</v>
      </c>
      <c r="B616" s="5" t="s">
        <v>200</v>
      </c>
      <c r="C616" s="5" t="s">
        <v>201</v>
      </c>
      <c r="D616" s="5" t="s">
        <v>37</v>
      </c>
      <c r="E616" s="5" t="s">
        <v>70</v>
      </c>
      <c r="F616" s="5" t="s">
        <v>71</v>
      </c>
      <c r="G616" s="5" t="s">
        <v>40</v>
      </c>
      <c r="H616" s="6">
        <v>45961</v>
      </c>
      <c r="I616" s="6">
        <v>45961</v>
      </c>
      <c r="J616" s="6">
        <v>45964</v>
      </c>
      <c r="K616" s="5" t="s">
        <v>41</v>
      </c>
      <c r="L616" s="5" t="s">
        <v>42</v>
      </c>
      <c r="M616" s="5" t="s">
        <v>43</v>
      </c>
      <c r="N616" s="5" t="s">
        <v>44</v>
      </c>
      <c r="O616" s="7">
        <v>543.15</v>
      </c>
      <c r="P616" s="5" t="s">
        <v>45</v>
      </c>
      <c r="Q616" s="7">
        <v>543.15</v>
      </c>
      <c r="R616" s="5" t="s">
        <v>45</v>
      </c>
      <c r="S616" s="7">
        <v>159.84</v>
      </c>
      <c r="T616" s="5" t="s">
        <v>46</v>
      </c>
      <c r="U616" s="5" t="s">
        <v>47</v>
      </c>
      <c r="V616" s="5" t="s">
        <v>47</v>
      </c>
      <c r="W616" s="5" t="s">
        <v>47</v>
      </c>
      <c r="X616" s="5" t="s">
        <v>47</v>
      </c>
    </row>
    <row r="617" spans="1:24" x14ac:dyDescent="0.25">
      <c r="A617" s="5" t="s">
        <v>34</v>
      </c>
      <c r="B617" s="5" t="s">
        <v>200</v>
      </c>
      <c r="C617" s="5" t="s">
        <v>201</v>
      </c>
      <c r="D617" s="5" t="s">
        <v>37</v>
      </c>
      <c r="E617" s="5" t="s">
        <v>118</v>
      </c>
      <c r="F617" s="5" t="s">
        <v>119</v>
      </c>
      <c r="G617" s="5" t="s">
        <v>40</v>
      </c>
      <c r="H617" s="6">
        <v>45961</v>
      </c>
      <c r="I617" s="6">
        <v>45961</v>
      </c>
      <c r="J617" s="6">
        <v>45964</v>
      </c>
      <c r="K617" s="5" t="s">
        <v>41</v>
      </c>
      <c r="L617" s="5" t="s">
        <v>42</v>
      </c>
      <c r="M617" s="5" t="s">
        <v>43</v>
      </c>
      <c r="N617" s="5" t="s">
        <v>44</v>
      </c>
      <c r="O617" s="7">
        <v>229.82</v>
      </c>
      <c r="P617" s="5" t="s">
        <v>45</v>
      </c>
      <c r="Q617" s="7">
        <v>229.82</v>
      </c>
      <c r="R617" s="5" t="s">
        <v>45</v>
      </c>
      <c r="S617" s="7">
        <v>67.63</v>
      </c>
      <c r="T617" s="5" t="s">
        <v>46</v>
      </c>
      <c r="U617" s="5" t="s">
        <v>47</v>
      </c>
      <c r="V617" s="5" t="s">
        <v>47</v>
      </c>
      <c r="W617" s="5" t="s">
        <v>47</v>
      </c>
      <c r="X617" s="5" t="s">
        <v>47</v>
      </c>
    </row>
    <row r="618" spans="1:24" x14ac:dyDescent="0.25">
      <c r="A618" s="5" t="s">
        <v>34</v>
      </c>
      <c r="B618" s="5" t="s">
        <v>200</v>
      </c>
      <c r="C618" s="5" t="s">
        <v>201</v>
      </c>
      <c r="D618" s="5" t="s">
        <v>37</v>
      </c>
      <c r="E618" s="5" t="s">
        <v>96</v>
      </c>
      <c r="F618" s="5" t="s">
        <v>97</v>
      </c>
      <c r="G618" s="5" t="s">
        <v>40</v>
      </c>
      <c r="H618" s="6">
        <v>45961</v>
      </c>
      <c r="I618" s="6">
        <v>45961</v>
      </c>
      <c r="J618" s="6">
        <v>45964</v>
      </c>
      <c r="K618" s="5" t="s">
        <v>41</v>
      </c>
      <c r="L618" s="5" t="s">
        <v>42</v>
      </c>
      <c r="M618" s="5" t="s">
        <v>43</v>
      </c>
      <c r="N618" s="5" t="s">
        <v>44</v>
      </c>
      <c r="O618" s="7">
        <v>2467.58</v>
      </c>
      <c r="P618" s="5" t="s">
        <v>45</v>
      </c>
      <c r="Q618" s="7">
        <v>2467.58</v>
      </c>
      <c r="R618" s="5" t="s">
        <v>45</v>
      </c>
      <c r="S618" s="7">
        <v>726.19</v>
      </c>
      <c r="T618" s="5" t="s">
        <v>46</v>
      </c>
      <c r="U618" s="5" t="s">
        <v>47</v>
      </c>
      <c r="V618" s="5" t="s">
        <v>47</v>
      </c>
      <c r="W618" s="5" t="s">
        <v>47</v>
      </c>
      <c r="X618" s="5" t="s">
        <v>47</v>
      </c>
    </row>
    <row r="619" spans="1:24" x14ac:dyDescent="0.25">
      <c r="A619" s="5" t="s">
        <v>34</v>
      </c>
      <c r="B619" s="5" t="s">
        <v>200</v>
      </c>
      <c r="C619" s="5" t="s">
        <v>201</v>
      </c>
      <c r="D619" s="5" t="s">
        <v>37</v>
      </c>
      <c r="E619" s="5" t="s">
        <v>98</v>
      </c>
      <c r="F619" s="5" t="s">
        <v>99</v>
      </c>
      <c r="G619" s="5" t="s">
        <v>40</v>
      </c>
      <c r="H619" s="6">
        <v>45961</v>
      </c>
      <c r="I619" s="6">
        <v>45961</v>
      </c>
      <c r="J619" s="6">
        <v>45964</v>
      </c>
      <c r="K619" s="5" t="s">
        <v>41</v>
      </c>
      <c r="L619" s="5" t="s">
        <v>42</v>
      </c>
      <c r="M619" s="5" t="s">
        <v>43</v>
      </c>
      <c r="N619" s="5" t="s">
        <v>44</v>
      </c>
      <c r="O619" s="7">
        <v>1463.06</v>
      </c>
      <c r="P619" s="5" t="s">
        <v>45</v>
      </c>
      <c r="Q619" s="7">
        <v>1463.06</v>
      </c>
      <c r="R619" s="5" t="s">
        <v>45</v>
      </c>
      <c r="S619" s="7">
        <v>430.57</v>
      </c>
      <c r="T619" s="5" t="s">
        <v>46</v>
      </c>
      <c r="U619" s="5" t="s">
        <v>47</v>
      </c>
      <c r="V619" s="5" t="s">
        <v>47</v>
      </c>
      <c r="W619" s="5" t="s">
        <v>47</v>
      </c>
      <c r="X619" s="5" t="s">
        <v>47</v>
      </c>
    </row>
    <row r="620" spans="1:24" x14ac:dyDescent="0.25">
      <c r="A620" s="5" t="s">
        <v>34</v>
      </c>
      <c r="B620" s="5" t="s">
        <v>200</v>
      </c>
      <c r="C620" s="5" t="s">
        <v>201</v>
      </c>
      <c r="D620" s="5" t="s">
        <v>37</v>
      </c>
      <c r="E620" s="5" t="s">
        <v>110</v>
      </c>
      <c r="F620" s="5" t="s">
        <v>111</v>
      </c>
      <c r="G620" s="5" t="s">
        <v>40</v>
      </c>
      <c r="H620" s="6">
        <v>45961</v>
      </c>
      <c r="I620" s="6">
        <v>45961</v>
      </c>
      <c r="J620" s="6">
        <v>45964</v>
      </c>
      <c r="K620" s="5" t="s">
        <v>41</v>
      </c>
      <c r="L620" s="5" t="s">
        <v>42</v>
      </c>
      <c r="M620" s="5" t="s">
        <v>43</v>
      </c>
      <c r="N620" s="5" t="s">
        <v>44</v>
      </c>
      <c r="O620" s="7">
        <v>585.48</v>
      </c>
      <c r="P620" s="5" t="s">
        <v>45</v>
      </c>
      <c r="Q620" s="7">
        <v>585.48</v>
      </c>
      <c r="R620" s="5" t="s">
        <v>45</v>
      </c>
      <c r="S620" s="7">
        <v>172.3</v>
      </c>
      <c r="T620" s="5" t="s">
        <v>46</v>
      </c>
      <c r="U620" s="5" t="s">
        <v>47</v>
      </c>
      <c r="V620" s="5" t="s">
        <v>47</v>
      </c>
      <c r="W620" s="5" t="s">
        <v>47</v>
      </c>
      <c r="X620" s="5" t="s">
        <v>47</v>
      </c>
    </row>
    <row r="621" spans="1:24" x14ac:dyDescent="0.25">
      <c r="A621" s="5" t="s">
        <v>34</v>
      </c>
      <c r="B621" s="5" t="s">
        <v>200</v>
      </c>
      <c r="C621" s="5" t="s">
        <v>201</v>
      </c>
      <c r="D621" s="5" t="s">
        <v>37</v>
      </c>
      <c r="E621" s="5" t="s">
        <v>72</v>
      </c>
      <c r="F621" s="5" t="s">
        <v>73</v>
      </c>
      <c r="G621" s="5" t="s">
        <v>40</v>
      </c>
      <c r="H621" s="6">
        <v>45961</v>
      </c>
      <c r="I621" s="6">
        <v>45961</v>
      </c>
      <c r="J621" s="6">
        <v>45964</v>
      </c>
      <c r="K621" s="5" t="s">
        <v>41</v>
      </c>
      <c r="L621" s="5" t="s">
        <v>42</v>
      </c>
      <c r="M621" s="5" t="s">
        <v>43</v>
      </c>
      <c r="N621" s="5" t="s">
        <v>44</v>
      </c>
      <c r="O621" s="7">
        <v>273.95999999999998</v>
      </c>
      <c r="P621" s="5" t="s">
        <v>45</v>
      </c>
      <c r="Q621" s="7">
        <v>273.95999999999998</v>
      </c>
      <c r="R621" s="5" t="s">
        <v>45</v>
      </c>
      <c r="S621" s="7">
        <v>80.62</v>
      </c>
      <c r="T621" s="5" t="s">
        <v>46</v>
      </c>
      <c r="U621" s="5" t="s">
        <v>47</v>
      </c>
      <c r="V621" s="5" t="s">
        <v>47</v>
      </c>
      <c r="W621" s="5" t="s">
        <v>47</v>
      </c>
      <c r="X621" s="5" t="s">
        <v>47</v>
      </c>
    </row>
    <row r="622" spans="1:24" x14ac:dyDescent="0.25">
      <c r="A622" s="5" t="s">
        <v>34</v>
      </c>
      <c r="B622" s="5" t="s">
        <v>200</v>
      </c>
      <c r="C622" s="5" t="s">
        <v>201</v>
      </c>
      <c r="D622" s="5" t="s">
        <v>37</v>
      </c>
      <c r="E622" s="5" t="s">
        <v>56</v>
      </c>
      <c r="F622" s="5" t="s">
        <v>57</v>
      </c>
      <c r="G622" s="5" t="s">
        <v>40</v>
      </c>
      <c r="H622" s="6">
        <v>45961</v>
      </c>
      <c r="I622" s="6">
        <v>45961</v>
      </c>
      <c r="J622" s="6">
        <v>45964</v>
      </c>
      <c r="K622" s="5" t="s">
        <v>41</v>
      </c>
      <c r="L622" s="5" t="s">
        <v>42</v>
      </c>
      <c r="M622" s="5" t="s">
        <v>43</v>
      </c>
      <c r="N622" s="5" t="s">
        <v>44</v>
      </c>
      <c r="O622" s="7">
        <v>2620.7199999999998</v>
      </c>
      <c r="P622" s="5" t="s">
        <v>45</v>
      </c>
      <c r="Q622" s="7">
        <v>2620.7199999999998</v>
      </c>
      <c r="R622" s="5" t="s">
        <v>45</v>
      </c>
      <c r="S622" s="7">
        <v>771.25</v>
      </c>
      <c r="T622" s="5" t="s">
        <v>46</v>
      </c>
      <c r="U622" s="5" t="s">
        <v>47</v>
      </c>
      <c r="V622" s="5" t="s">
        <v>47</v>
      </c>
      <c r="W622" s="5" t="s">
        <v>47</v>
      </c>
      <c r="X622" s="5" t="s">
        <v>47</v>
      </c>
    </row>
    <row r="623" spans="1:24" x14ac:dyDescent="0.25">
      <c r="A623" s="5" t="s">
        <v>34</v>
      </c>
      <c r="B623" s="5" t="s">
        <v>200</v>
      </c>
      <c r="C623" s="5" t="s">
        <v>201</v>
      </c>
      <c r="D623" s="5" t="s">
        <v>37</v>
      </c>
      <c r="E623" s="5" t="s">
        <v>122</v>
      </c>
      <c r="F623" s="5" t="s">
        <v>123</v>
      </c>
      <c r="G623" s="5" t="s">
        <v>40</v>
      </c>
      <c r="H623" s="6">
        <v>45961</v>
      </c>
      <c r="I623" s="6">
        <v>45961</v>
      </c>
      <c r="J623" s="6">
        <v>45964</v>
      </c>
      <c r="K623" s="5" t="s">
        <v>41</v>
      </c>
      <c r="L623" s="5" t="s">
        <v>42</v>
      </c>
      <c r="M623" s="5" t="s">
        <v>43</v>
      </c>
      <c r="N623" s="5" t="s">
        <v>44</v>
      </c>
      <c r="O623" s="7">
        <v>288.06</v>
      </c>
      <c r="P623" s="5" t="s">
        <v>45</v>
      </c>
      <c r="Q623" s="7">
        <v>288.06</v>
      </c>
      <c r="R623" s="5" t="s">
        <v>45</v>
      </c>
      <c r="S623" s="7">
        <v>84.77</v>
      </c>
      <c r="T623" s="5" t="s">
        <v>46</v>
      </c>
      <c r="U623" s="5" t="s">
        <v>47</v>
      </c>
      <c r="V623" s="5" t="s">
        <v>47</v>
      </c>
      <c r="W623" s="5" t="s">
        <v>47</v>
      </c>
      <c r="X623" s="5" t="s">
        <v>47</v>
      </c>
    </row>
    <row r="624" spans="1:24" x14ac:dyDescent="0.25">
      <c r="A624" s="5" t="s">
        <v>34</v>
      </c>
      <c r="B624" s="5" t="s">
        <v>200</v>
      </c>
      <c r="C624" s="5" t="s">
        <v>201</v>
      </c>
      <c r="D624" s="5" t="s">
        <v>37</v>
      </c>
      <c r="E624" s="5" t="s">
        <v>74</v>
      </c>
      <c r="F624" s="5" t="s">
        <v>75</v>
      </c>
      <c r="G624" s="5" t="s">
        <v>40</v>
      </c>
      <c r="H624" s="6">
        <v>45961</v>
      </c>
      <c r="I624" s="6">
        <v>45961</v>
      </c>
      <c r="J624" s="6">
        <v>45964</v>
      </c>
      <c r="K624" s="5" t="s">
        <v>41</v>
      </c>
      <c r="L624" s="5" t="s">
        <v>42</v>
      </c>
      <c r="M624" s="5" t="s">
        <v>43</v>
      </c>
      <c r="N624" s="5" t="s">
        <v>44</v>
      </c>
      <c r="O624" s="7">
        <v>1564.47</v>
      </c>
      <c r="P624" s="5" t="s">
        <v>45</v>
      </c>
      <c r="Q624" s="7">
        <v>1564.47</v>
      </c>
      <c r="R624" s="5" t="s">
        <v>45</v>
      </c>
      <c r="S624" s="7">
        <v>460.41</v>
      </c>
      <c r="T624" s="5" t="s">
        <v>46</v>
      </c>
      <c r="U624" s="5" t="s">
        <v>47</v>
      </c>
      <c r="V624" s="5" t="s">
        <v>47</v>
      </c>
      <c r="W624" s="5" t="s">
        <v>47</v>
      </c>
      <c r="X624" s="5" t="s">
        <v>47</v>
      </c>
    </row>
    <row r="625" spans="1:24" x14ac:dyDescent="0.25">
      <c r="A625" s="5" t="s">
        <v>34</v>
      </c>
      <c r="B625" s="5" t="s">
        <v>200</v>
      </c>
      <c r="C625" s="5" t="s">
        <v>201</v>
      </c>
      <c r="D625" s="5" t="s">
        <v>37</v>
      </c>
      <c r="E625" s="5" t="s">
        <v>116</v>
      </c>
      <c r="F625" s="5" t="s">
        <v>117</v>
      </c>
      <c r="G625" s="5" t="s">
        <v>40</v>
      </c>
      <c r="H625" s="6">
        <v>45961</v>
      </c>
      <c r="I625" s="6">
        <v>45961</v>
      </c>
      <c r="J625" s="6">
        <v>45964</v>
      </c>
      <c r="K625" s="5" t="s">
        <v>41</v>
      </c>
      <c r="L625" s="5" t="s">
        <v>42</v>
      </c>
      <c r="M625" s="5" t="s">
        <v>43</v>
      </c>
      <c r="N625" s="5" t="s">
        <v>44</v>
      </c>
      <c r="O625" s="7">
        <v>578.89</v>
      </c>
      <c r="P625" s="5" t="s">
        <v>45</v>
      </c>
      <c r="Q625" s="7">
        <v>578.89</v>
      </c>
      <c r="R625" s="5" t="s">
        <v>45</v>
      </c>
      <c r="S625" s="7">
        <v>170.36</v>
      </c>
      <c r="T625" s="5" t="s">
        <v>46</v>
      </c>
      <c r="U625" s="5" t="s">
        <v>47</v>
      </c>
      <c r="V625" s="5" t="s">
        <v>47</v>
      </c>
      <c r="W625" s="5" t="s">
        <v>47</v>
      </c>
      <c r="X625" s="5" t="s">
        <v>47</v>
      </c>
    </row>
    <row r="626" spans="1:24" x14ac:dyDescent="0.25">
      <c r="A626" s="5" t="s">
        <v>34</v>
      </c>
      <c r="B626" s="5" t="s">
        <v>200</v>
      </c>
      <c r="C626" s="5" t="s">
        <v>201</v>
      </c>
      <c r="D626" s="5" t="s">
        <v>37</v>
      </c>
      <c r="E626" s="5" t="s">
        <v>100</v>
      </c>
      <c r="F626" s="5" t="s">
        <v>101</v>
      </c>
      <c r="G626" s="5" t="s">
        <v>40</v>
      </c>
      <c r="H626" s="6">
        <v>45961</v>
      </c>
      <c r="I626" s="6">
        <v>45961</v>
      </c>
      <c r="J626" s="6">
        <v>45964</v>
      </c>
      <c r="K626" s="5" t="s">
        <v>41</v>
      </c>
      <c r="L626" s="5" t="s">
        <v>42</v>
      </c>
      <c r="M626" s="5" t="s">
        <v>43</v>
      </c>
      <c r="N626" s="5" t="s">
        <v>44</v>
      </c>
      <c r="O626" s="7">
        <v>755.2</v>
      </c>
      <c r="P626" s="5" t="s">
        <v>45</v>
      </c>
      <c r="Q626" s="7">
        <v>755.2</v>
      </c>
      <c r="R626" s="5" t="s">
        <v>45</v>
      </c>
      <c r="S626" s="7">
        <v>222.25</v>
      </c>
      <c r="T626" s="5" t="s">
        <v>46</v>
      </c>
      <c r="U626" s="5" t="s">
        <v>47</v>
      </c>
      <c r="V626" s="5" t="s">
        <v>47</v>
      </c>
      <c r="W626" s="5" t="s">
        <v>47</v>
      </c>
      <c r="X626" s="5" t="s">
        <v>47</v>
      </c>
    </row>
    <row r="627" spans="1:24" x14ac:dyDescent="0.25">
      <c r="A627" s="5" t="s">
        <v>34</v>
      </c>
      <c r="B627" s="5" t="s">
        <v>200</v>
      </c>
      <c r="C627" s="5" t="s">
        <v>201</v>
      </c>
      <c r="D627" s="5" t="s">
        <v>37</v>
      </c>
      <c r="E627" s="5" t="s">
        <v>94</v>
      </c>
      <c r="F627" s="5" t="s">
        <v>95</v>
      </c>
      <c r="G627" s="5" t="s">
        <v>40</v>
      </c>
      <c r="H627" s="6">
        <v>45961</v>
      </c>
      <c r="I627" s="6">
        <v>45961</v>
      </c>
      <c r="J627" s="6">
        <v>45964</v>
      </c>
      <c r="K627" s="5" t="s">
        <v>41</v>
      </c>
      <c r="L627" s="5" t="s">
        <v>42</v>
      </c>
      <c r="M627" s="5" t="s">
        <v>43</v>
      </c>
      <c r="N627" s="5" t="s">
        <v>44</v>
      </c>
      <c r="O627" s="7">
        <v>4066.22</v>
      </c>
      <c r="P627" s="5" t="s">
        <v>45</v>
      </c>
      <c r="Q627" s="7">
        <v>4066.22</v>
      </c>
      <c r="R627" s="5" t="s">
        <v>45</v>
      </c>
      <c r="S627" s="7">
        <v>1196.6500000000001</v>
      </c>
      <c r="T627" s="5" t="s">
        <v>46</v>
      </c>
      <c r="U627" s="5" t="s">
        <v>47</v>
      </c>
      <c r="V627" s="5" t="s">
        <v>47</v>
      </c>
      <c r="W627" s="5" t="s">
        <v>47</v>
      </c>
      <c r="X627" s="5" t="s">
        <v>47</v>
      </c>
    </row>
    <row r="628" spans="1:24" x14ac:dyDescent="0.25">
      <c r="A628" s="5" t="s">
        <v>34</v>
      </c>
      <c r="B628" s="5" t="s">
        <v>200</v>
      </c>
      <c r="C628" s="5" t="s">
        <v>201</v>
      </c>
      <c r="D628" s="5" t="s">
        <v>37</v>
      </c>
      <c r="E628" s="5" t="s">
        <v>102</v>
      </c>
      <c r="F628" s="5" t="s">
        <v>103</v>
      </c>
      <c r="G628" s="5" t="s">
        <v>40</v>
      </c>
      <c r="H628" s="6">
        <v>45961</v>
      </c>
      <c r="I628" s="6">
        <v>45961</v>
      </c>
      <c r="J628" s="6">
        <v>45964</v>
      </c>
      <c r="K628" s="5" t="s">
        <v>41</v>
      </c>
      <c r="L628" s="5" t="s">
        <v>42</v>
      </c>
      <c r="M628" s="5" t="s">
        <v>43</v>
      </c>
      <c r="N628" s="5" t="s">
        <v>44</v>
      </c>
      <c r="O628" s="7">
        <v>651.14</v>
      </c>
      <c r="P628" s="5" t="s">
        <v>45</v>
      </c>
      <c r="Q628" s="7">
        <v>651.14</v>
      </c>
      <c r="R628" s="5" t="s">
        <v>45</v>
      </c>
      <c r="S628" s="7">
        <v>191.62</v>
      </c>
      <c r="T628" s="5" t="s">
        <v>46</v>
      </c>
      <c r="U628" s="5" t="s">
        <v>47</v>
      </c>
      <c r="V628" s="5" t="s">
        <v>47</v>
      </c>
      <c r="W628" s="5" t="s">
        <v>47</v>
      </c>
      <c r="X628" s="5" t="s">
        <v>47</v>
      </c>
    </row>
    <row r="629" spans="1:24" x14ac:dyDescent="0.25">
      <c r="A629" s="5" t="s">
        <v>34</v>
      </c>
      <c r="B629" s="5" t="s">
        <v>200</v>
      </c>
      <c r="C629" s="5" t="s">
        <v>201</v>
      </c>
      <c r="D629" s="5" t="s">
        <v>37</v>
      </c>
      <c r="E629" s="5" t="s">
        <v>84</v>
      </c>
      <c r="F629" s="5" t="s">
        <v>85</v>
      </c>
      <c r="G629" s="5" t="s">
        <v>40</v>
      </c>
      <c r="H629" s="6">
        <v>45961</v>
      </c>
      <c r="I629" s="6">
        <v>45961</v>
      </c>
      <c r="J629" s="6">
        <v>45964</v>
      </c>
      <c r="K629" s="5" t="s">
        <v>41</v>
      </c>
      <c r="L629" s="5" t="s">
        <v>42</v>
      </c>
      <c r="M629" s="5" t="s">
        <v>43</v>
      </c>
      <c r="N629" s="5" t="s">
        <v>44</v>
      </c>
      <c r="O629" s="7">
        <v>1297.1300000000001</v>
      </c>
      <c r="P629" s="5" t="s">
        <v>45</v>
      </c>
      <c r="Q629" s="7">
        <v>1297.1300000000001</v>
      </c>
      <c r="R629" s="5" t="s">
        <v>45</v>
      </c>
      <c r="S629" s="7">
        <v>381.73</v>
      </c>
      <c r="T629" s="5" t="s">
        <v>46</v>
      </c>
      <c r="U629" s="5" t="s">
        <v>47</v>
      </c>
      <c r="V629" s="5" t="s">
        <v>47</v>
      </c>
      <c r="W629" s="5" t="s">
        <v>47</v>
      </c>
      <c r="X629" s="5" t="s">
        <v>47</v>
      </c>
    </row>
    <row r="630" spans="1:24" x14ac:dyDescent="0.25">
      <c r="A630" s="5" t="s">
        <v>34</v>
      </c>
      <c r="B630" s="5" t="s">
        <v>200</v>
      </c>
      <c r="C630" s="5" t="s">
        <v>201</v>
      </c>
      <c r="D630" s="5" t="s">
        <v>37</v>
      </c>
      <c r="E630" s="5" t="s">
        <v>108</v>
      </c>
      <c r="F630" s="5" t="s">
        <v>109</v>
      </c>
      <c r="G630" s="5" t="s">
        <v>40</v>
      </c>
      <c r="H630" s="6">
        <v>45961</v>
      </c>
      <c r="I630" s="6">
        <v>45961</v>
      </c>
      <c r="J630" s="6">
        <v>45964</v>
      </c>
      <c r="K630" s="5" t="s">
        <v>41</v>
      </c>
      <c r="L630" s="5" t="s">
        <v>42</v>
      </c>
      <c r="M630" s="5" t="s">
        <v>43</v>
      </c>
      <c r="N630" s="5" t="s">
        <v>44</v>
      </c>
      <c r="O630" s="7">
        <v>533.79</v>
      </c>
      <c r="P630" s="5" t="s">
        <v>45</v>
      </c>
      <c r="Q630" s="7">
        <v>533.79</v>
      </c>
      <c r="R630" s="5" t="s">
        <v>45</v>
      </c>
      <c r="S630" s="7">
        <v>157.09</v>
      </c>
      <c r="T630" s="5" t="s">
        <v>46</v>
      </c>
      <c r="U630" s="5" t="s">
        <v>47</v>
      </c>
      <c r="V630" s="5" t="s">
        <v>47</v>
      </c>
      <c r="W630" s="5" t="s">
        <v>47</v>
      </c>
      <c r="X630" s="5" t="s">
        <v>47</v>
      </c>
    </row>
    <row r="631" spans="1:24" x14ac:dyDescent="0.25">
      <c r="A631" s="5" t="s">
        <v>34</v>
      </c>
      <c r="B631" s="5" t="s">
        <v>200</v>
      </c>
      <c r="C631" s="5" t="s">
        <v>201</v>
      </c>
      <c r="D631" s="5" t="s">
        <v>37</v>
      </c>
      <c r="E631" s="5" t="s">
        <v>76</v>
      </c>
      <c r="F631" s="5" t="s">
        <v>77</v>
      </c>
      <c r="G631" s="5" t="s">
        <v>40</v>
      </c>
      <c r="H631" s="6">
        <v>45961</v>
      </c>
      <c r="I631" s="6">
        <v>45961</v>
      </c>
      <c r="J631" s="6">
        <v>45964</v>
      </c>
      <c r="K631" s="5" t="s">
        <v>41</v>
      </c>
      <c r="L631" s="5" t="s">
        <v>42</v>
      </c>
      <c r="M631" s="5" t="s">
        <v>43</v>
      </c>
      <c r="N631" s="5" t="s">
        <v>44</v>
      </c>
      <c r="O631" s="7">
        <v>200.67</v>
      </c>
      <c r="P631" s="5" t="s">
        <v>45</v>
      </c>
      <c r="Q631" s="7">
        <v>200.67</v>
      </c>
      <c r="R631" s="5" t="s">
        <v>45</v>
      </c>
      <c r="S631" s="7">
        <v>59.06</v>
      </c>
      <c r="T631" s="5" t="s">
        <v>46</v>
      </c>
      <c r="U631" s="5" t="s">
        <v>47</v>
      </c>
      <c r="V631" s="5" t="s">
        <v>47</v>
      </c>
      <c r="W631" s="5" t="s">
        <v>47</v>
      </c>
      <c r="X631" s="5" t="s">
        <v>47</v>
      </c>
    </row>
    <row r="632" spans="1:24" x14ac:dyDescent="0.25">
      <c r="A632" s="5" t="s">
        <v>34</v>
      </c>
      <c r="B632" s="5" t="s">
        <v>200</v>
      </c>
      <c r="C632" s="5" t="s">
        <v>201</v>
      </c>
      <c r="D632" s="5" t="s">
        <v>37</v>
      </c>
      <c r="E632" s="5" t="s">
        <v>68</v>
      </c>
      <c r="F632" s="5" t="s">
        <v>69</v>
      </c>
      <c r="G632" s="5" t="s">
        <v>40</v>
      </c>
      <c r="H632" s="6">
        <v>45961</v>
      </c>
      <c r="I632" s="6">
        <v>45961</v>
      </c>
      <c r="J632" s="6">
        <v>45964</v>
      </c>
      <c r="K632" s="5" t="s">
        <v>41</v>
      </c>
      <c r="L632" s="5" t="s">
        <v>42</v>
      </c>
      <c r="M632" s="5" t="s">
        <v>43</v>
      </c>
      <c r="N632" s="5" t="s">
        <v>44</v>
      </c>
      <c r="O632" s="7">
        <v>288.14</v>
      </c>
      <c r="P632" s="5" t="s">
        <v>45</v>
      </c>
      <c r="Q632" s="7">
        <v>288.14</v>
      </c>
      <c r="R632" s="5" t="s">
        <v>45</v>
      </c>
      <c r="S632" s="7">
        <v>84.8</v>
      </c>
      <c r="T632" s="5" t="s">
        <v>46</v>
      </c>
      <c r="U632" s="5" t="s">
        <v>47</v>
      </c>
      <c r="V632" s="5" t="s">
        <v>47</v>
      </c>
      <c r="W632" s="5" t="s">
        <v>47</v>
      </c>
      <c r="X632" s="5" t="s">
        <v>47</v>
      </c>
    </row>
    <row r="633" spans="1:24" x14ac:dyDescent="0.25">
      <c r="A633" s="5" t="s">
        <v>34</v>
      </c>
      <c r="B633" s="5" t="s">
        <v>200</v>
      </c>
      <c r="C633" s="5" t="s">
        <v>201</v>
      </c>
      <c r="D633" s="5" t="s">
        <v>37</v>
      </c>
      <c r="E633" s="5" t="s">
        <v>88</v>
      </c>
      <c r="F633" s="5" t="s">
        <v>89</v>
      </c>
      <c r="G633" s="5" t="s">
        <v>40</v>
      </c>
      <c r="H633" s="6">
        <v>45961</v>
      </c>
      <c r="I633" s="6">
        <v>45961</v>
      </c>
      <c r="J633" s="6">
        <v>45964</v>
      </c>
      <c r="K633" s="5" t="s">
        <v>41</v>
      </c>
      <c r="L633" s="5" t="s">
        <v>42</v>
      </c>
      <c r="M633" s="5" t="s">
        <v>43</v>
      </c>
      <c r="N633" s="5" t="s">
        <v>44</v>
      </c>
      <c r="O633" s="7">
        <v>305.56</v>
      </c>
      <c r="P633" s="5" t="s">
        <v>45</v>
      </c>
      <c r="Q633" s="7">
        <v>305.56</v>
      </c>
      <c r="R633" s="5" t="s">
        <v>45</v>
      </c>
      <c r="S633" s="7">
        <v>89.92</v>
      </c>
      <c r="T633" s="5" t="s">
        <v>46</v>
      </c>
      <c r="U633" s="5" t="s">
        <v>47</v>
      </c>
      <c r="V633" s="5" t="s">
        <v>47</v>
      </c>
      <c r="W633" s="5" t="s">
        <v>47</v>
      </c>
      <c r="X633" s="5" t="s">
        <v>47</v>
      </c>
    </row>
    <row r="634" spans="1:24" x14ac:dyDescent="0.25">
      <c r="A634" s="5" t="s">
        <v>34</v>
      </c>
      <c r="B634" s="5" t="s">
        <v>200</v>
      </c>
      <c r="C634" s="5" t="s">
        <v>201</v>
      </c>
      <c r="D634" s="5" t="s">
        <v>37</v>
      </c>
      <c r="E634" s="5" t="s">
        <v>112</v>
      </c>
      <c r="F634" s="5" t="s">
        <v>113</v>
      </c>
      <c r="G634" s="5" t="s">
        <v>40</v>
      </c>
      <c r="H634" s="6">
        <v>45961</v>
      </c>
      <c r="I634" s="6">
        <v>45961</v>
      </c>
      <c r="J634" s="6">
        <v>45964</v>
      </c>
      <c r="K634" s="5" t="s">
        <v>41</v>
      </c>
      <c r="L634" s="5" t="s">
        <v>42</v>
      </c>
      <c r="M634" s="5" t="s">
        <v>43</v>
      </c>
      <c r="N634" s="5" t="s">
        <v>44</v>
      </c>
      <c r="O634" s="7">
        <v>197.17</v>
      </c>
      <c r="P634" s="5" t="s">
        <v>45</v>
      </c>
      <c r="Q634" s="7">
        <v>197.17</v>
      </c>
      <c r="R634" s="5" t="s">
        <v>45</v>
      </c>
      <c r="S634" s="7">
        <v>58.03</v>
      </c>
      <c r="T634" s="5" t="s">
        <v>46</v>
      </c>
      <c r="U634" s="5" t="s">
        <v>47</v>
      </c>
      <c r="V634" s="5" t="s">
        <v>47</v>
      </c>
      <c r="W634" s="5" t="s">
        <v>47</v>
      </c>
      <c r="X634" s="5" t="s">
        <v>47</v>
      </c>
    </row>
    <row r="635" spans="1:24" x14ac:dyDescent="0.25">
      <c r="A635" s="5" t="s">
        <v>34</v>
      </c>
      <c r="B635" s="5" t="s">
        <v>200</v>
      </c>
      <c r="C635" s="5" t="s">
        <v>201</v>
      </c>
      <c r="D635" s="5" t="s">
        <v>37</v>
      </c>
      <c r="E635" s="5" t="s">
        <v>80</v>
      </c>
      <c r="F635" s="5" t="s">
        <v>81</v>
      </c>
      <c r="G635" s="5" t="s">
        <v>40</v>
      </c>
      <c r="H635" s="6">
        <v>45961</v>
      </c>
      <c r="I635" s="6">
        <v>45961</v>
      </c>
      <c r="J635" s="6">
        <v>45964</v>
      </c>
      <c r="K635" s="5" t="s">
        <v>41</v>
      </c>
      <c r="L635" s="5" t="s">
        <v>42</v>
      </c>
      <c r="M635" s="5" t="s">
        <v>43</v>
      </c>
      <c r="N635" s="5" t="s">
        <v>44</v>
      </c>
      <c r="O635" s="7">
        <v>468.22</v>
      </c>
      <c r="P635" s="5" t="s">
        <v>45</v>
      </c>
      <c r="Q635" s="7">
        <v>468.22</v>
      </c>
      <c r="R635" s="5" t="s">
        <v>45</v>
      </c>
      <c r="S635" s="7">
        <v>137.79</v>
      </c>
      <c r="T635" s="5" t="s">
        <v>46</v>
      </c>
      <c r="U635" s="5" t="s">
        <v>47</v>
      </c>
      <c r="V635" s="5" t="s">
        <v>47</v>
      </c>
      <c r="W635" s="5" t="s">
        <v>47</v>
      </c>
      <c r="X635" s="5" t="s">
        <v>47</v>
      </c>
    </row>
    <row r="636" spans="1:24" x14ac:dyDescent="0.25">
      <c r="A636" s="5" t="s">
        <v>34</v>
      </c>
      <c r="B636" s="5" t="s">
        <v>200</v>
      </c>
      <c r="C636" s="5" t="s">
        <v>201</v>
      </c>
      <c r="D636" s="5" t="s">
        <v>37</v>
      </c>
      <c r="E636" s="5" t="s">
        <v>106</v>
      </c>
      <c r="F636" s="5" t="s">
        <v>107</v>
      </c>
      <c r="G636" s="5" t="s">
        <v>40</v>
      </c>
      <c r="H636" s="6">
        <v>45961</v>
      </c>
      <c r="I636" s="6">
        <v>45961</v>
      </c>
      <c r="J636" s="6">
        <v>45964</v>
      </c>
      <c r="K636" s="5" t="s">
        <v>41</v>
      </c>
      <c r="L636" s="5" t="s">
        <v>42</v>
      </c>
      <c r="M636" s="5" t="s">
        <v>43</v>
      </c>
      <c r="N636" s="5" t="s">
        <v>44</v>
      </c>
      <c r="O636" s="7">
        <v>506.7</v>
      </c>
      <c r="P636" s="5" t="s">
        <v>45</v>
      </c>
      <c r="Q636" s="7">
        <v>506.7</v>
      </c>
      <c r="R636" s="5" t="s">
        <v>45</v>
      </c>
      <c r="S636" s="7">
        <v>149.12</v>
      </c>
      <c r="T636" s="5" t="s">
        <v>46</v>
      </c>
      <c r="U636" s="5" t="s">
        <v>47</v>
      </c>
      <c r="V636" s="5" t="s">
        <v>47</v>
      </c>
      <c r="W636" s="5" t="s">
        <v>47</v>
      </c>
      <c r="X636" s="5" t="s">
        <v>47</v>
      </c>
    </row>
    <row r="637" spans="1:24" x14ac:dyDescent="0.25">
      <c r="A637" s="5" t="s">
        <v>34</v>
      </c>
      <c r="B637" s="5" t="s">
        <v>200</v>
      </c>
      <c r="C637" s="5" t="s">
        <v>201</v>
      </c>
      <c r="D637" s="5" t="s">
        <v>37</v>
      </c>
      <c r="E637" s="5" t="s">
        <v>78</v>
      </c>
      <c r="F637" s="5" t="s">
        <v>79</v>
      </c>
      <c r="G637" s="5" t="s">
        <v>40</v>
      </c>
      <c r="H637" s="6">
        <v>45961</v>
      </c>
      <c r="I637" s="6">
        <v>45961</v>
      </c>
      <c r="J637" s="6">
        <v>45964</v>
      </c>
      <c r="K637" s="5" t="s">
        <v>41</v>
      </c>
      <c r="L637" s="5" t="s">
        <v>42</v>
      </c>
      <c r="M637" s="5" t="s">
        <v>43</v>
      </c>
      <c r="N637" s="5" t="s">
        <v>44</v>
      </c>
      <c r="O637" s="7">
        <v>225.88</v>
      </c>
      <c r="P637" s="5" t="s">
        <v>45</v>
      </c>
      <c r="Q637" s="7">
        <v>225.88</v>
      </c>
      <c r="R637" s="5" t="s">
        <v>45</v>
      </c>
      <c r="S637" s="7">
        <v>66.47</v>
      </c>
      <c r="T637" s="5" t="s">
        <v>46</v>
      </c>
      <c r="U637" s="5" t="s">
        <v>47</v>
      </c>
      <c r="V637" s="5" t="s">
        <v>47</v>
      </c>
      <c r="W637" s="5" t="s">
        <v>47</v>
      </c>
      <c r="X637" s="5" t="s">
        <v>47</v>
      </c>
    </row>
    <row r="638" spans="1:24" x14ac:dyDescent="0.25">
      <c r="A638" s="5" t="s">
        <v>34</v>
      </c>
      <c r="B638" s="5" t="s">
        <v>200</v>
      </c>
      <c r="C638" s="5" t="s">
        <v>201</v>
      </c>
      <c r="D638" s="5" t="s">
        <v>37</v>
      </c>
      <c r="E638" s="5" t="s">
        <v>60</v>
      </c>
      <c r="F638" s="5" t="s">
        <v>61</v>
      </c>
      <c r="G638" s="5" t="s">
        <v>40</v>
      </c>
      <c r="H638" s="6">
        <v>45961</v>
      </c>
      <c r="I638" s="6">
        <v>45961</v>
      </c>
      <c r="J638" s="6">
        <v>45964</v>
      </c>
      <c r="K638" s="5" t="s">
        <v>41</v>
      </c>
      <c r="L638" s="5" t="s">
        <v>42</v>
      </c>
      <c r="M638" s="5" t="s">
        <v>43</v>
      </c>
      <c r="N638" s="5" t="s">
        <v>44</v>
      </c>
      <c r="O638" s="7">
        <v>3122.39</v>
      </c>
      <c r="P638" s="5" t="s">
        <v>45</v>
      </c>
      <c r="Q638" s="7">
        <v>3122.39</v>
      </c>
      <c r="R638" s="5" t="s">
        <v>45</v>
      </c>
      <c r="S638" s="7">
        <v>918.89</v>
      </c>
      <c r="T638" s="5" t="s">
        <v>46</v>
      </c>
      <c r="U638" s="5" t="s">
        <v>47</v>
      </c>
      <c r="V638" s="5" t="s">
        <v>47</v>
      </c>
      <c r="W638" s="5" t="s">
        <v>47</v>
      </c>
      <c r="X638" s="5" t="s">
        <v>47</v>
      </c>
    </row>
    <row r="639" spans="1:24" x14ac:dyDescent="0.25">
      <c r="A639" s="5" t="s">
        <v>34</v>
      </c>
      <c r="B639" s="5" t="s">
        <v>200</v>
      </c>
      <c r="C639" s="5" t="s">
        <v>201</v>
      </c>
      <c r="D639" s="5" t="s">
        <v>37</v>
      </c>
      <c r="E639" s="5" t="s">
        <v>104</v>
      </c>
      <c r="F639" s="5" t="s">
        <v>105</v>
      </c>
      <c r="G639" s="5" t="s">
        <v>40</v>
      </c>
      <c r="H639" s="6">
        <v>45961</v>
      </c>
      <c r="I639" s="6">
        <v>45961</v>
      </c>
      <c r="J639" s="6">
        <v>45964</v>
      </c>
      <c r="K639" s="5" t="s">
        <v>41</v>
      </c>
      <c r="L639" s="5" t="s">
        <v>42</v>
      </c>
      <c r="M639" s="5" t="s">
        <v>43</v>
      </c>
      <c r="N639" s="5" t="s">
        <v>44</v>
      </c>
      <c r="O639" s="7">
        <v>1288.32</v>
      </c>
      <c r="P639" s="5" t="s">
        <v>45</v>
      </c>
      <c r="Q639" s="7">
        <v>1288.32</v>
      </c>
      <c r="R639" s="5" t="s">
        <v>45</v>
      </c>
      <c r="S639" s="7">
        <v>379.14</v>
      </c>
      <c r="T639" s="5" t="s">
        <v>46</v>
      </c>
      <c r="U639" s="5" t="s">
        <v>47</v>
      </c>
      <c r="V639" s="5" t="s">
        <v>47</v>
      </c>
      <c r="W639" s="5" t="s">
        <v>47</v>
      </c>
      <c r="X639" s="5" t="s">
        <v>47</v>
      </c>
    </row>
    <row r="640" spans="1:24" x14ac:dyDescent="0.25">
      <c r="A640" s="5" t="s">
        <v>34</v>
      </c>
      <c r="B640" s="5" t="s">
        <v>202</v>
      </c>
      <c r="C640" s="5" t="s">
        <v>203</v>
      </c>
      <c r="D640" s="5" t="s">
        <v>37</v>
      </c>
      <c r="E640" s="5" t="s">
        <v>60</v>
      </c>
      <c r="F640" s="5" t="s">
        <v>61</v>
      </c>
      <c r="G640" s="5" t="s">
        <v>40</v>
      </c>
      <c r="H640" s="6">
        <v>45944</v>
      </c>
      <c r="I640" s="6">
        <v>45944</v>
      </c>
      <c r="J640" s="6">
        <v>45961</v>
      </c>
      <c r="K640" s="5" t="s">
        <v>204</v>
      </c>
      <c r="L640" s="5" t="s">
        <v>205</v>
      </c>
      <c r="M640" s="5" t="s">
        <v>43</v>
      </c>
      <c r="N640" s="5" t="s">
        <v>206</v>
      </c>
      <c r="O640" s="7">
        <v>385.04</v>
      </c>
      <c r="P640" s="5" t="s">
        <v>45</v>
      </c>
      <c r="Q640" s="7">
        <v>385.04</v>
      </c>
      <c r="R640" s="5" t="s">
        <v>45</v>
      </c>
      <c r="S640" s="7">
        <v>111.96</v>
      </c>
      <c r="T640" s="5" t="s">
        <v>46</v>
      </c>
      <c r="U640" s="5" t="s">
        <v>47</v>
      </c>
      <c r="V640" s="5" t="s">
        <v>47</v>
      </c>
      <c r="W640" s="5" t="s">
        <v>47</v>
      </c>
      <c r="X640" s="5" t="s">
        <v>47</v>
      </c>
    </row>
    <row r="641" spans="1:24" x14ac:dyDescent="0.25">
      <c r="A641" s="5" t="s">
        <v>34</v>
      </c>
      <c r="B641" s="5" t="s">
        <v>202</v>
      </c>
      <c r="C641" s="5" t="s">
        <v>203</v>
      </c>
      <c r="D641" s="5" t="s">
        <v>37</v>
      </c>
      <c r="E641" s="5" t="s">
        <v>62</v>
      </c>
      <c r="F641" s="5" t="s">
        <v>63</v>
      </c>
      <c r="G641" s="5" t="s">
        <v>40</v>
      </c>
      <c r="H641" s="6">
        <v>45944</v>
      </c>
      <c r="I641" s="6">
        <v>45944</v>
      </c>
      <c r="J641" s="6">
        <v>45961</v>
      </c>
      <c r="K641" s="5" t="s">
        <v>207</v>
      </c>
      <c r="L641" s="5" t="s">
        <v>208</v>
      </c>
      <c r="M641" s="5" t="s">
        <v>43</v>
      </c>
      <c r="N641" s="5" t="s">
        <v>209</v>
      </c>
      <c r="O641" s="7">
        <v>752.47</v>
      </c>
      <c r="P641" s="5" t="s">
        <v>45</v>
      </c>
      <c r="Q641" s="7">
        <v>752.47</v>
      </c>
      <c r="R641" s="5" t="s">
        <v>45</v>
      </c>
      <c r="S641" s="7">
        <v>218.79</v>
      </c>
      <c r="T641" s="5" t="s">
        <v>46</v>
      </c>
      <c r="U641" s="5" t="s">
        <v>47</v>
      </c>
      <c r="V641" s="5" t="s">
        <v>47</v>
      </c>
      <c r="W641" s="5" t="s">
        <v>47</v>
      </c>
      <c r="X641" s="5" t="s">
        <v>47</v>
      </c>
    </row>
    <row r="642" spans="1:24" x14ac:dyDescent="0.25">
      <c r="A642" s="5" t="s">
        <v>34</v>
      </c>
      <c r="B642" s="5" t="s">
        <v>202</v>
      </c>
      <c r="C642" s="5" t="s">
        <v>203</v>
      </c>
      <c r="D642" s="5" t="s">
        <v>37</v>
      </c>
      <c r="E642" s="5" t="s">
        <v>142</v>
      </c>
      <c r="F642" s="5" t="s">
        <v>143</v>
      </c>
      <c r="G642" s="5" t="s">
        <v>40</v>
      </c>
      <c r="H642" s="6">
        <v>45954</v>
      </c>
      <c r="I642" s="6">
        <v>45954</v>
      </c>
      <c r="J642" s="6">
        <v>45961</v>
      </c>
      <c r="K642" s="5" t="s">
        <v>210</v>
      </c>
      <c r="L642" s="5" t="s">
        <v>211</v>
      </c>
      <c r="M642" s="5" t="s">
        <v>43</v>
      </c>
      <c r="N642" s="5" t="s">
        <v>212</v>
      </c>
      <c r="O642" s="7">
        <v>1774.04</v>
      </c>
      <c r="P642" s="5" t="s">
        <v>45</v>
      </c>
      <c r="Q642" s="7">
        <v>1774.04</v>
      </c>
      <c r="R642" s="5" t="s">
        <v>45</v>
      </c>
      <c r="S642" s="7">
        <v>521.77</v>
      </c>
      <c r="T642" s="5" t="s">
        <v>46</v>
      </c>
      <c r="U642" s="5" t="s">
        <v>47</v>
      </c>
      <c r="V642" s="5" t="s">
        <v>47</v>
      </c>
      <c r="W642" s="5" t="s">
        <v>47</v>
      </c>
      <c r="X642" s="5" t="s">
        <v>47</v>
      </c>
    </row>
    <row r="643" spans="1:24" x14ac:dyDescent="0.25">
      <c r="A643" s="5" t="s">
        <v>34</v>
      </c>
      <c r="B643" s="5" t="s">
        <v>202</v>
      </c>
      <c r="C643" s="5" t="s">
        <v>203</v>
      </c>
      <c r="D643" s="5" t="s">
        <v>37</v>
      </c>
      <c r="E643" s="5" t="s">
        <v>38</v>
      </c>
      <c r="F643" s="5" t="s">
        <v>39</v>
      </c>
      <c r="G643" s="5" t="s">
        <v>40</v>
      </c>
      <c r="H643" s="6">
        <v>45961</v>
      </c>
      <c r="I643" s="6">
        <v>45961</v>
      </c>
      <c r="J643" s="6">
        <v>45964</v>
      </c>
      <c r="K643" s="5" t="s">
        <v>135</v>
      </c>
      <c r="L643" s="5" t="s">
        <v>136</v>
      </c>
      <c r="M643" s="5" t="s">
        <v>43</v>
      </c>
      <c r="N643" s="5" t="s">
        <v>137</v>
      </c>
      <c r="O643" s="7">
        <v>4205.3999999999996</v>
      </c>
      <c r="P643" s="5" t="s">
        <v>45</v>
      </c>
      <c r="Q643" s="7">
        <v>4205.3999999999996</v>
      </c>
      <c r="R643" s="5" t="s">
        <v>45</v>
      </c>
      <c r="S643" s="7">
        <v>1237.6099999999999</v>
      </c>
      <c r="T643" s="5" t="s">
        <v>46</v>
      </c>
      <c r="U643" s="5" t="s">
        <v>47</v>
      </c>
      <c r="V643" s="5" t="s">
        <v>47</v>
      </c>
      <c r="W643" s="5" t="s">
        <v>47</v>
      </c>
      <c r="X643" s="5" t="s">
        <v>47</v>
      </c>
    </row>
    <row r="644" spans="1:24" x14ac:dyDescent="0.25">
      <c r="A644" s="5" t="s">
        <v>34</v>
      </c>
      <c r="B644" s="5" t="s">
        <v>202</v>
      </c>
      <c r="C644" s="5" t="s">
        <v>203</v>
      </c>
      <c r="D644" s="5" t="s">
        <v>37</v>
      </c>
      <c r="E644" s="5" t="s">
        <v>86</v>
      </c>
      <c r="F644" s="5" t="s">
        <v>87</v>
      </c>
      <c r="G644" s="5" t="s">
        <v>40</v>
      </c>
      <c r="H644" s="6">
        <v>45961</v>
      </c>
      <c r="I644" s="6">
        <v>45961</v>
      </c>
      <c r="J644" s="6">
        <v>45964</v>
      </c>
      <c r="K644" s="5" t="s">
        <v>135</v>
      </c>
      <c r="L644" s="5" t="s">
        <v>136</v>
      </c>
      <c r="M644" s="5" t="s">
        <v>43</v>
      </c>
      <c r="N644" s="5" t="s">
        <v>137</v>
      </c>
      <c r="O644" s="7">
        <v>13803.18</v>
      </c>
      <c r="P644" s="5" t="s">
        <v>45</v>
      </c>
      <c r="Q644" s="7">
        <v>13803.18</v>
      </c>
      <c r="R644" s="5" t="s">
        <v>45</v>
      </c>
      <c r="S644" s="7">
        <v>4062.15</v>
      </c>
      <c r="T644" s="5" t="s">
        <v>46</v>
      </c>
      <c r="U644" s="5" t="s">
        <v>47</v>
      </c>
      <c r="V644" s="5" t="s">
        <v>47</v>
      </c>
      <c r="W644" s="5" t="s">
        <v>47</v>
      </c>
      <c r="X644" s="5" t="s">
        <v>47</v>
      </c>
    </row>
    <row r="645" spans="1:24" x14ac:dyDescent="0.25">
      <c r="A645" s="5" t="s">
        <v>34</v>
      </c>
      <c r="B645" s="5" t="s">
        <v>202</v>
      </c>
      <c r="C645" s="5" t="s">
        <v>203</v>
      </c>
      <c r="D645" s="5" t="s">
        <v>37</v>
      </c>
      <c r="E645" s="5" t="s">
        <v>80</v>
      </c>
      <c r="F645" s="5" t="s">
        <v>81</v>
      </c>
      <c r="G645" s="5" t="s">
        <v>40</v>
      </c>
      <c r="H645" s="6">
        <v>45961</v>
      </c>
      <c r="I645" s="6">
        <v>45961</v>
      </c>
      <c r="J645" s="6">
        <v>45964</v>
      </c>
      <c r="K645" s="5" t="s">
        <v>135</v>
      </c>
      <c r="L645" s="5" t="s">
        <v>136</v>
      </c>
      <c r="M645" s="5" t="s">
        <v>43</v>
      </c>
      <c r="N645" s="5" t="s">
        <v>137</v>
      </c>
      <c r="O645" s="7">
        <v>2086.21</v>
      </c>
      <c r="P645" s="5" t="s">
        <v>45</v>
      </c>
      <c r="Q645" s="7">
        <v>2086.21</v>
      </c>
      <c r="R645" s="5" t="s">
        <v>45</v>
      </c>
      <c r="S645" s="7">
        <v>613.95000000000005</v>
      </c>
      <c r="T645" s="5" t="s">
        <v>46</v>
      </c>
      <c r="U645" s="5" t="s">
        <v>47</v>
      </c>
      <c r="V645" s="5" t="s">
        <v>47</v>
      </c>
      <c r="W645" s="5" t="s">
        <v>47</v>
      </c>
      <c r="X645" s="5" t="s">
        <v>47</v>
      </c>
    </row>
    <row r="646" spans="1:24" x14ac:dyDescent="0.25">
      <c r="A646" s="5" t="s">
        <v>34</v>
      </c>
      <c r="B646" s="5" t="s">
        <v>202</v>
      </c>
      <c r="C646" s="5" t="s">
        <v>203</v>
      </c>
      <c r="D646" s="5" t="s">
        <v>37</v>
      </c>
      <c r="E646" s="5" t="s">
        <v>48</v>
      </c>
      <c r="F646" s="5" t="s">
        <v>49</v>
      </c>
      <c r="G646" s="5" t="s">
        <v>40</v>
      </c>
      <c r="H646" s="6">
        <v>45961</v>
      </c>
      <c r="I646" s="6">
        <v>45961</v>
      </c>
      <c r="J646" s="6">
        <v>45964</v>
      </c>
      <c r="K646" s="5" t="s">
        <v>135</v>
      </c>
      <c r="L646" s="5" t="s">
        <v>136</v>
      </c>
      <c r="M646" s="5" t="s">
        <v>43</v>
      </c>
      <c r="N646" s="5" t="s">
        <v>137</v>
      </c>
      <c r="O646" s="7">
        <v>9032.73</v>
      </c>
      <c r="P646" s="5" t="s">
        <v>45</v>
      </c>
      <c r="Q646" s="7">
        <v>9032.73</v>
      </c>
      <c r="R646" s="5" t="s">
        <v>45</v>
      </c>
      <c r="S646" s="7">
        <v>2658.25</v>
      </c>
      <c r="T646" s="5" t="s">
        <v>46</v>
      </c>
      <c r="U646" s="5" t="s">
        <v>47</v>
      </c>
      <c r="V646" s="5" t="s">
        <v>47</v>
      </c>
      <c r="W646" s="5" t="s">
        <v>47</v>
      </c>
      <c r="X646" s="5" t="s">
        <v>47</v>
      </c>
    </row>
    <row r="647" spans="1:24" x14ac:dyDescent="0.25">
      <c r="A647" s="5" t="s">
        <v>34</v>
      </c>
      <c r="B647" s="5" t="s">
        <v>202</v>
      </c>
      <c r="C647" s="5" t="s">
        <v>203</v>
      </c>
      <c r="D647" s="5" t="s">
        <v>37</v>
      </c>
      <c r="E647" s="5" t="s">
        <v>118</v>
      </c>
      <c r="F647" s="5" t="s">
        <v>119</v>
      </c>
      <c r="G647" s="5" t="s">
        <v>40</v>
      </c>
      <c r="H647" s="6">
        <v>45961</v>
      </c>
      <c r="I647" s="6">
        <v>45961</v>
      </c>
      <c r="J647" s="6">
        <v>45964</v>
      </c>
      <c r="K647" s="5" t="s">
        <v>135</v>
      </c>
      <c r="L647" s="5" t="s">
        <v>136</v>
      </c>
      <c r="M647" s="5" t="s">
        <v>43</v>
      </c>
      <c r="N647" s="5" t="s">
        <v>137</v>
      </c>
      <c r="O647" s="7">
        <v>5285.35</v>
      </c>
      <c r="P647" s="5" t="s">
        <v>45</v>
      </c>
      <c r="Q647" s="7">
        <v>5285.35</v>
      </c>
      <c r="R647" s="5" t="s">
        <v>45</v>
      </c>
      <c r="S647" s="7">
        <v>1555.43</v>
      </c>
      <c r="T647" s="5" t="s">
        <v>46</v>
      </c>
      <c r="U647" s="5" t="s">
        <v>47</v>
      </c>
      <c r="V647" s="5" t="s">
        <v>47</v>
      </c>
      <c r="W647" s="5" t="s">
        <v>47</v>
      </c>
      <c r="X647" s="5" t="s">
        <v>47</v>
      </c>
    </row>
    <row r="648" spans="1:24" x14ac:dyDescent="0.25">
      <c r="A648" s="5" t="s">
        <v>34</v>
      </c>
      <c r="B648" s="5" t="s">
        <v>202</v>
      </c>
      <c r="C648" s="5" t="s">
        <v>203</v>
      </c>
      <c r="D648" s="5" t="s">
        <v>37</v>
      </c>
      <c r="E648" s="5" t="s">
        <v>116</v>
      </c>
      <c r="F648" s="5" t="s">
        <v>117</v>
      </c>
      <c r="G648" s="5" t="s">
        <v>40</v>
      </c>
      <c r="H648" s="6">
        <v>45961</v>
      </c>
      <c r="I648" s="6">
        <v>45961</v>
      </c>
      <c r="J648" s="6">
        <v>45964</v>
      </c>
      <c r="K648" s="5" t="s">
        <v>135</v>
      </c>
      <c r="L648" s="5" t="s">
        <v>136</v>
      </c>
      <c r="M648" s="5" t="s">
        <v>43</v>
      </c>
      <c r="N648" s="5" t="s">
        <v>137</v>
      </c>
      <c r="O648" s="7">
        <v>5028.38</v>
      </c>
      <c r="P648" s="5" t="s">
        <v>45</v>
      </c>
      <c r="Q648" s="7">
        <v>5028.38</v>
      </c>
      <c r="R648" s="5" t="s">
        <v>45</v>
      </c>
      <c r="S648" s="7">
        <v>1479.81</v>
      </c>
      <c r="T648" s="5" t="s">
        <v>46</v>
      </c>
      <c r="U648" s="5" t="s">
        <v>47</v>
      </c>
      <c r="V648" s="5" t="s">
        <v>47</v>
      </c>
      <c r="W648" s="5" t="s">
        <v>47</v>
      </c>
      <c r="X648" s="5" t="s">
        <v>47</v>
      </c>
    </row>
    <row r="649" spans="1:24" x14ac:dyDescent="0.25">
      <c r="A649" s="5" t="s">
        <v>34</v>
      </c>
      <c r="B649" s="5" t="s">
        <v>202</v>
      </c>
      <c r="C649" s="5" t="s">
        <v>203</v>
      </c>
      <c r="D649" s="5" t="s">
        <v>37</v>
      </c>
      <c r="E649" s="5" t="s">
        <v>50</v>
      </c>
      <c r="F649" s="5" t="s">
        <v>51</v>
      </c>
      <c r="G649" s="5" t="s">
        <v>40</v>
      </c>
      <c r="H649" s="6">
        <v>45961</v>
      </c>
      <c r="I649" s="6">
        <v>45961</v>
      </c>
      <c r="J649" s="6">
        <v>45964</v>
      </c>
      <c r="K649" s="5" t="s">
        <v>135</v>
      </c>
      <c r="L649" s="5" t="s">
        <v>136</v>
      </c>
      <c r="M649" s="5" t="s">
        <v>43</v>
      </c>
      <c r="N649" s="5" t="s">
        <v>137</v>
      </c>
      <c r="O649" s="7">
        <v>8625.08</v>
      </c>
      <c r="P649" s="5" t="s">
        <v>45</v>
      </c>
      <c r="Q649" s="7">
        <v>8625.08</v>
      </c>
      <c r="R649" s="5" t="s">
        <v>45</v>
      </c>
      <c r="S649" s="7">
        <v>2538.2800000000002</v>
      </c>
      <c r="T649" s="5" t="s">
        <v>46</v>
      </c>
      <c r="U649" s="5" t="s">
        <v>47</v>
      </c>
      <c r="V649" s="5" t="s">
        <v>47</v>
      </c>
      <c r="W649" s="5" t="s">
        <v>47</v>
      </c>
      <c r="X649" s="5" t="s">
        <v>47</v>
      </c>
    </row>
    <row r="650" spans="1:24" x14ac:dyDescent="0.25">
      <c r="A650" s="5" t="s">
        <v>34</v>
      </c>
      <c r="B650" s="5" t="s">
        <v>202</v>
      </c>
      <c r="C650" s="5" t="s">
        <v>203</v>
      </c>
      <c r="D650" s="5" t="s">
        <v>37</v>
      </c>
      <c r="E650" s="5" t="s">
        <v>96</v>
      </c>
      <c r="F650" s="5" t="s">
        <v>97</v>
      </c>
      <c r="G650" s="5" t="s">
        <v>40</v>
      </c>
      <c r="H650" s="6">
        <v>45961</v>
      </c>
      <c r="I650" s="6">
        <v>45961</v>
      </c>
      <c r="J650" s="6">
        <v>45964</v>
      </c>
      <c r="K650" s="5" t="s">
        <v>147</v>
      </c>
      <c r="L650" s="5" t="s">
        <v>148</v>
      </c>
      <c r="M650" s="5" t="s">
        <v>43</v>
      </c>
      <c r="N650" s="5" t="s">
        <v>149</v>
      </c>
      <c r="O650" s="7">
        <v>291.11</v>
      </c>
      <c r="P650" s="5" t="s">
        <v>45</v>
      </c>
      <c r="Q650" s="7">
        <v>291.11</v>
      </c>
      <c r="R650" s="5" t="s">
        <v>45</v>
      </c>
      <c r="S650" s="7">
        <v>85.67</v>
      </c>
      <c r="T650" s="5" t="s">
        <v>46</v>
      </c>
      <c r="U650" s="5" t="s">
        <v>47</v>
      </c>
      <c r="V650" s="5" t="s">
        <v>47</v>
      </c>
      <c r="W650" s="5" t="s">
        <v>47</v>
      </c>
      <c r="X650" s="5" t="s">
        <v>47</v>
      </c>
    </row>
    <row r="651" spans="1:24" x14ac:dyDescent="0.25">
      <c r="A651" s="5" t="s">
        <v>34</v>
      </c>
      <c r="B651" s="5" t="s">
        <v>202</v>
      </c>
      <c r="C651" s="5" t="s">
        <v>203</v>
      </c>
      <c r="D651" s="5" t="s">
        <v>37</v>
      </c>
      <c r="E651" s="5" t="s">
        <v>64</v>
      </c>
      <c r="F651" s="5" t="s">
        <v>65</v>
      </c>
      <c r="G651" s="5" t="s">
        <v>40</v>
      </c>
      <c r="H651" s="6">
        <v>45961</v>
      </c>
      <c r="I651" s="6">
        <v>45961</v>
      </c>
      <c r="J651" s="6">
        <v>45964</v>
      </c>
      <c r="K651" s="5" t="s">
        <v>135</v>
      </c>
      <c r="L651" s="5" t="s">
        <v>136</v>
      </c>
      <c r="M651" s="5" t="s">
        <v>43</v>
      </c>
      <c r="N651" s="5" t="s">
        <v>137</v>
      </c>
      <c r="O651" s="7">
        <v>4626.8900000000003</v>
      </c>
      <c r="P651" s="5" t="s">
        <v>45</v>
      </c>
      <c r="Q651" s="7">
        <v>4626.8900000000003</v>
      </c>
      <c r="R651" s="5" t="s">
        <v>45</v>
      </c>
      <c r="S651" s="7">
        <v>1361.65</v>
      </c>
      <c r="T651" s="5" t="s">
        <v>46</v>
      </c>
      <c r="U651" s="5" t="s">
        <v>47</v>
      </c>
      <c r="V651" s="5" t="s">
        <v>47</v>
      </c>
      <c r="W651" s="5" t="s">
        <v>47</v>
      </c>
      <c r="X651" s="5" t="s">
        <v>47</v>
      </c>
    </row>
    <row r="652" spans="1:24" x14ac:dyDescent="0.25">
      <c r="A652" s="5" t="s">
        <v>34</v>
      </c>
      <c r="B652" s="5" t="s">
        <v>202</v>
      </c>
      <c r="C652" s="5" t="s">
        <v>203</v>
      </c>
      <c r="D652" s="5" t="s">
        <v>37</v>
      </c>
      <c r="E652" s="5" t="s">
        <v>142</v>
      </c>
      <c r="F652" s="5" t="s">
        <v>143</v>
      </c>
      <c r="G652" s="5" t="s">
        <v>40</v>
      </c>
      <c r="H652" s="6">
        <v>45961</v>
      </c>
      <c r="I652" s="6">
        <v>45961</v>
      </c>
      <c r="J652" s="6">
        <v>45961</v>
      </c>
      <c r="K652" s="5" t="s">
        <v>144</v>
      </c>
      <c r="L652" s="5" t="s">
        <v>145</v>
      </c>
      <c r="M652" s="5" t="s">
        <v>43</v>
      </c>
      <c r="N652" s="5" t="s">
        <v>146</v>
      </c>
      <c r="O652" s="7">
        <v>235.36</v>
      </c>
      <c r="P652" s="5" t="s">
        <v>45</v>
      </c>
      <c r="Q652" s="7">
        <v>235.36</v>
      </c>
      <c r="R652" s="5" t="s">
        <v>45</v>
      </c>
      <c r="S652" s="7">
        <v>69.260000000000005</v>
      </c>
      <c r="T652" s="5" t="s">
        <v>46</v>
      </c>
      <c r="U652" s="5" t="s">
        <v>47</v>
      </c>
      <c r="V652" s="5" t="s">
        <v>47</v>
      </c>
      <c r="W652" s="5" t="s">
        <v>47</v>
      </c>
      <c r="X652" s="5" t="s">
        <v>47</v>
      </c>
    </row>
    <row r="653" spans="1:24" x14ac:dyDescent="0.25">
      <c r="A653" s="5" t="s">
        <v>34</v>
      </c>
      <c r="B653" s="5" t="s">
        <v>202</v>
      </c>
      <c r="C653" s="5" t="s">
        <v>203</v>
      </c>
      <c r="D653" s="5" t="s">
        <v>37</v>
      </c>
      <c r="E653" s="5" t="s">
        <v>58</v>
      </c>
      <c r="F653" s="5" t="s">
        <v>59</v>
      </c>
      <c r="G653" s="5" t="s">
        <v>40</v>
      </c>
      <c r="H653" s="6">
        <v>45961</v>
      </c>
      <c r="I653" s="6">
        <v>45961</v>
      </c>
      <c r="J653" s="6">
        <v>45964</v>
      </c>
      <c r="K653" s="5" t="s">
        <v>135</v>
      </c>
      <c r="L653" s="5" t="s">
        <v>136</v>
      </c>
      <c r="M653" s="5" t="s">
        <v>43</v>
      </c>
      <c r="N653" s="5" t="s">
        <v>137</v>
      </c>
      <c r="O653" s="7">
        <v>414.59</v>
      </c>
      <c r="P653" s="5" t="s">
        <v>45</v>
      </c>
      <c r="Q653" s="7">
        <v>414.59</v>
      </c>
      <c r="R653" s="5" t="s">
        <v>45</v>
      </c>
      <c r="S653" s="7">
        <v>122.01</v>
      </c>
      <c r="T653" s="5" t="s">
        <v>46</v>
      </c>
      <c r="U653" s="5" t="s">
        <v>47</v>
      </c>
      <c r="V653" s="5" t="s">
        <v>47</v>
      </c>
      <c r="W653" s="5" t="s">
        <v>47</v>
      </c>
      <c r="X653" s="5" t="s">
        <v>47</v>
      </c>
    </row>
    <row r="654" spans="1:24" x14ac:dyDescent="0.25">
      <c r="A654" s="5" t="s">
        <v>34</v>
      </c>
      <c r="B654" s="5" t="s">
        <v>202</v>
      </c>
      <c r="C654" s="5" t="s">
        <v>203</v>
      </c>
      <c r="D654" s="5" t="s">
        <v>37</v>
      </c>
      <c r="E654" s="5" t="s">
        <v>98</v>
      </c>
      <c r="F654" s="5" t="s">
        <v>99</v>
      </c>
      <c r="G654" s="5" t="s">
        <v>40</v>
      </c>
      <c r="H654" s="6">
        <v>45961</v>
      </c>
      <c r="I654" s="6">
        <v>45961</v>
      </c>
      <c r="J654" s="6">
        <v>45964</v>
      </c>
      <c r="K654" s="5" t="s">
        <v>135</v>
      </c>
      <c r="L654" s="5" t="s">
        <v>136</v>
      </c>
      <c r="M654" s="5" t="s">
        <v>43</v>
      </c>
      <c r="N654" s="5" t="s">
        <v>137</v>
      </c>
      <c r="O654" s="7">
        <v>399.33</v>
      </c>
      <c r="P654" s="5" t="s">
        <v>45</v>
      </c>
      <c r="Q654" s="7">
        <v>399.33</v>
      </c>
      <c r="R654" s="5" t="s">
        <v>45</v>
      </c>
      <c r="S654" s="7">
        <v>117.52</v>
      </c>
      <c r="T654" s="5" t="s">
        <v>46</v>
      </c>
      <c r="U654" s="5" t="s">
        <v>47</v>
      </c>
      <c r="V654" s="5" t="s">
        <v>47</v>
      </c>
      <c r="W654" s="5" t="s">
        <v>47</v>
      </c>
      <c r="X654" s="5" t="s">
        <v>47</v>
      </c>
    </row>
    <row r="655" spans="1:24" x14ac:dyDescent="0.25">
      <c r="A655" s="5" t="s">
        <v>34</v>
      </c>
      <c r="B655" s="5" t="s">
        <v>202</v>
      </c>
      <c r="C655" s="5" t="s">
        <v>203</v>
      </c>
      <c r="D655" s="5" t="s">
        <v>37</v>
      </c>
      <c r="E655" s="5" t="s">
        <v>100</v>
      </c>
      <c r="F655" s="5" t="s">
        <v>101</v>
      </c>
      <c r="G655" s="5" t="s">
        <v>40</v>
      </c>
      <c r="H655" s="6">
        <v>45961</v>
      </c>
      <c r="I655" s="6">
        <v>45961</v>
      </c>
      <c r="J655" s="6">
        <v>45964</v>
      </c>
      <c r="K655" s="5" t="s">
        <v>135</v>
      </c>
      <c r="L655" s="5" t="s">
        <v>136</v>
      </c>
      <c r="M655" s="5" t="s">
        <v>43</v>
      </c>
      <c r="N655" s="5" t="s">
        <v>137</v>
      </c>
      <c r="O655" s="7">
        <v>3319.13</v>
      </c>
      <c r="P655" s="5" t="s">
        <v>45</v>
      </c>
      <c r="Q655" s="7">
        <v>3319.13</v>
      </c>
      <c r="R655" s="5" t="s">
        <v>45</v>
      </c>
      <c r="S655" s="7">
        <v>976.79</v>
      </c>
      <c r="T655" s="5" t="s">
        <v>46</v>
      </c>
      <c r="U655" s="5" t="s">
        <v>47</v>
      </c>
      <c r="V655" s="5" t="s">
        <v>47</v>
      </c>
      <c r="W655" s="5" t="s">
        <v>47</v>
      </c>
      <c r="X655" s="5" t="s">
        <v>47</v>
      </c>
    </row>
    <row r="656" spans="1:24" x14ac:dyDescent="0.25">
      <c r="A656" s="5" t="s">
        <v>34</v>
      </c>
      <c r="B656" s="5" t="s">
        <v>202</v>
      </c>
      <c r="C656" s="5" t="s">
        <v>203</v>
      </c>
      <c r="D656" s="5" t="s">
        <v>37</v>
      </c>
      <c r="E656" s="5" t="s">
        <v>54</v>
      </c>
      <c r="F656" s="5" t="s">
        <v>55</v>
      </c>
      <c r="G656" s="5" t="s">
        <v>40</v>
      </c>
      <c r="H656" s="6">
        <v>45961</v>
      </c>
      <c r="I656" s="6">
        <v>45961</v>
      </c>
      <c r="J656" s="6">
        <v>45964</v>
      </c>
      <c r="K656" s="5" t="s">
        <v>135</v>
      </c>
      <c r="L656" s="5" t="s">
        <v>136</v>
      </c>
      <c r="M656" s="5" t="s">
        <v>43</v>
      </c>
      <c r="N656" s="5" t="s">
        <v>137</v>
      </c>
      <c r="O656" s="7">
        <v>1211.49</v>
      </c>
      <c r="P656" s="5" t="s">
        <v>45</v>
      </c>
      <c r="Q656" s="7">
        <v>1211.49</v>
      </c>
      <c r="R656" s="5" t="s">
        <v>45</v>
      </c>
      <c r="S656" s="7">
        <v>356.53</v>
      </c>
      <c r="T656" s="5" t="s">
        <v>46</v>
      </c>
      <c r="U656" s="5" t="s">
        <v>47</v>
      </c>
      <c r="V656" s="5" t="s">
        <v>47</v>
      </c>
      <c r="W656" s="5" t="s">
        <v>47</v>
      </c>
      <c r="X656" s="5" t="s">
        <v>47</v>
      </c>
    </row>
    <row r="657" spans="1:24" x14ac:dyDescent="0.25">
      <c r="A657" s="5" t="s">
        <v>34</v>
      </c>
      <c r="B657" s="5" t="s">
        <v>202</v>
      </c>
      <c r="C657" s="5" t="s">
        <v>203</v>
      </c>
      <c r="D657" s="5" t="s">
        <v>37</v>
      </c>
      <c r="E657" s="5" t="s">
        <v>84</v>
      </c>
      <c r="F657" s="5" t="s">
        <v>85</v>
      </c>
      <c r="G657" s="5" t="s">
        <v>40</v>
      </c>
      <c r="H657" s="6">
        <v>45961</v>
      </c>
      <c r="I657" s="6">
        <v>45961</v>
      </c>
      <c r="J657" s="6">
        <v>45964</v>
      </c>
      <c r="K657" s="5" t="s">
        <v>135</v>
      </c>
      <c r="L657" s="5" t="s">
        <v>136</v>
      </c>
      <c r="M657" s="5" t="s">
        <v>43</v>
      </c>
      <c r="N657" s="5" t="s">
        <v>137</v>
      </c>
      <c r="O657" s="7">
        <v>1643.46</v>
      </c>
      <c r="P657" s="5" t="s">
        <v>45</v>
      </c>
      <c r="Q657" s="7">
        <v>1643.46</v>
      </c>
      <c r="R657" s="5" t="s">
        <v>45</v>
      </c>
      <c r="S657" s="7">
        <v>483.66</v>
      </c>
      <c r="T657" s="5" t="s">
        <v>46</v>
      </c>
      <c r="U657" s="5" t="s">
        <v>47</v>
      </c>
      <c r="V657" s="5" t="s">
        <v>47</v>
      </c>
      <c r="W657" s="5" t="s">
        <v>47</v>
      </c>
      <c r="X657" s="5" t="s">
        <v>47</v>
      </c>
    </row>
    <row r="658" spans="1:24" x14ac:dyDescent="0.25">
      <c r="A658" s="5" t="s">
        <v>34</v>
      </c>
      <c r="B658" s="5" t="s">
        <v>202</v>
      </c>
      <c r="C658" s="5" t="s">
        <v>203</v>
      </c>
      <c r="D658" s="5" t="s">
        <v>37</v>
      </c>
      <c r="E658" s="5" t="s">
        <v>74</v>
      </c>
      <c r="F658" s="5" t="s">
        <v>75</v>
      </c>
      <c r="G658" s="5" t="s">
        <v>40</v>
      </c>
      <c r="H658" s="6">
        <v>45961</v>
      </c>
      <c r="I658" s="6">
        <v>45961</v>
      </c>
      <c r="J658" s="6">
        <v>45964</v>
      </c>
      <c r="K658" s="5" t="s">
        <v>135</v>
      </c>
      <c r="L658" s="5" t="s">
        <v>136</v>
      </c>
      <c r="M658" s="5" t="s">
        <v>43</v>
      </c>
      <c r="N658" s="5" t="s">
        <v>137</v>
      </c>
      <c r="O658" s="7">
        <v>50366.720000000001</v>
      </c>
      <c r="P658" s="5" t="s">
        <v>45</v>
      </c>
      <c r="Q658" s="7">
        <v>50366.720000000001</v>
      </c>
      <c r="R658" s="5" t="s">
        <v>45</v>
      </c>
      <c r="S658" s="7">
        <v>14822.46</v>
      </c>
      <c r="T658" s="5" t="s">
        <v>46</v>
      </c>
      <c r="U658" s="5" t="s">
        <v>47</v>
      </c>
      <c r="V658" s="5" t="s">
        <v>47</v>
      </c>
      <c r="W658" s="5" t="s">
        <v>47</v>
      </c>
      <c r="X658" s="5" t="s">
        <v>47</v>
      </c>
    </row>
    <row r="659" spans="1:24" x14ac:dyDescent="0.25">
      <c r="A659" s="5" t="s">
        <v>34</v>
      </c>
      <c r="B659" s="5" t="s">
        <v>202</v>
      </c>
      <c r="C659" s="5" t="s">
        <v>203</v>
      </c>
      <c r="D659" s="5" t="s">
        <v>37</v>
      </c>
      <c r="E659" s="5" t="s">
        <v>122</v>
      </c>
      <c r="F659" s="5" t="s">
        <v>123</v>
      </c>
      <c r="G659" s="5" t="s">
        <v>40</v>
      </c>
      <c r="H659" s="6">
        <v>45961</v>
      </c>
      <c r="I659" s="6">
        <v>45961</v>
      </c>
      <c r="J659" s="6">
        <v>45964</v>
      </c>
      <c r="K659" s="5" t="s">
        <v>135</v>
      </c>
      <c r="L659" s="5" t="s">
        <v>136</v>
      </c>
      <c r="M659" s="5" t="s">
        <v>43</v>
      </c>
      <c r="N659" s="5" t="s">
        <v>137</v>
      </c>
      <c r="O659" s="7">
        <v>168.71</v>
      </c>
      <c r="P659" s="5" t="s">
        <v>45</v>
      </c>
      <c r="Q659" s="7">
        <v>168.71</v>
      </c>
      <c r="R659" s="5" t="s">
        <v>45</v>
      </c>
      <c r="S659" s="7">
        <v>49.65</v>
      </c>
      <c r="T659" s="5" t="s">
        <v>46</v>
      </c>
      <c r="U659" s="5" t="s">
        <v>47</v>
      </c>
      <c r="V659" s="5" t="s">
        <v>47</v>
      </c>
      <c r="W659" s="5" t="s">
        <v>47</v>
      </c>
      <c r="X659" s="5" t="s">
        <v>47</v>
      </c>
    </row>
    <row r="660" spans="1:24" x14ac:dyDescent="0.25">
      <c r="A660" s="5" t="s">
        <v>34</v>
      </c>
      <c r="B660" s="5" t="s">
        <v>202</v>
      </c>
      <c r="C660" s="5" t="s">
        <v>203</v>
      </c>
      <c r="D660" s="5" t="s">
        <v>37</v>
      </c>
      <c r="E660" s="5" t="s">
        <v>60</v>
      </c>
      <c r="F660" s="5" t="s">
        <v>61</v>
      </c>
      <c r="G660" s="5" t="s">
        <v>40</v>
      </c>
      <c r="H660" s="6">
        <v>45961</v>
      </c>
      <c r="I660" s="6">
        <v>45961</v>
      </c>
      <c r="J660" s="6">
        <v>45964</v>
      </c>
      <c r="K660" s="5" t="s">
        <v>135</v>
      </c>
      <c r="L660" s="5" t="s">
        <v>136</v>
      </c>
      <c r="M660" s="5" t="s">
        <v>43</v>
      </c>
      <c r="N660" s="5" t="s">
        <v>137</v>
      </c>
      <c r="O660" s="7">
        <v>10547.56</v>
      </c>
      <c r="P660" s="5" t="s">
        <v>45</v>
      </c>
      <c r="Q660" s="7">
        <v>10547.56</v>
      </c>
      <c r="R660" s="5" t="s">
        <v>45</v>
      </c>
      <c r="S660" s="7">
        <v>3104.05</v>
      </c>
      <c r="T660" s="5" t="s">
        <v>46</v>
      </c>
      <c r="U660" s="5" t="s">
        <v>47</v>
      </c>
      <c r="V660" s="5" t="s">
        <v>47</v>
      </c>
      <c r="W660" s="5" t="s">
        <v>47</v>
      </c>
      <c r="X660" s="5" t="s">
        <v>47</v>
      </c>
    </row>
    <row r="661" spans="1:24" x14ac:dyDescent="0.25">
      <c r="A661" s="5" t="s">
        <v>34</v>
      </c>
      <c r="B661" s="5" t="s">
        <v>202</v>
      </c>
      <c r="C661" s="5" t="s">
        <v>203</v>
      </c>
      <c r="D661" s="5" t="s">
        <v>37</v>
      </c>
      <c r="E661" s="5" t="s">
        <v>64</v>
      </c>
      <c r="F661" s="5" t="s">
        <v>65</v>
      </c>
      <c r="G661" s="5" t="s">
        <v>40</v>
      </c>
      <c r="H661" s="6">
        <v>45961</v>
      </c>
      <c r="I661" s="6">
        <v>45961</v>
      </c>
      <c r="J661" s="6">
        <v>45950</v>
      </c>
      <c r="K661" s="5" t="s">
        <v>132</v>
      </c>
      <c r="L661" s="5" t="s">
        <v>133</v>
      </c>
      <c r="M661" s="5" t="s">
        <v>43</v>
      </c>
      <c r="N661" s="5" t="s">
        <v>134</v>
      </c>
      <c r="O661" s="7">
        <v>101.7</v>
      </c>
      <c r="P661" s="5" t="s">
        <v>45</v>
      </c>
      <c r="Q661" s="7">
        <v>101.7</v>
      </c>
      <c r="R661" s="5" t="s">
        <v>45</v>
      </c>
      <c r="S661" s="7">
        <v>30.01</v>
      </c>
      <c r="T661" s="5" t="s">
        <v>46</v>
      </c>
      <c r="U661" s="5" t="s">
        <v>47</v>
      </c>
      <c r="V661" s="5" t="s">
        <v>47</v>
      </c>
      <c r="W661" s="5" t="s">
        <v>47</v>
      </c>
      <c r="X661" s="5" t="s">
        <v>47</v>
      </c>
    </row>
    <row r="662" spans="1:24" x14ac:dyDescent="0.25">
      <c r="A662" s="5" t="s">
        <v>34</v>
      </c>
      <c r="B662" s="5" t="s">
        <v>202</v>
      </c>
      <c r="C662" s="5" t="s">
        <v>203</v>
      </c>
      <c r="D662" s="5" t="s">
        <v>37</v>
      </c>
      <c r="E662" s="5" t="s">
        <v>78</v>
      </c>
      <c r="F662" s="5" t="s">
        <v>79</v>
      </c>
      <c r="G662" s="5" t="s">
        <v>40</v>
      </c>
      <c r="H662" s="6">
        <v>45961</v>
      </c>
      <c r="I662" s="6">
        <v>45961</v>
      </c>
      <c r="J662" s="6">
        <v>45964</v>
      </c>
      <c r="K662" s="5" t="s">
        <v>135</v>
      </c>
      <c r="L662" s="5" t="s">
        <v>136</v>
      </c>
      <c r="M662" s="5" t="s">
        <v>43</v>
      </c>
      <c r="N662" s="5" t="s">
        <v>137</v>
      </c>
      <c r="O662" s="7">
        <v>14499.77</v>
      </c>
      <c r="P662" s="5" t="s">
        <v>45</v>
      </c>
      <c r="Q662" s="7">
        <v>14499.77</v>
      </c>
      <c r="R662" s="5" t="s">
        <v>45</v>
      </c>
      <c r="S662" s="7">
        <v>4267.1499999999996</v>
      </c>
      <c r="T662" s="5" t="s">
        <v>46</v>
      </c>
      <c r="U662" s="5" t="s">
        <v>47</v>
      </c>
      <c r="V662" s="5" t="s">
        <v>47</v>
      </c>
      <c r="W662" s="5" t="s">
        <v>47</v>
      </c>
      <c r="X662" s="5" t="s">
        <v>47</v>
      </c>
    </row>
    <row r="663" spans="1:24" x14ac:dyDescent="0.25">
      <c r="A663" s="5" t="s">
        <v>34</v>
      </c>
      <c r="B663" s="5" t="s">
        <v>202</v>
      </c>
      <c r="C663" s="5" t="s">
        <v>203</v>
      </c>
      <c r="D663" s="5" t="s">
        <v>37</v>
      </c>
      <c r="E663" s="5" t="s">
        <v>102</v>
      </c>
      <c r="F663" s="5" t="s">
        <v>103</v>
      </c>
      <c r="G663" s="5" t="s">
        <v>40</v>
      </c>
      <c r="H663" s="6">
        <v>45961</v>
      </c>
      <c r="I663" s="6">
        <v>45961</v>
      </c>
      <c r="J663" s="6">
        <v>45964</v>
      </c>
      <c r="K663" s="5" t="s">
        <v>135</v>
      </c>
      <c r="L663" s="5" t="s">
        <v>136</v>
      </c>
      <c r="M663" s="5" t="s">
        <v>43</v>
      </c>
      <c r="N663" s="5" t="s">
        <v>137</v>
      </c>
      <c r="O663" s="7">
        <v>13804.03</v>
      </c>
      <c r="P663" s="5" t="s">
        <v>45</v>
      </c>
      <c r="Q663" s="7">
        <v>13804.03</v>
      </c>
      <c r="R663" s="5" t="s">
        <v>45</v>
      </c>
      <c r="S663" s="7">
        <v>4062.4</v>
      </c>
      <c r="T663" s="5" t="s">
        <v>46</v>
      </c>
      <c r="U663" s="5" t="s">
        <v>47</v>
      </c>
      <c r="V663" s="5" t="s">
        <v>47</v>
      </c>
      <c r="W663" s="5" t="s">
        <v>47</v>
      </c>
      <c r="X663" s="5" t="s">
        <v>47</v>
      </c>
    </row>
    <row r="664" spans="1:24" x14ac:dyDescent="0.25">
      <c r="A664" s="5" t="s">
        <v>34</v>
      </c>
      <c r="B664" s="5" t="s">
        <v>202</v>
      </c>
      <c r="C664" s="5" t="s">
        <v>203</v>
      </c>
      <c r="D664" s="5" t="s">
        <v>37</v>
      </c>
      <c r="E664" s="5" t="s">
        <v>92</v>
      </c>
      <c r="F664" s="5" t="s">
        <v>93</v>
      </c>
      <c r="G664" s="5" t="s">
        <v>40</v>
      </c>
      <c r="H664" s="6">
        <v>45961</v>
      </c>
      <c r="I664" s="6">
        <v>45961</v>
      </c>
      <c r="J664" s="6">
        <v>45964</v>
      </c>
      <c r="K664" s="5" t="s">
        <v>135</v>
      </c>
      <c r="L664" s="5" t="s">
        <v>136</v>
      </c>
      <c r="M664" s="5" t="s">
        <v>43</v>
      </c>
      <c r="N664" s="5" t="s">
        <v>137</v>
      </c>
      <c r="O664" s="7">
        <v>653.30999999999995</v>
      </c>
      <c r="P664" s="5" t="s">
        <v>45</v>
      </c>
      <c r="Q664" s="7">
        <v>653.30999999999995</v>
      </c>
      <c r="R664" s="5" t="s">
        <v>45</v>
      </c>
      <c r="S664" s="7">
        <v>192.26</v>
      </c>
      <c r="T664" s="5" t="s">
        <v>46</v>
      </c>
      <c r="U664" s="5" t="s">
        <v>47</v>
      </c>
      <c r="V664" s="5" t="s">
        <v>47</v>
      </c>
      <c r="W664" s="5" t="s">
        <v>47</v>
      </c>
      <c r="X664" s="5" t="s">
        <v>47</v>
      </c>
    </row>
    <row r="665" spans="1:24" x14ac:dyDescent="0.25">
      <c r="A665" s="5" t="s">
        <v>34</v>
      </c>
      <c r="B665" s="5" t="s">
        <v>202</v>
      </c>
      <c r="C665" s="5" t="s">
        <v>203</v>
      </c>
      <c r="D665" s="5" t="s">
        <v>37</v>
      </c>
      <c r="E665" s="5" t="s">
        <v>142</v>
      </c>
      <c r="F665" s="5" t="s">
        <v>143</v>
      </c>
      <c r="G665" s="5" t="s">
        <v>40</v>
      </c>
      <c r="H665" s="6">
        <v>45961</v>
      </c>
      <c r="I665" s="6">
        <v>45961</v>
      </c>
      <c r="J665" s="6">
        <v>45964</v>
      </c>
      <c r="K665" s="5" t="s">
        <v>135</v>
      </c>
      <c r="L665" s="5" t="s">
        <v>136</v>
      </c>
      <c r="M665" s="5" t="s">
        <v>43</v>
      </c>
      <c r="N665" s="5" t="s">
        <v>137</v>
      </c>
      <c r="O665" s="7">
        <v>159.85</v>
      </c>
      <c r="P665" s="5" t="s">
        <v>45</v>
      </c>
      <c r="Q665" s="7">
        <v>159.85</v>
      </c>
      <c r="R665" s="5" t="s">
        <v>45</v>
      </c>
      <c r="S665" s="7">
        <v>47.04</v>
      </c>
      <c r="T665" s="5" t="s">
        <v>46</v>
      </c>
      <c r="U665" s="5" t="s">
        <v>47</v>
      </c>
      <c r="V665" s="5" t="s">
        <v>47</v>
      </c>
      <c r="W665" s="5" t="s">
        <v>47</v>
      </c>
      <c r="X665" s="5" t="s">
        <v>47</v>
      </c>
    </row>
    <row r="666" spans="1:24" x14ac:dyDescent="0.25">
      <c r="A666" s="5" t="s">
        <v>34</v>
      </c>
      <c r="B666" s="5" t="s">
        <v>202</v>
      </c>
      <c r="C666" s="5" t="s">
        <v>203</v>
      </c>
      <c r="D666" s="5" t="s">
        <v>37</v>
      </c>
      <c r="E666" s="5" t="s">
        <v>106</v>
      </c>
      <c r="F666" s="5" t="s">
        <v>107</v>
      </c>
      <c r="G666" s="5" t="s">
        <v>40</v>
      </c>
      <c r="H666" s="6">
        <v>45961</v>
      </c>
      <c r="I666" s="6">
        <v>45961</v>
      </c>
      <c r="J666" s="6">
        <v>45964</v>
      </c>
      <c r="K666" s="5" t="s">
        <v>135</v>
      </c>
      <c r="L666" s="5" t="s">
        <v>136</v>
      </c>
      <c r="M666" s="5" t="s">
        <v>43</v>
      </c>
      <c r="N666" s="5" t="s">
        <v>137</v>
      </c>
      <c r="O666" s="7">
        <v>1204.56</v>
      </c>
      <c r="P666" s="5" t="s">
        <v>45</v>
      </c>
      <c r="Q666" s="7">
        <v>1204.56</v>
      </c>
      <c r="R666" s="5" t="s">
        <v>45</v>
      </c>
      <c r="S666" s="7">
        <v>354.49</v>
      </c>
      <c r="T666" s="5" t="s">
        <v>46</v>
      </c>
      <c r="U666" s="5" t="s">
        <v>47</v>
      </c>
      <c r="V666" s="5" t="s">
        <v>47</v>
      </c>
      <c r="W666" s="5" t="s">
        <v>47</v>
      </c>
      <c r="X666" s="5" t="s">
        <v>47</v>
      </c>
    </row>
    <row r="667" spans="1:24" x14ac:dyDescent="0.25">
      <c r="A667" s="5" t="s">
        <v>34</v>
      </c>
      <c r="B667" s="5" t="s">
        <v>202</v>
      </c>
      <c r="C667" s="5" t="s">
        <v>203</v>
      </c>
      <c r="D667" s="5" t="s">
        <v>37</v>
      </c>
      <c r="E667" s="5" t="s">
        <v>138</v>
      </c>
      <c r="F667" s="5" t="s">
        <v>139</v>
      </c>
      <c r="G667" s="5" t="s">
        <v>40</v>
      </c>
      <c r="H667" s="6">
        <v>45961</v>
      </c>
      <c r="I667" s="6">
        <v>45961</v>
      </c>
      <c r="J667" s="6">
        <v>45964</v>
      </c>
      <c r="K667" s="5" t="s">
        <v>135</v>
      </c>
      <c r="L667" s="5" t="s">
        <v>136</v>
      </c>
      <c r="M667" s="5" t="s">
        <v>43</v>
      </c>
      <c r="N667" s="5" t="s">
        <v>137</v>
      </c>
      <c r="O667" s="7">
        <v>2622.05</v>
      </c>
      <c r="P667" s="5" t="s">
        <v>45</v>
      </c>
      <c r="Q667" s="7">
        <v>2622.05</v>
      </c>
      <c r="R667" s="5" t="s">
        <v>45</v>
      </c>
      <c r="S667" s="7">
        <v>771.65</v>
      </c>
      <c r="T667" s="5" t="s">
        <v>46</v>
      </c>
      <c r="U667" s="5" t="s">
        <v>47</v>
      </c>
      <c r="V667" s="5" t="s">
        <v>47</v>
      </c>
      <c r="W667" s="5" t="s">
        <v>47</v>
      </c>
      <c r="X667" s="5" t="s">
        <v>47</v>
      </c>
    </row>
    <row r="668" spans="1:24" x14ac:dyDescent="0.25">
      <c r="A668" s="5" t="s">
        <v>34</v>
      </c>
      <c r="B668" s="5" t="s">
        <v>202</v>
      </c>
      <c r="C668" s="5" t="s">
        <v>203</v>
      </c>
      <c r="D668" s="5" t="s">
        <v>37</v>
      </c>
      <c r="E668" s="5" t="s">
        <v>70</v>
      </c>
      <c r="F668" s="5" t="s">
        <v>71</v>
      </c>
      <c r="G668" s="5" t="s">
        <v>40</v>
      </c>
      <c r="H668" s="6">
        <v>45961</v>
      </c>
      <c r="I668" s="6">
        <v>45961</v>
      </c>
      <c r="J668" s="6">
        <v>45964</v>
      </c>
      <c r="K668" s="5" t="s">
        <v>135</v>
      </c>
      <c r="L668" s="5" t="s">
        <v>136</v>
      </c>
      <c r="M668" s="5" t="s">
        <v>43</v>
      </c>
      <c r="N668" s="5" t="s">
        <v>137</v>
      </c>
      <c r="O668" s="7">
        <v>1101.42</v>
      </c>
      <c r="P668" s="5" t="s">
        <v>45</v>
      </c>
      <c r="Q668" s="7">
        <v>1101.42</v>
      </c>
      <c r="R668" s="5" t="s">
        <v>45</v>
      </c>
      <c r="S668" s="7">
        <v>324.14</v>
      </c>
      <c r="T668" s="5" t="s">
        <v>46</v>
      </c>
      <c r="U668" s="5" t="s">
        <v>47</v>
      </c>
      <c r="V668" s="5" t="s">
        <v>47</v>
      </c>
      <c r="W668" s="5" t="s">
        <v>47</v>
      </c>
      <c r="X668" s="5" t="s">
        <v>47</v>
      </c>
    </row>
    <row r="669" spans="1:24" x14ac:dyDescent="0.25">
      <c r="A669" s="5" t="s">
        <v>34</v>
      </c>
      <c r="B669" s="5" t="s">
        <v>202</v>
      </c>
      <c r="C669" s="5" t="s">
        <v>203</v>
      </c>
      <c r="D669" s="5" t="s">
        <v>37</v>
      </c>
      <c r="E669" s="5" t="s">
        <v>96</v>
      </c>
      <c r="F669" s="5" t="s">
        <v>97</v>
      </c>
      <c r="G669" s="5" t="s">
        <v>40</v>
      </c>
      <c r="H669" s="6">
        <v>45961</v>
      </c>
      <c r="I669" s="6">
        <v>45961</v>
      </c>
      <c r="J669" s="6">
        <v>45964</v>
      </c>
      <c r="K669" s="5" t="s">
        <v>135</v>
      </c>
      <c r="L669" s="5" t="s">
        <v>136</v>
      </c>
      <c r="M669" s="5" t="s">
        <v>43</v>
      </c>
      <c r="N669" s="5" t="s">
        <v>137</v>
      </c>
      <c r="O669" s="7">
        <v>35733.449999999997</v>
      </c>
      <c r="P669" s="5" t="s">
        <v>45</v>
      </c>
      <c r="Q669" s="7">
        <v>35733.449999999997</v>
      </c>
      <c r="R669" s="5" t="s">
        <v>45</v>
      </c>
      <c r="S669" s="7">
        <v>10516.02</v>
      </c>
      <c r="T669" s="5" t="s">
        <v>46</v>
      </c>
      <c r="U669" s="5" t="s">
        <v>47</v>
      </c>
      <c r="V669" s="5" t="s">
        <v>47</v>
      </c>
      <c r="W669" s="5" t="s">
        <v>47</v>
      </c>
      <c r="X669" s="5" t="s">
        <v>47</v>
      </c>
    </row>
    <row r="670" spans="1:24" x14ac:dyDescent="0.25">
      <c r="A670" s="5" t="s">
        <v>34</v>
      </c>
      <c r="B670" s="5" t="s">
        <v>202</v>
      </c>
      <c r="C670" s="5" t="s">
        <v>203</v>
      </c>
      <c r="D670" s="5" t="s">
        <v>37</v>
      </c>
      <c r="E670" s="5" t="s">
        <v>82</v>
      </c>
      <c r="F670" s="5" t="s">
        <v>83</v>
      </c>
      <c r="G670" s="5" t="s">
        <v>40</v>
      </c>
      <c r="H670" s="6">
        <v>45961</v>
      </c>
      <c r="I670" s="6">
        <v>45961</v>
      </c>
      <c r="J670" s="6">
        <v>45964</v>
      </c>
      <c r="K670" s="5" t="s">
        <v>135</v>
      </c>
      <c r="L670" s="5" t="s">
        <v>136</v>
      </c>
      <c r="M670" s="5" t="s">
        <v>43</v>
      </c>
      <c r="N670" s="5" t="s">
        <v>137</v>
      </c>
      <c r="O670" s="7">
        <v>7446.36</v>
      </c>
      <c r="P670" s="5" t="s">
        <v>45</v>
      </c>
      <c r="Q670" s="7">
        <v>7446.36</v>
      </c>
      <c r="R670" s="5" t="s">
        <v>45</v>
      </c>
      <c r="S670" s="7">
        <v>2191.39</v>
      </c>
      <c r="T670" s="5" t="s">
        <v>46</v>
      </c>
      <c r="U670" s="5" t="s">
        <v>47</v>
      </c>
      <c r="V670" s="5" t="s">
        <v>47</v>
      </c>
      <c r="W670" s="5" t="s">
        <v>47</v>
      </c>
      <c r="X670" s="5" t="s">
        <v>47</v>
      </c>
    </row>
    <row r="671" spans="1:24" x14ac:dyDescent="0.25">
      <c r="A671" s="5" t="s">
        <v>34</v>
      </c>
      <c r="B671" s="5" t="s">
        <v>202</v>
      </c>
      <c r="C671" s="5" t="s">
        <v>203</v>
      </c>
      <c r="D671" s="5" t="s">
        <v>37</v>
      </c>
      <c r="E671" s="5" t="s">
        <v>104</v>
      </c>
      <c r="F671" s="5" t="s">
        <v>105</v>
      </c>
      <c r="G671" s="5" t="s">
        <v>40</v>
      </c>
      <c r="H671" s="6">
        <v>45961</v>
      </c>
      <c r="I671" s="6">
        <v>45961</v>
      </c>
      <c r="J671" s="6">
        <v>45964</v>
      </c>
      <c r="K671" s="5" t="s">
        <v>135</v>
      </c>
      <c r="L671" s="5" t="s">
        <v>136</v>
      </c>
      <c r="M671" s="5" t="s">
        <v>43</v>
      </c>
      <c r="N671" s="5" t="s">
        <v>137</v>
      </c>
      <c r="O671" s="7">
        <v>4696.72</v>
      </c>
      <c r="P671" s="5" t="s">
        <v>45</v>
      </c>
      <c r="Q671" s="7">
        <v>4696.72</v>
      </c>
      <c r="R671" s="5" t="s">
        <v>45</v>
      </c>
      <c r="S671" s="7">
        <v>1382.2</v>
      </c>
      <c r="T671" s="5" t="s">
        <v>46</v>
      </c>
      <c r="U671" s="5" t="s">
        <v>47</v>
      </c>
      <c r="V671" s="5" t="s">
        <v>47</v>
      </c>
      <c r="W671" s="5" t="s">
        <v>47</v>
      </c>
      <c r="X671" s="5" t="s">
        <v>47</v>
      </c>
    </row>
    <row r="672" spans="1:24" x14ac:dyDescent="0.25">
      <c r="A672" s="5" t="s">
        <v>34</v>
      </c>
      <c r="B672" s="5" t="s">
        <v>202</v>
      </c>
      <c r="C672" s="5" t="s">
        <v>203</v>
      </c>
      <c r="D672" s="5" t="s">
        <v>37</v>
      </c>
      <c r="E672" s="5" t="s">
        <v>68</v>
      </c>
      <c r="F672" s="5" t="s">
        <v>69</v>
      </c>
      <c r="G672" s="5" t="s">
        <v>40</v>
      </c>
      <c r="H672" s="6">
        <v>45961</v>
      </c>
      <c r="I672" s="6">
        <v>45961</v>
      </c>
      <c r="J672" s="6">
        <v>45964</v>
      </c>
      <c r="K672" s="5" t="s">
        <v>135</v>
      </c>
      <c r="L672" s="5" t="s">
        <v>136</v>
      </c>
      <c r="M672" s="5" t="s">
        <v>43</v>
      </c>
      <c r="N672" s="5" t="s">
        <v>137</v>
      </c>
      <c r="O672" s="7">
        <v>3706.46</v>
      </c>
      <c r="P672" s="5" t="s">
        <v>45</v>
      </c>
      <c r="Q672" s="7">
        <v>3706.46</v>
      </c>
      <c r="R672" s="5" t="s">
        <v>45</v>
      </c>
      <c r="S672" s="7">
        <v>1090.78</v>
      </c>
      <c r="T672" s="5" t="s">
        <v>46</v>
      </c>
      <c r="U672" s="5" t="s">
        <v>47</v>
      </c>
      <c r="V672" s="5" t="s">
        <v>47</v>
      </c>
      <c r="W672" s="5" t="s">
        <v>47</v>
      </c>
      <c r="X672" s="5" t="s">
        <v>47</v>
      </c>
    </row>
    <row r="673" spans="1:24" x14ac:dyDescent="0.25">
      <c r="A673" s="5" t="s">
        <v>34</v>
      </c>
      <c r="B673" s="5" t="s">
        <v>202</v>
      </c>
      <c r="C673" s="5" t="s">
        <v>203</v>
      </c>
      <c r="D673" s="5" t="s">
        <v>37</v>
      </c>
      <c r="E673" s="5" t="s">
        <v>110</v>
      </c>
      <c r="F673" s="5" t="s">
        <v>111</v>
      </c>
      <c r="G673" s="5" t="s">
        <v>40</v>
      </c>
      <c r="H673" s="6">
        <v>45961</v>
      </c>
      <c r="I673" s="6">
        <v>45961</v>
      </c>
      <c r="J673" s="6">
        <v>45964</v>
      </c>
      <c r="K673" s="5" t="s">
        <v>135</v>
      </c>
      <c r="L673" s="5" t="s">
        <v>136</v>
      </c>
      <c r="M673" s="5" t="s">
        <v>43</v>
      </c>
      <c r="N673" s="5" t="s">
        <v>137</v>
      </c>
      <c r="O673" s="7">
        <v>12325.85</v>
      </c>
      <c r="P673" s="5" t="s">
        <v>45</v>
      </c>
      <c r="Q673" s="7">
        <v>12325.85</v>
      </c>
      <c r="R673" s="5" t="s">
        <v>45</v>
      </c>
      <c r="S673" s="7">
        <v>3627.38</v>
      </c>
      <c r="T673" s="5" t="s">
        <v>46</v>
      </c>
      <c r="U673" s="5" t="s">
        <v>47</v>
      </c>
      <c r="V673" s="5" t="s">
        <v>47</v>
      </c>
      <c r="W673" s="5" t="s">
        <v>47</v>
      </c>
      <c r="X673" s="5" t="s">
        <v>47</v>
      </c>
    </row>
    <row r="674" spans="1:24" x14ac:dyDescent="0.25">
      <c r="A674" s="5" t="s">
        <v>34</v>
      </c>
      <c r="B674" s="5" t="s">
        <v>202</v>
      </c>
      <c r="C674" s="5" t="s">
        <v>203</v>
      </c>
      <c r="D674" s="5" t="s">
        <v>37</v>
      </c>
      <c r="E674" s="5" t="s">
        <v>52</v>
      </c>
      <c r="F674" s="5" t="s">
        <v>53</v>
      </c>
      <c r="G674" s="5" t="s">
        <v>40</v>
      </c>
      <c r="H674" s="6">
        <v>45961</v>
      </c>
      <c r="I674" s="6">
        <v>45961</v>
      </c>
      <c r="J674" s="6">
        <v>45964</v>
      </c>
      <c r="K674" s="5" t="s">
        <v>135</v>
      </c>
      <c r="L674" s="5" t="s">
        <v>136</v>
      </c>
      <c r="M674" s="5" t="s">
        <v>43</v>
      </c>
      <c r="N674" s="5" t="s">
        <v>137</v>
      </c>
      <c r="O674" s="7">
        <v>455.01</v>
      </c>
      <c r="P674" s="5" t="s">
        <v>45</v>
      </c>
      <c r="Q674" s="7">
        <v>455.01</v>
      </c>
      <c r="R674" s="5" t="s">
        <v>45</v>
      </c>
      <c r="S674" s="7">
        <v>133.91</v>
      </c>
      <c r="T674" s="5" t="s">
        <v>46</v>
      </c>
      <c r="U674" s="5" t="s">
        <v>47</v>
      </c>
      <c r="V674" s="5" t="s">
        <v>47</v>
      </c>
      <c r="W674" s="5" t="s">
        <v>47</v>
      </c>
      <c r="X674" s="5" t="s">
        <v>47</v>
      </c>
    </row>
    <row r="675" spans="1:24" x14ac:dyDescent="0.25">
      <c r="A675" s="5" t="s">
        <v>34</v>
      </c>
      <c r="B675" s="5" t="s">
        <v>202</v>
      </c>
      <c r="C675" s="5" t="s">
        <v>203</v>
      </c>
      <c r="D675" s="5" t="s">
        <v>37</v>
      </c>
      <c r="E675" s="5" t="s">
        <v>110</v>
      </c>
      <c r="F675" s="5" t="s">
        <v>111</v>
      </c>
      <c r="G675" s="5" t="s">
        <v>40</v>
      </c>
      <c r="H675" s="6">
        <v>45961</v>
      </c>
      <c r="I675" s="6">
        <v>45961</v>
      </c>
      <c r="J675" s="6">
        <v>45960</v>
      </c>
      <c r="K675" s="5" t="s">
        <v>150</v>
      </c>
      <c r="L675" s="5" t="s">
        <v>151</v>
      </c>
      <c r="M675" s="5" t="s">
        <v>43</v>
      </c>
      <c r="N675" s="5" t="s">
        <v>152</v>
      </c>
      <c r="O675" s="7">
        <v>208.01</v>
      </c>
      <c r="P675" s="5" t="s">
        <v>45</v>
      </c>
      <c r="Q675" s="7">
        <v>208.01</v>
      </c>
      <c r="R675" s="5" t="s">
        <v>45</v>
      </c>
      <c r="S675" s="7">
        <v>61.29</v>
      </c>
      <c r="T675" s="5" t="s">
        <v>46</v>
      </c>
      <c r="U675" s="5" t="s">
        <v>47</v>
      </c>
      <c r="V675" s="5" t="s">
        <v>47</v>
      </c>
      <c r="W675" s="5" t="s">
        <v>47</v>
      </c>
      <c r="X675" s="5" t="s">
        <v>47</v>
      </c>
    </row>
    <row r="676" spans="1:24" x14ac:dyDescent="0.25">
      <c r="A676" s="5" t="s">
        <v>34</v>
      </c>
      <c r="B676" s="5" t="s">
        <v>202</v>
      </c>
      <c r="C676" s="5" t="s">
        <v>203</v>
      </c>
      <c r="D676" s="5" t="s">
        <v>37</v>
      </c>
      <c r="E676" s="5" t="s">
        <v>62</v>
      </c>
      <c r="F676" s="5" t="s">
        <v>63</v>
      </c>
      <c r="G676" s="5" t="s">
        <v>40</v>
      </c>
      <c r="H676" s="6">
        <v>45961</v>
      </c>
      <c r="I676" s="6">
        <v>45961</v>
      </c>
      <c r="J676" s="6">
        <v>45964</v>
      </c>
      <c r="K676" s="5" t="s">
        <v>135</v>
      </c>
      <c r="L676" s="5" t="s">
        <v>136</v>
      </c>
      <c r="M676" s="5" t="s">
        <v>43</v>
      </c>
      <c r="N676" s="5" t="s">
        <v>137</v>
      </c>
      <c r="O676" s="7">
        <v>7007.68</v>
      </c>
      <c r="P676" s="5" t="s">
        <v>45</v>
      </c>
      <c r="Q676" s="7">
        <v>7007.68</v>
      </c>
      <c r="R676" s="5" t="s">
        <v>45</v>
      </c>
      <c r="S676" s="7">
        <v>2062.3000000000002</v>
      </c>
      <c r="T676" s="5" t="s">
        <v>46</v>
      </c>
      <c r="U676" s="5" t="s">
        <v>47</v>
      </c>
      <c r="V676" s="5" t="s">
        <v>47</v>
      </c>
      <c r="W676" s="5" t="s">
        <v>47</v>
      </c>
      <c r="X676" s="5" t="s">
        <v>47</v>
      </c>
    </row>
    <row r="677" spans="1:24" x14ac:dyDescent="0.25">
      <c r="A677" s="5" t="s">
        <v>34</v>
      </c>
      <c r="B677" s="5" t="s">
        <v>202</v>
      </c>
      <c r="C677" s="5" t="s">
        <v>203</v>
      </c>
      <c r="D677" s="5" t="s">
        <v>37</v>
      </c>
      <c r="E677" s="5" t="s">
        <v>72</v>
      </c>
      <c r="F677" s="5" t="s">
        <v>73</v>
      </c>
      <c r="G677" s="5" t="s">
        <v>40</v>
      </c>
      <c r="H677" s="6">
        <v>45961</v>
      </c>
      <c r="I677" s="6">
        <v>45961</v>
      </c>
      <c r="J677" s="6">
        <v>45964</v>
      </c>
      <c r="K677" s="5" t="s">
        <v>135</v>
      </c>
      <c r="L677" s="5" t="s">
        <v>136</v>
      </c>
      <c r="M677" s="5" t="s">
        <v>43</v>
      </c>
      <c r="N677" s="5" t="s">
        <v>137</v>
      </c>
      <c r="O677" s="7">
        <v>897.58</v>
      </c>
      <c r="P677" s="5" t="s">
        <v>45</v>
      </c>
      <c r="Q677" s="7">
        <v>897.58</v>
      </c>
      <c r="R677" s="5" t="s">
        <v>45</v>
      </c>
      <c r="S677" s="7">
        <v>264.14999999999998</v>
      </c>
      <c r="T677" s="5" t="s">
        <v>46</v>
      </c>
      <c r="U677" s="5" t="s">
        <v>47</v>
      </c>
      <c r="V677" s="5" t="s">
        <v>47</v>
      </c>
      <c r="W677" s="5" t="s">
        <v>47</v>
      </c>
      <c r="X677" s="5" t="s">
        <v>47</v>
      </c>
    </row>
    <row r="678" spans="1:24" x14ac:dyDescent="0.25">
      <c r="A678" s="5" t="s">
        <v>34</v>
      </c>
      <c r="B678" s="5" t="s">
        <v>213</v>
      </c>
      <c r="C678" s="5" t="s">
        <v>214</v>
      </c>
      <c r="D678" s="5" t="s">
        <v>37</v>
      </c>
      <c r="E678" s="5" t="s">
        <v>52</v>
      </c>
      <c r="F678" s="5" t="s">
        <v>53</v>
      </c>
      <c r="G678" s="5" t="s">
        <v>40</v>
      </c>
      <c r="H678" s="6">
        <v>45961</v>
      </c>
      <c r="I678" s="6">
        <v>45961</v>
      </c>
      <c r="J678" s="6">
        <v>45964</v>
      </c>
      <c r="K678" s="5" t="s">
        <v>41</v>
      </c>
      <c r="L678" s="5" t="s">
        <v>42</v>
      </c>
      <c r="M678" s="5" t="s">
        <v>43</v>
      </c>
      <c r="N678" s="5" t="s">
        <v>44</v>
      </c>
      <c r="O678" s="7">
        <v>8.85</v>
      </c>
      <c r="P678" s="5" t="s">
        <v>45</v>
      </c>
      <c r="Q678" s="7">
        <v>8.85</v>
      </c>
      <c r="R678" s="5" t="s">
        <v>45</v>
      </c>
      <c r="S678" s="7">
        <v>2.6</v>
      </c>
      <c r="T678" s="5" t="s">
        <v>46</v>
      </c>
      <c r="U678" s="5" t="s">
        <v>47</v>
      </c>
      <c r="V678" s="5" t="s">
        <v>47</v>
      </c>
      <c r="W678" s="5" t="s">
        <v>47</v>
      </c>
      <c r="X678" s="5" t="s">
        <v>47</v>
      </c>
    </row>
    <row r="679" spans="1:24" x14ac:dyDescent="0.25">
      <c r="A679" s="5" t="s">
        <v>34</v>
      </c>
      <c r="B679" s="5" t="s">
        <v>213</v>
      </c>
      <c r="C679" s="5" t="s">
        <v>214</v>
      </c>
      <c r="D679" s="5" t="s">
        <v>37</v>
      </c>
      <c r="E679" s="5" t="s">
        <v>62</v>
      </c>
      <c r="F679" s="5" t="s">
        <v>63</v>
      </c>
      <c r="G679" s="5" t="s">
        <v>40</v>
      </c>
      <c r="H679" s="6">
        <v>45961</v>
      </c>
      <c r="I679" s="6">
        <v>45961</v>
      </c>
      <c r="J679" s="6">
        <v>45964</v>
      </c>
      <c r="K679" s="5" t="s">
        <v>41</v>
      </c>
      <c r="L679" s="5" t="s">
        <v>42</v>
      </c>
      <c r="M679" s="5" t="s">
        <v>43</v>
      </c>
      <c r="N679" s="5" t="s">
        <v>44</v>
      </c>
      <c r="O679" s="7">
        <v>17.97</v>
      </c>
      <c r="P679" s="5" t="s">
        <v>45</v>
      </c>
      <c r="Q679" s="7">
        <v>17.97</v>
      </c>
      <c r="R679" s="5" t="s">
        <v>45</v>
      </c>
      <c r="S679" s="7">
        <v>5.29</v>
      </c>
      <c r="T679" s="5" t="s">
        <v>46</v>
      </c>
      <c r="U679" s="5" t="s">
        <v>47</v>
      </c>
      <c r="V679" s="5" t="s">
        <v>47</v>
      </c>
      <c r="W679" s="5" t="s">
        <v>47</v>
      </c>
      <c r="X679" s="5" t="s">
        <v>47</v>
      </c>
    </row>
    <row r="680" spans="1:24" x14ac:dyDescent="0.25">
      <c r="A680" s="5" t="s">
        <v>34</v>
      </c>
      <c r="B680" s="5" t="s">
        <v>213</v>
      </c>
      <c r="C680" s="5" t="s">
        <v>214</v>
      </c>
      <c r="D680" s="5" t="s">
        <v>37</v>
      </c>
      <c r="E680" s="5" t="s">
        <v>72</v>
      </c>
      <c r="F680" s="5" t="s">
        <v>73</v>
      </c>
      <c r="G680" s="5" t="s">
        <v>40</v>
      </c>
      <c r="H680" s="6">
        <v>45961</v>
      </c>
      <c r="I680" s="6">
        <v>45961</v>
      </c>
      <c r="J680" s="6">
        <v>45964</v>
      </c>
      <c r="K680" s="5" t="s">
        <v>41</v>
      </c>
      <c r="L680" s="5" t="s">
        <v>42</v>
      </c>
      <c r="M680" s="5" t="s">
        <v>43</v>
      </c>
      <c r="N680" s="5" t="s">
        <v>44</v>
      </c>
      <c r="O680" s="7">
        <v>16.440000000000001</v>
      </c>
      <c r="P680" s="5" t="s">
        <v>45</v>
      </c>
      <c r="Q680" s="7">
        <v>16.440000000000001</v>
      </c>
      <c r="R680" s="5" t="s">
        <v>45</v>
      </c>
      <c r="S680" s="7">
        <v>4.84</v>
      </c>
      <c r="T680" s="5" t="s">
        <v>46</v>
      </c>
      <c r="U680" s="5" t="s">
        <v>47</v>
      </c>
      <c r="V680" s="5" t="s">
        <v>47</v>
      </c>
      <c r="W680" s="5" t="s">
        <v>47</v>
      </c>
      <c r="X680" s="5" t="s">
        <v>47</v>
      </c>
    </row>
    <row r="681" spans="1:24" x14ac:dyDescent="0.25">
      <c r="A681" s="5" t="s">
        <v>34</v>
      </c>
      <c r="B681" s="5" t="s">
        <v>213</v>
      </c>
      <c r="C681" s="5" t="s">
        <v>214</v>
      </c>
      <c r="D681" s="5" t="s">
        <v>37</v>
      </c>
      <c r="E681" s="5" t="s">
        <v>64</v>
      </c>
      <c r="F681" s="5" t="s">
        <v>65</v>
      </c>
      <c r="G681" s="5" t="s">
        <v>40</v>
      </c>
      <c r="H681" s="6">
        <v>45961</v>
      </c>
      <c r="I681" s="6">
        <v>45961</v>
      </c>
      <c r="J681" s="6">
        <v>45964</v>
      </c>
      <c r="K681" s="5" t="s">
        <v>41</v>
      </c>
      <c r="L681" s="5" t="s">
        <v>42</v>
      </c>
      <c r="M681" s="5" t="s">
        <v>43</v>
      </c>
      <c r="N681" s="5" t="s">
        <v>44</v>
      </c>
      <c r="O681" s="7">
        <v>10.8</v>
      </c>
      <c r="P681" s="5" t="s">
        <v>45</v>
      </c>
      <c r="Q681" s="7">
        <v>10.8</v>
      </c>
      <c r="R681" s="5" t="s">
        <v>45</v>
      </c>
      <c r="S681" s="7">
        <v>3.18</v>
      </c>
      <c r="T681" s="5" t="s">
        <v>46</v>
      </c>
      <c r="U681" s="5" t="s">
        <v>47</v>
      </c>
      <c r="V681" s="5" t="s">
        <v>47</v>
      </c>
      <c r="W681" s="5" t="s">
        <v>47</v>
      </c>
      <c r="X681" s="5" t="s">
        <v>47</v>
      </c>
    </row>
    <row r="682" spans="1:24" x14ac:dyDescent="0.25">
      <c r="A682" s="5" t="s">
        <v>34</v>
      </c>
      <c r="B682" s="5" t="s">
        <v>213</v>
      </c>
      <c r="C682" s="5" t="s">
        <v>214</v>
      </c>
      <c r="D682" s="5" t="s">
        <v>37</v>
      </c>
      <c r="E682" s="5" t="s">
        <v>94</v>
      </c>
      <c r="F682" s="5" t="s">
        <v>95</v>
      </c>
      <c r="G682" s="5" t="s">
        <v>40</v>
      </c>
      <c r="H682" s="6">
        <v>45961</v>
      </c>
      <c r="I682" s="6">
        <v>45961</v>
      </c>
      <c r="J682" s="6">
        <v>45964</v>
      </c>
      <c r="K682" s="5" t="s">
        <v>41</v>
      </c>
      <c r="L682" s="5" t="s">
        <v>42</v>
      </c>
      <c r="M682" s="5" t="s">
        <v>43</v>
      </c>
      <c r="N682" s="5" t="s">
        <v>44</v>
      </c>
      <c r="O682" s="7">
        <v>203.79</v>
      </c>
      <c r="P682" s="5" t="s">
        <v>45</v>
      </c>
      <c r="Q682" s="7">
        <v>203.79</v>
      </c>
      <c r="R682" s="5" t="s">
        <v>45</v>
      </c>
      <c r="S682" s="7">
        <v>59.97</v>
      </c>
      <c r="T682" s="5" t="s">
        <v>46</v>
      </c>
      <c r="U682" s="5" t="s">
        <v>47</v>
      </c>
      <c r="V682" s="5" t="s">
        <v>47</v>
      </c>
      <c r="W682" s="5" t="s">
        <v>47</v>
      </c>
      <c r="X682" s="5" t="s">
        <v>47</v>
      </c>
    </row>
    <row r="683" spans="1:24" x14ac:dyDescent="0.25">
      <c r="A683" s="5" t="s">
        <v>34</v>
      </c>
      <c r="B683" s="5" t="s">
        <v>213</v>
      </c>
      <c r="C683" s="5" t="s">
        <v>214</v>
      </c>
      <c r="D683" s="5" t="s">
        <v>37</v>
      </c>
      <c r="E683" s="5" t="s">
        <v>56</v>
      </c>
      <c r="F683" s="5" t="s">
        <v>57</v>
      </c>
      <c r="G683" s="5" t="s">
        <v>40</v>
      </c>
      <c r="H683" s="6">
        <v>45961</v>
      </c>
      <c r="I683" s="6">
        <v>45961</v>
      </c>
      <c r="J683" s="6">
        <v>45964</v>
      </c>
      <c r="K683" s="5" t="s">
        <v>41</v>
      </c>
      <c r="L683" s="5" t="s">
        <v>42</v>
      </c>
      <c r="M683" s="5" t="s">
        <v>43</v>
      </c>
      <c r="N683" s="5" t="s">
        <v>44</v>
      </c>
      <c r="O683" s="7">
        <v>157.25</v>
      </c>
      <c r="P683" s="5" t="s">
        <v>45</v>
      </c>
      <c r="Q683" s="7">
        <v>157.25</v>
      </c>
      <c r="R683" s="5" t="s">
        <v>45</v>
      </c>
      <c r="S683" s="7">
        <v>46.28</v>
      </c>
      <c r="T683" s="5" t="s">
        <v>46</v>
      </c>
      <c r="U683" s="5" t="s">
        <v>47</v>
      </c>
      <c r="V683" s="5" t="s">
        <v>47</v>
      </c>
      <c r="W683" s="5" t="s">
        <v>47</v>
      </c>
      <c r="X683" s="5" t="s">
        <v>47</v>
      </c>
    </row>
    <row r="684" spans="1:24" x14ac:dyDescent="0.25">
      <c r="A684" s="5" t="s">
        <v>34</v>
      </c>
      <c r="B684" s="5" t="s">
        <v>213</v>
      </c>
      <c r="C684" s="5" t="s">
        <v>214</v>
      </c>
      <c r="D684" s="5" t="s">
        <v>37</v>
      </c>
      <c r="E684" s="5" t="s">
        <v>108</v>
      </c>
      <c r="F684" s="5" t="s">
        <v>109</v>
      </c>
      <c r="G684" s="5" t="s">
        <v>40</v>
      </c>
      <c r="H684" s="6">
        <v>45961</v>
      </c>
      <c r="I684" s="6">
        <v>45961</v>
      </c>
      <c r="J684" s="6">
        <v>45964</v>
      </c>
      <c r="K684" s="5" t="s">
        <v>41</v>
      </c>
      <c r="L684" s="5" t="s">
        <v>42</v>
      </c>
      <c r="M684" s="5" t="s">
        <v>43</v>
      </c>
      <c r="N684" s="5" t="s">
        <v>44</v>
      </c>
      <c r="O684" s="7">
        <v>32.03</v>
      </c>
      <c r="P684" s="5" t="s">
        <v>45</v>
      </c>
      <c r="Q684" s="7">
        <v>32.03</v>
      </c>
      <c r="R684" s="5" t="s">
        <v>45</v>
      </c>
      <c r="S684" s="7">
        <v>9.43</v>
      </c>
      <c r="T684" s="5" t="s">
        <v>46</v>
      </c>
      <c r="U684" s="5" t="s">
        <v>47</v>
      </c>
      <c r="V684" s="5" t="s">
        <v>47</v>
      </c>
      <c r="W684" s="5" t="s">
        <v>47</v>
      </c>
      <c r="X684" s="5" t="s">
        <v>47</v>
      </c>
    </row>
    <row r="685" spans="1:24" x14ac:dyDescent="0.25">
      <c r="A685" s="5" t="s">
        <v>34</v>
      </c>
      <c r="B685" s="5" t="s">
        <v>213</v>
      </c>
      <c r="C685" s="5" t="s">
        <v>214</v>
      </c>
      <c r="D685" s="5" t="s">
        <v>37</v>
      </c>
      <c r="E685" s="5" t="s">
        <v>86</v>
      </c>
      <c r="F685" s="5" t="s">
        <v>87</v>
      </c>
      <c r="G685" s="5" t="s">
        <v>40</v>
      </c>
      <c r="H685" s="6">
        <v>45961</v>
      </c>
      <c r="I685" s="6">
        <v>45961</v>
      </c>
      <c r="J685" s="6">
        <v>45964</v>
      </c>
      <c r="K685" s="5" t="s">
        <v>41</v>
      </c>
      <c r="L685" s="5" t="s">
        <v>42</v>
      </c>
      <c r="M685" s="5" t="s">
        <v>43</v>
      </c>
      <c r="N685" s="5" t="s">
        <v>44</v>
      </c>
      <c r="O685" s="7">
        <v>35.53</v>
      </c>
      <c r="P685" s="5" t="s">
        <v>45</v>
      </c>
      <c r="Q685" s="7">
        <v>35.53</v>
      </c>
      <c r="R685" s="5" t="s">
        <v>45</v>
      </c>
      <c r="S685" s="7">
        <v>10.46</v>
      </c>
      <c r="T685" s="5" t="s">
        <v>46</v>
      </c>
      <c r="U685" s="5" t="s">
        <v>47</v>
      </c>
      <c r="V685" s="5" t="s">
        <v>47</v>
      </c>
      <c r="W685" s="5" t="s">
        <v>47</v>
      </c>
      <c r="X685" s="5" t="s">
        <v>47</v>
      </c>
    </row>
    <row r="686" spans="1:24" x14ac:dyDescent="0.25">
      <c r="A686" s="5" t="s">
        <v>34</v>
      </c>
      <c r="B686" s="5" t="s">
        <v>213</v>
      </c>
      <c r="C686" s="5" t="s">
        <v>214</v>
      </c>
      <c r="D686" s="5" t="s">
        <v>37</v>
      </c>
      <c r="E686" s="5" t="s">
        <v>112</v>
      </c>
      <c r="F686" s="5" t="s">
        <v>113</v>
      </c>
      <c r="G686" s="5" t="s">
        <v>40</v>
      </c>
      <c r="H686" s="6">
        <v>45961</v>
      </c>
      <c r="I686" s="6">
        <v>45961</v>
      </c>
      <c r="J686" s="6">
        <v>45964</v>
      </c>
      <c r="K686" s="5" t="s">
        <v>41</v>
      </c>
      <c r="L686" s="5" t="s">
        <v>42</v>
      </c>
      <c r="M686" s="5" t="s">
        <v>43</v>
      </c>
      <c r="N686" s="5" t="s">
        <v>44</v>
      </c>
      <c r="O686" s="7">
        <v>11.83</v>
      </c>
      <c r="P686" s="5" t="s">
        <v>45</v>
      </c>
      <c r="Q686" s="7">
        <v>11.83</v>
      </c>
      <c r="R686" s="5" t="s">
        <v>45</v>
      </c>
      <c r="S686" s="7">
        <v>3.48</v>
      </c>
      <c r="T686" s="5" t="s">
        <v>46</v>
      </c>
      <c r="U686" s="5" t="s">
        <v>47</v>
      </c>
      <c r="V686" s="5" t="s">
        <v>47</v>
      </c>
      <c r="W686" s="5" t="s">
        <v>47</v>
      </c>
      <c r="X686" s="5" t="s">
        <v>47</v>
      </c>
    </row>
    <row r="687" spans="1:24" x14ac:dyDescent="0.25">
      <c r="A687" s="5" t="s">
        <v>34</v>
      </c>
      <c r="B687" s="5" t="s">
        <v>213</v>
      </c>
      <c r="C687" s="5" t="s">
        <v>214</v>
      </c>
      <c r="D687" s="5" t="s">
        <v>37</v>
      </c>
      <c r="E687" s="5" t="s">
        <v>50</v>
      </c>
      <c r="F687" s="5" t="s">
        <v>51</v>
      </c>
      <c r="G687" s="5" t="s">
        <v>40</v>
      </c>
      <c r="H687" s="6">
        <v>45961</v>
      </c>
      <c r="I687" s="6">
        <v>45961</v>
      </c>
      <c r="J687" s="6">
        <v>45964</v>
      </c>
      <c r="K687" s="5" t="s">
        <v>41</v>
      </c>
      <c r="L687" s="5" t="s">
        <v>42</v>
      </c>
      <c r="M687" s="5" t="s">
        <v>43</v>
      </c>
      <c r="N687" s="5" t="s">
        <v>44</v>
      </c>
      <c r="O687" s="7">
        <v>37.29</v>
      </c>
      <c r="P687" s="5" t="s">
        <v>45</v>
      </c>
      <c r="Q687" s="7">
        <v>37.29</v>
      </c>
      <c r="R687" s="5" t="s">
        <v>45</v>
      </c>
      <c r="S687" s="7">
        <v>10.97</v>
      </c>
      <c r="T687" s="5" t="s">
        <v>46</v>
      </c>
      <c r="U687" s="5" t="s">
        <v>47</v>
      </c>
      <c r="V687" s="5" t="s">
        <v>47</v>
      </c>
      <c r="W687" s="5" t="s">
        <v>47</v>
      </c>
      <c r="X687" s="5" t="s">
        <v>47</v>
      </c>
    </row>
    <row r="688" spans="1:24" x14ac:dyDescent="0.25">
      <c r="A688" s="5" t="s">
        <v>34</v>
      </c>
      <c r="B688" s="5" t="s">
        <v>213</v>
      </c>
      <c r="C688" s="5" t="s">
        <v>214</v>
      </c>
      <c r="D688" s="5" t="s">
        <v>37</v>
      </c>
      <c r="E688" s="5" t="s">
        <v>102</v>
      </c>
      <c r="F688" s="5" t="s">
        <v>103</v>
      </c>
      <c r="G688" s="5" t="s">
        <v>40</v>
      </c>
      <c r="H688" s="6">
        <v>45961</v>
      </c>
      <c r="I688" s="6">
        <v>45961</v>
      </c>
      <c r="J688" s="6">
        <v>45964</v>
      </c>
      <c r="K688" s="5" t="s">
        <v>41</v>
      </c>
      <c r="L688" s="5" t="s">
        <v>42</v>
      </c>
      <c r="M688" s="5" t="s">
        <v>43</v>
      </c>
      <c r="N688" s="5" t="s">
        <v>44</v>
      </c>
      <c r="O688" s="7">
        <v>48.96</v>
      </c>
      <c r="P688" s="5" t="s">
        <v>45</v>
      </c>
      <c r="Q688" s="7">
        <v>48.96</v>
      </c>
      <c r="R688" s="5" t="s">
        <v>45</v>
      </c>
      <c r="S688" s="7">
        <v>14.41</v>
      </c>
      <c r="T688" s="5" t="s">
        <v>46</v>
      </c>
      <c r="U688" s="5" t="s">
        <v>47</v>
      </c>
      <c r="V688" s="5" t="s">
        <v>47</v>
      </c>
      <c r="W688" s="5" t="s">
        <v>47</v>
      </c>
      <c r="X688" s="5" t="s">
        <v>47</v>
      </c>
    </row>
    <row r="689" spans="1:24" x14ac:dyDescent="0.25">
      <c r="A689" s="5" t="s">
        <v>34</v>
      </c>
      <c r="B689" s="5" t="s">
        <v>213</v>
      </c>
      <c r="C689" s="5" t="s">
        <v>214</v>
      </c>
      <c r="D689" s="5" t="s">
        <v>37</v>
      </c>
      <c r="E689" s="5" t="s">
        <v>116</v>
      </c>
      <c r="F689" s="5" t="s">
        <v>117</v>
      </c>
      <c r="G689" s="5" t="s">
        <v>40</v>
      </c>
      <c r="H689" s="6">
        <v>45961</v>
      </c>
      <c r="I689" s="6">
        <v>45961</v>
      </c>
      <c r="J689" s="6">
        <v>45964</v>
      </c>
      <c r="K689" s="5" t="s">
        <v>41</v>
      </c>
      <c r="L689" s="5" t="s">
        <v>42</v>
      </c>
      <c r="M689" s="5" t="s">
        <v>43</v>
      </c>
      <c r="N689" s="5" t="s">
        <v>44</v>
      </c>
      <c r="O689" s="7">
        <v>34.74</v>
      </c>
      <c r="P689" s="5" t="s">
        <v>45</v>
      </c>
      <c r="Q689" s="7">
        <v>34.74</v>
      </c>
      <c r="R689" s="5" t="s">
        <v>45</v>
      </c>
      <c r="S689" s="7">
        <v>10.220000000000001</v>
      </c>
      <c r="T689" s="5" t="s">
        <v>46</v>
      </c>
      <c r="U689" s="5" t="s">
        <v>47</v>
      </c>
      <c r="V689" s="5" t="s">
        <v>47</v>
      </c>
      <c r="W689" s="5" t="s">
        <v>47</v>
      </c>
      <c r="X689" s="5" t="s">
        <v>47</v>
      </c>
    </row>
    <row r="690" spans="1:24" x14ac:dyDescent="0.25">
      <c r="A690" s="5" t="s">
        <v>34</v>
      </c>
      <c r="B690" s="5" t="s">
        <v>213</v>
      </c>
      <c r="C690" s="5" t="s">
        <v>214</v>
      </c>
      <c r="D690" s="5" t="s">
        <v>37</v>
      </c>
      <c r="E690" s="5" t="s">
        <v>80</v>
      </c>
      <c r="F690" s="5" t="s">
        <v>81</v>
      </c>
      <c r="G690" s="5" t="s">
        <v>40</v>
      </c>
      <c r="H690" s="6">
        <v>45961</v>
      </c>
      <c r="I690" s="6">
        <v>45961</v>
      </c>
      <c r="J690" s="6">
        <v>45964</v>
      </c>
      <c r="K690" s="5" t="s">
        <v>41</v>
      </c>
      <c r="L690" s="5" t="s">
        <v>42</v>
      </c>
      <c r="M690" s="5" t="s">
        <v>43</v>
      </c>
      <c r="N690" s="5" t="s">
        <v>44</v>
      </c>
      <c r="O690" s="7">
        <v>28.09</v>
      </c>
      <c r="P690" s="5" t="s">
        <v>45</v>
      </c>
      <c r="Q690" s="7">
        <v>28.09</v>
      </c>
      <c r="R690" s="5" t="s">
        <v>45</v>
      </c>
      <c r="S690" s="7">
        <v>8.27</v>
      </c>
      <c r="T690" s="5" t="s">
        <v>46</v>
      </c>
      <c r="U690" s="5" t="s">
        <v>47</v>
      </c>
      <c r="V690" s="5" t="s">
        <v>47</v>
      </c>
      <c r="W690" s="5" t="s">
        <v>47</v>
      </c>
      <c r="X690" s="5" t="s">
        <v>47</v>
      </c>
    </row>
    <row r="691" spans="1:24" x14ac:dyDescent="0.25">
      <c r="A691" s="5" t="s">
        <v>34</v>
      </c>
      <c r="B691" s="5" t="s">
        <v>213</v>
      </c>
      <c r="C691" s="5" t="s">
        <v>214</v>
      </c>
      <c r="D691" s="5" t="s">
        <v>37</v>
      </c>
      <c r="E691" s="5" t="s">
        <v>100</v>
      </c>
      <c r="F691" s="5" t="s">
        <v>101</v>
      </c>
      <c r="G691" s="5" t="s">
        <v>40</v>
      </c>
      <c r="H691" s="6">
        <v>45961</v>
      </c>
      <c r="I691" s="6">
        <v>45961</v>
      </c>
      <c r="J691" s="6">
        <v>45964</v>
      </c>
      <c r="K691" s="5" t="s">
        <v>41</v>
      </c>
      <c r="L691" s="5" t="s">
        <v>42</v>
      </c>
      <c r="M691" s="5" t="s">
        <v>43</v>
      </c>
      <c r="N691" s="5" t="s">
        <v>44</v>
      </c>
      <c r="O691" s="7">
        <v>46.28</v>
      </c>
      <c r="P691" s="5" t="s">
        <v>45</v>
      </c>
      <c r="Q691" s="7">
        <v>46.28</v>
      </c>
      <c r="R691" s="5" t="s">
        <v>45</v>
      </c>
      <c r="S691" s="7">
        <v>13.62</v>
      </c>
      <c r="T691" s="5" t="s">
        <v>46</v>
      </c>
      <c r="U691" s="5" t="s">
        <v>47</v>
      </c>
      <c r="V691" s="5" t="s">
        <v>47</v>
      </c>
      <c r="W691" s="5" t="s">
        <v>47</v>
      </c>
      <c r="X691" s="5" t="s">
        <v>47</v>
      </c>
    </row>
    <row r="692" spans="1:24" x14ac:dyDescent="0.25">
      <c r="A692" s="5" t="s">
        <v>34</v>
      </c>
      <c r="B692" s="5" t="s">
        <v>213</v>
      </c>
      <c r="C692" s="5" t="s">
        <v>214</v>
      </c>
      <c r="D692" s="5" t="s">
        <v>37</v>
      </c>
      <c r="E692" s="5" t="s">
        <v>66</v>
      </c>
      <c r="F692" s="5" t="s">
        <v>67</v>
      </c>
      <c r="G692" s="5" t="s">
        <v>40</v>
      </c>
      <c r="H692" s="6">
        <v>45961</v>
      </c>
      <c r="I692" s="6">
        <v>45961</v>
      </c>
      <c r="J692" s="6">
        <v>45964</v>
      </c>
      <c r="K692" s="5" t="s">
        <v>41</v>
      </c>
      <c r="L692" s="5" t="s">
        <v>42</v>
      </c>
      <c r="M692" s="5" t="s">
        <v>43</v>
      </c>
      <c r="N692" s="5" t="s">
        <v>44</v>
      </c>
      <c r="O692" s="7">
        <v>88.36</v>
      </c>
      <c r="P692" s="5" t="s">
        <v>45</v>
      </c>
      <c r="Q692" s="7">
        <v>88.36</v>
      </c>
      <c r="R692" s="5" t="s">
        <v>45</v>
      </c>
      <c r="S692" s="7">
        <v>26</v>
      </c>
      <c r="T692" s="5" t="s">
        <v>46</v>
      </c>
      <c r="U692" s="5" t="s">
        <v>47</v>
      </c>
      <c r="V692" s="5" t="s">
        <v>47</v>
      </c>
      <c r="W692" s="5" t="s">
        <v>47</v>
      </c>
      <c r="X692" s="5" t="s">
        <v>47</v>
      </c>
    </row>
    <row r="693" spans="1:24" x14ac:dyDescent="0.25">
      <c r="A693" s="5" t="s">
        <v>34</v>
      </c>
      <c r="B693" s="5" t="s">
        <v>213</v>
      </c>
      <c r="C693" s="5" t="s">
        <v>214</v>
      </c>
      <c r="D693" s="5" t="s">
        <v>37</v>
      </c>
      <c r="E693" s="5" t="s">
        <v>70</v>
      </c>
      <c r="F693" s="5" t="s">
        <v>71</v>
      </c>
      <c r="G693" s="5" t="s">
        <v>40</v>
      </c>
      <c r="H693" s="6">
        <v>45961</v>
      </c>
      <c r="I693" s="6">
        <v>45961</v>
      </c>
      <c r="J693" s="6">
        <v>45964</v>
      </c>
      <c r="K693" s="5" t="s">
        <v>41</v>
      </c>
      <c r="L693" s="5" t="s">
        <v>42</v>
      </c>
      <c r="M693" s="5" t="s">
        <v>43</v>
      </c>
      <c r="N693" s="5" t="s">
        <v>44</v>
      </c>
      <c r="O693" s="7">
        <v>32.590000000000003</v>
      </c>
      <c r="P693" s="5" t="s">
        <v>45</v>
      </c>
      <c r="Q693" s="7">
        <v>32.590000000000003</v>
      </c>
      <c r="R693" s="5" t="s">
        <v>45</v>
      </c>
      <c r="S693" s="7">
        <v>9.59</v>
      </c>
      <c r="T693" s="5" t="s">
        <v>46</v>
      </c>
      <c r="U693" s="5" t="s">
        <v>47</v>
      </c>
      <c r="V693" s="5" t="s">
        <v>47</v>
      </c>
      <c r="W693" s="5" t="s">
        <v>47</v>
      </c>
      <c r="X693" s="5" t="s">
        <v>47</v>
      </c>
    </row>
    <row r="694" spans="1:24" x14ac:dyDescent="0.25">
      <c r="A694" s="5" t="s">
        <v>34</v>
      </c>
      <c r="B694" s="5" t="s">
        <v>213</v>
      </c>
      <c r="C694" s="5" t="s">
        <v>214</v>
      </c>
      <c r="D694" s="5" t="s">
        <v>37</v>
      </c>
      <c r="E694" s="5" t="s">
        <v>54</v>
      </c>
      <c r="F694" s="5" t="s">
        <v>55</v>
      </c>
      <c r="G694" s="5" t="s">
        <v>40</v>
      </c>
      <c r="H694" s="6">
        <v>45961</v>
      </c>
      <c r="I694" s="6">
        <v>45961</v>
      </c>
      <c r="J694" s="6">
        <v>45964</v>
      </c>
      <c r="K694" s="5" t="s">
        <v>41</v>
      </c>
      <c r="L694" s="5" t="s">
        <v>42</v>
      </c>
      <c r="M694" s="5" t="s">
        <v>43</v>
      </c>
      <c r="N694" s="5" t="s">
        <v>44</v>
      </c>
      <c r="O694" s="7">
        <v>21.3</v>
      </c>
      <c r="P694" s="5" t="s">
        <v>45</v>
      </c>
      <c r="Q694" s="7">
        <v>21.3</v>
      </c>
      <c r="R694" s="5" t="s">
        <v>45</v>
      </c>
      <c r="S694" s="7">
        <v>6.27</v>
      </c>
      <c r="T694" s="5" t="s">
        <v>46</v>
      </c>
      <c r="U694" s="5" t="s">
        <v>47</v>
      </c>
      <c r="V694" s="5" t="s">
        <v>47</v>
      </c>
      <c r="W694" s="5" t="s">
        <v>47</v>
      </c>
      <c r="X694" s="5" t="s">
        <v>47</v>
      </c>
    </row>
    <row r="695" spans="1:24" x14ac:dyDescent="0.25">
      <c r="A695" s="5" t="s">
        <v>34</v>
      </c>
      <c r="B695" s="5" t="s">
        <v>213</v>
      </c>
      <c r="C695" s="5" t="s">
        <v>214</v>
      </c>
      <c r="D695" s="5" t="s">
        <v>37</v>
      </c>
      <c r="E695" s="5" t="s">
        <v>122</v>
      </c>
      <c r="F695" s="5" t="s">
        <v>123</v>
      </c>
      <c r="G695" s="5" t="s">
        <v>40</v>
      </c>
      <c r="H695" s="6">
        <v>45961</v>
      </c>
      <c r="I695" s="6">
        <v>45961</v>
      </c>
      <c r="J695" s="6">
        <v>45964</v>
      </c>
      <c r="K695" s="5" t="s">
        <v>41</v>
      </c>
      <c r="L695" s="5" t="s">
        <v>42</v>
      </c>
      <c r="M695" s="5" t="s">
        <v>43</v>
      </c>
      <c r="N695" s="5" t="s">
        <v>44</v>
      </c>
      <c r="O695" s="7">
        <v>17.28</v>
      </c>
      <c r="P695" s="5" t="s">
        <v>45</v>
      </c>
      <c r="Q695" s="7">
        <v>17.28</v>
      </c>
      <c r="R695" s="5" t="s">
        <v>45</v>
      </c>
      <c r="S695" s="7">
        <v>5.09</v>
      </c>
      <c r="T695" s="5" t="s">
        <v>46</v>
      </c>
      <c r="U695" s="5" t="s">
        <v>47</v>
      </c>
      <c r="V695" s="5" t="s">
        <v>47</v>
      </c>
      <c r="W695" s="5" t="s">
        <v>47</v>
      </c>
      <c r="X695" s="5" t="s">
        <v>47</v>
      </c>
    </row>
    <row r="696" spans="1:24" x14ac:dyDescent="0.25">
      <c r="A696" s="5" t="s">
        <v>34</v>
      </c>
      <c r="B696" s="5" t="s">
        <v>213</v>
      </c>
      <c r="C696" s="5" t="s">
        <v>214</v>
      </c>
      <c r="D696" s="5" t="s">
        <v>37</v>
      </c>
      <c r="E696" s="5" t="s">
        <v>96</v>
      </c>
      <c r="F696" s="5" t="s">
        <v>97</v>
      </c>
      <c r="G696" s="5" t="s">
        <v>40</v>
      </c>
      <c r="H696" s="6">
        <v>45961</v>
      </c>
      <c r="I696" s="6">
        <v>45961</v>
      </c>
      <c r="J696" s="6">
        <v>45964</v>
      </c>
      <c r="K696" s="5" t="s">
        <v>41</v>
      </c>
      <c r="L696" s="5" t="s">
        <v>42</v>
      </c>
      <c r="M696" s="5" t="s">
        <v>43</v>
      </c>
      <c r="N696" s="5" t="s">
        <v>44</v>
      </c>
      <c r="O696" s="7">
        <v>148.05000000000001</v>
      </c>
      <c r="P696" s="5" t="s">
        <v>45</v>
      </c>
      <c r="Q696" s="7">
        <v>148.05000000000001</v>
      </c>
      <c r="R696" s="5" t="s">
        <v>45</v>
      </c>
      <c r="S696" s="7">
        <v>43.57</v>
      </c>
      <c r="T696" s="5" t="s">
        <v>46</v>
      </c>
      <c r="U696" s="5" t="s">
        <v>47</v>
      </c>
      <c r="V696" s="5" t="s">
        <v>47</v>
      </c>
      <c r="W696" s="5" t="s">
        <v>47</v>
      </c>
      <c r="X696" s="5" t="s">
        <v>47</v>
      </c>
    </row>
    <row r="697" spans="1:24" x14ac:dyDescent="0.25">
      <c r="A697" s="5" t="s">
        <v>34</v>
      </c>
      <c r="B697" s="5" t="s">
        <v>213</v>
      </c>
      <c r="C697" s="5" t="s">
        <v>214</v>
      </c>
      <c r="D697" s="5" t="s">
        <v>37</v>
      </c>
      <c r="E697" s="5" t="s">
        <v>114</v>
      </c>
      <c r="F697" s="5" t="s">
        <v>115</v>
      </c>
      <c r="G697" s="5" t="s">
        <v>40</v>
      </c>
      <c r="H697" s="6">
        <v>45961</v>
      </c>
      <c r="I697" s="6">
        <v>45961</v>
      </c>
      <c r="J697" s="6">
        <v>45964</v>
      </c>
      <c r="K697" s="5" t="s">
        <v>41</v>
      </c>
      <c r="L697" s="5" t="s">
        <v>42</v>
      </c>
      <c r="M697" s="5" t="s">
        <v>43</v>
      </c>
      <c r="N697" s="5" t="s">
        <v>44</v>
      </c>
      <c r="O697" s="7">
        <v>106.89</v>
      </c>
      <c r="P697" s="5" t="s">
        <v>45</v>
      </c>
      <c r="Q697" s="7">
        <v>106.89</v>
      </c>
      <c r="R697" s="5" t="s">
        <v>45</v>
      </c>
      <c r="S697" s="7">
        <v>31.46</v>
      </c>
      <c r="T697" s="5" t="s">
        <v>46</v>
      </c>
      <c r="U697" s="5" t="s">
        <v>47</v>
      </c>
      <c r="V697" s="5" t="s">
        <v>47</v>
      </c>
      <c r="W697" s="5" t="s">
        <v>47</v>
      </c>
      <c r="X697" s="5" t="s">
        <v>47</v>
      </c>
    </row>
    <row r="698" spans="1:24" x14ac:dyDescent="0.25">
      <c r="A698" s="5" t="s">
        <v>34</v>
      </c>
      <c r="B698" s="5" t="s">
        <v>213</v>
      </c>
      <c r="C698" s="5" t="s">
        <v>214</v>
      </c>
      <c r="D698" s="5" t="s">
        <v>37</v>
      </c>
      <c r="E698" s="5" t="s">
        <v>90</v>
      </c>
      <c r="F698" s="5" t="s">
        <v>91</v>
      </c>
      <c r="G698" s="5" t="s">
        <v>40</v>
      </c>
      <c r="H698" s="6">
        <v>45961</v>
      </c>
      <c r="I698" s="6">
        <v>45961</v>
      </c>
      <c r="J698" s="6">
        <v>45964</v>
      </c>
      <c r="K698" s="5" t="s">
        <v>41</v>
      </c>
      <c r="L698" s="5" t="s">
        <v>42</v>
      </c>
      <c r="M698" s="5" t="s">
        <v>43</v>
      </c>
      <c r="N698" s="5" t="s">
        <v>44</v>
      </c>
      <c r="O698" s="7">
        <v>24.86</v>
      </c>
      <c r="P698" s="5" t="s">
        <v>45</v>
      </c>
      <c r="Q698" s="7">
        <v>24.86</v>
      </c>
      <c r="R698" s="5" t="s">
        <v>45</v>
      </c>
      <c r="S698" s="7">
        <v>7.32</v>
      </c>
      <c r="T698" s="5" t="s">
        <v>46</v>
      </c>
      <c r="U698" s="5" t="s">
        <v>47</v>
      </c>
      <c r="V698" s="5" t="s">
        <v>47</v>
      </c>
      <c r="W698" s="5" t="s">
        <v>47</v>
      </c>
      <c r="X698" s="5" t="s">
        <v>47</v>
      </c>
    </row>
    <row r="699" spans="1:24" x14ac:dyDescent="0.25">
      <c r="A699" s="5" t="s">
        <v>34</v>
      </c>
      <c r="B699" s="5" t="s">
        <v>213</v>
      </c>
      <c r="C699" s="5" t="s">
        <v>214</v>
      </c>
      <c r="D699" s="5" t="s">
        <v>37</v>
      </c>
      <c r="E699" s="5" t="s">
        <v>60</v>
      </c>
      <c r="F699" s="5" t="s">
        <v>61</v>
      </c>
      <c r="G699" s="5" t="s">
        <v>40</v>
      </c>
      <c r="H699" s="6">
        <v>45961</v>
      </c>
      <c r="I699" s="6">
        <v>45961</v>
      </c>
      <c r="J699" s="6">
        <v>45964</v>
      </c>
      <c r="K699" s="5" t="s">
        <v>41</v>
      </c>
      <c r="L699" s="5" t="s">
        <v>42</v>
      </c>
      <c r="M699" s="5" t="s">
        <v>43</v>
      </c>
      <c r="N699" s="5" t="s">
        <v>44</v>
      </c>
      <c r="O699" s="7">
        <v>185.27</v>
      </c>
      <c r="P699" s="5" t="s">
        <v>45</v>
      </c>
      <c r="Q699" s="7">
        <v>185.27</v>
      </c>
      <c r="R699" s="5" t="s">
        <v>45</v>
      </c>
      <c r="S699" s="7">
        <v>54.52</v>
      </c>
      <c r="T699" s="5" t="s">
        <v>46</v>
      </c>
      <c r="U699" s="5" t="s">
        <v>47</v>
      </c>
      <c r="V699" s="5" t="s">
        <v>47</v>
      </c>
      <c r="W699" s="5" t="s">
        <v>47</v>
      </c>
      <c r="X699" s="5" t="s">
        <v>47</v>
      </c>
    </row>
    <row r="700" spans="1:24" x14ac:dyDescent="0.25">
      <c r="A700" s="5" t="s">
        <v>34</v>
      </c>
      <c r="B700" s="5" t="s">
        <v>213</v>
      </c>
      <c r="C700" s="5" t="s">
        <v>214</v>
      </c>
      <c r="D700" s="5" t="s">
        <v>37</v>
      </c>
      <c r="E700" s="5" t="s">
        <v>38</v>
      </c>
      <c r="F700" s="5" t="s">
        <v>39</v>
      </c>
      <c r="G700" s="5" t="s">
        <v>40</v>
      </c>
      <c r="H700" s="6">
        <v>45961</v>
      </c>
      <c r="I700" s="6">
        <v>45961</v>
      </c>
      <c r="J700" s="6">
        <v>45964</v>
      </c>
      <c r="K700" s="5" t="s">
        <v>41</v>
      </c>
      <c r="L700" s="5" t="s">
        <v>42</v>
      </c>
      <c r="M700" s="5" t="s">
        <v>43</v>
      </c>
      <c r="N700" s="5" t="s">
        <v>44</v>
      </c>
      <c r="O700" s="7">
        <v>13.95</v>
      </c>
      <c r="P700" s="5" t="s">
        <v>45</v>
      </c>
      <c r="Q700" s="7">
        <v>13.95</v>
      </c>
      <c r="R700" s="5" t="s">
        <v>45</v>
      </c>
      <c r="S700" s="7">
        <v>4.1100000000000003</v>
      </c>
      <c r="T700" s="5" t="s">
        <v>46</v>
      </c>
      <c r="U700" s="5" t="s">
        <v>47</v>
      </c>
      <c r="V700" s="5" t="s">
        <v>47</v>
      </c>
      <c r="W700" s="5" t="s">
        <v>47</v>
      </c>
      <c r="X700" s="5" t="s">
        <v>47</v>
      </c>
    </row>
    <row r="701" spans="1:24" x14ac:dyDescent="0.25">
      <c r="A701" s="5" t="s">
        <v>34</v>
      </c>
      <c r="B701" s="5" t="s">
        <v>213</v>
      </c>
      <c r="C701" s="5" t="s">
        <v>214</v>
      </c>
      <c r="D701" s="5" t="s">
        <v>37</v>
      </c>
      <c r="E701" s="5" t="s">
        <v>98</v>
      </c>
      <c r="F701" s="5" t="s">
        <v>99</v>
      </c>
      <c r="G701" s="5" t="s">
        <v>40</v>
      </c>
      <c r="H701" s="6">
        <v>45961</v>
      </c>
      <c r="I701" s="6">
        <v>45961</v>
      </c>
      <c r="J701" s="6">
        <v>45964</v>
      </c>
      <c r="K701" s="5" t="s">
        <v>41</v>
      </c>
      <c r="L701" s="5" t="s">
        <v>42</v>
      </c>
      <c r="M701" s="5" t="s">
        <v>43</v>
      </c>
      <c r="N701" s="5" t="s">
        <v>44</v>
      </c>
      <c r="O701" s="7">
        <v>84.8</v>
      </c>
      <c r="P701" s="5" t="s">
        <v>45</v>
      </c>
      <c r="Q701" s="7">
        <v>84.8</v>
      </c>
      <c r="R701" s="5" t="s">
        <v>45</v>
      </c>
      <c r="S701" s="7">
        <v>24.96</v>
      </c>
      <c r="T701" s="5" t="s">
        <v>46</v>
      </c>
      <c r="U701" s="5" t="s">
        <v>47</v>
      </c>
      <c r="V701" s="5" t="s">
        <v>47</v>
      </c>
      <c r="W701" s="5" t="s">
        <v>47</v>
      </c>
      <c r="X701" s="5" t="s">
        <v>47</v>
      </c>
    </row>
    <row r="702" spans="1:24" x14ac:dyDescent="0.25">
      <c r="A702" s="5" t="s">
        <v>34</v>
      </c>
      <c r="B702" s="5" t="s">
        <v>213</v>
      </c>
      <c r="C702" s="5" t="s">
        <v>214</v>
      </c>
      <c r="D702" s="5" t="s">
        <v>37</v>
      </c>
      <c r="E702" s="5" t="s">
        <v>92</v>
      </c>
      <c r="F702" s="5" t="s">
        <v>93</v>
      </c>
      <c r="G702" s="5" t="s">
        <v>40</v>
      </c>
      <c r="H702" s="6">
        <v>45961</v>
      </c>
      <c r="I702" s="6">
        <v>45961</v>
      </c>
      <c r="J702" s="6">
        <v>45964</v>
      </c>
      <c r="K702" s="5" t="s">
        <v>41</v>
      </c>
      <c r="L702" s="5" t="s">
        <v>42</v>
      </c>
      <c r="M702" s="5" t="s">
        <v>43</v>
      </c>
      <c r="N702" s="5" t="s">
        <v>44</v>
      </c>
      <c r="O702" s="7">
        <v>32.94</v>
      </c>
      <c r="P702" s="5" t="s">
        <v>45</v>
      </c>
      <c r="Q702" s="7">
        <v>32.94</v>
      </c>
      <c r="R702" s="5" t="s">
        <v>45</v>
      </c>
      <c r="S702" s="7">
        <v>9.69</v>
      </c>
      <c r="T702" s="5" t="s">
        <v>46</v>
      </c>
      <c r="U702" s="5" t="s">
        <v>47</v>
      </c>
      <c r="V702" s="5" t="s">
        <v>47</v>
      </c>
      <c r="W702" s="5" t="s">
        <v>47</v>
      </c>
      <c r="X702" s="5" t="s">
        <v>47</v>
      </c>
    </row>
    <row r="703" spans="1:24" x14ac:dyDescent="0.25">
      <c r="A703" s="5" t="s">
        <v>34</v>
      </c>
      <c r="B703" s="5" t="s">
        <v>213</v>
      </c>
      <c r="C703" s="5" t="s">
        <v>214</v>
      </c>
      <c r="D703" s="5" t="s">
        <v>37</v>
      </c>
      <c r="E703" s="5" t="s">
        <v>48</v>
      </c>
      <c r="F703" s="5" t="s">
        <v>49</v>
      </c>
      <c r="G703" s="5" t="s">
        <v>40</v>
      </c>
      <c r="H703" s="6">
        <v>45961</v>
      </c>
      <c r="I703" s="6">
        <v>45961</v>
      </c>
      <c r="J703" s="6">
        <v>45964</v>
      </c>
      <c r="K703" s="5" t="s">
        <v>41</v>
      </c>
      <c r="L703" s="5" t="s">
        <v>42</v>
      </c>
      <c r="M703" s="5" t="s">
        <v>43</v>
      </c>
      <c r="N703" s="5" t="s">
        <v>44</v>
      </c>
      <c r="O703" s="7">
        <v>32.729999999999997</v>
      </c>
      <c r="P703" s="5" t="s">
        <v>45</v>
      </c>
      <c r="Q703" s="7">
        <v>32.729999999999997</v>
      </c>
      <c r="R703" s="5" t="s">
        <v>45</v>
      </c>
      <c r="S703" s="7">
        <v>9.6300000000000008</v>
      </c>
      <c r="T703" s="5" t="s">
        <v>46</v>
      </c>
      <c r="U703" s="5" t="s">
        <v>47</v>
      </c>
      <c r="V703" s="5" t="s">
        <v>47</v>
      </c>
      <c r="W703" s="5" t="s">
        <v>47</v>
      </c>
      <c r="X703" s="5" t="s">
        <v>47</v>
      </c>
    </row>
    <row r="704" spans="1:24" x14ac:dyDescent="0.25">
      <c r="A704" s="5" t="s">
        <v>34</v>
      </c>
      <c r="B704" s="5" t="s">
        <v>213</v>
      </c>
      <c r="C704" s="5" t="s">
        <v>214</v>
      </c>
      <c r="D704" s="5" t="s">
        <v>37</v>
      </c>
      <c r="E704" s="5" t="s">
        <v>84</v>
      </c>
      <c r="F704" s="5" t="s">
        <v>85</v>
      </c>
      <c r="G704" s="5" t="s">
        <v>40</v>
      </c>
      <c r="H704" s="6">
        <v>45961</v>
      </c>
      <c r="I704" s="6">
        <v>45961</v>
      </c>
      <c r="J704" s="6">
        <v>45964</v>
      </c>
      <c r="K704" s="5" t="s">
        <v>41</v>
      </c>
      <c r="L704" s="5" t="s">
        <v>42</v>
      </c>
      <c r="M704" s="5" t="s">
        <v>43</v>
      </c>
      <c r="N704" s="5" t="s">
        <v>44</v>
      </c>
      <c r="O704" s="7">
        <v>77.83</v>
      </c>
      <c r="P704" s="5" t="s">
        <v>45</v>
      </c>
      <c r="Q704" s="7">
        <v>77.83</v>
      </c>
      <c r="R704" s="5" t="s">
        <v>45</v>
      </c>
      <c r="S704" s="7">
        <v>22.9</v>
      </c>
      <c r="T704" s="5" t="s">
        <v>46</v>
      </c>
      <c r="U704" s="5" t="s">
        <v>47</v>
      </c>
      <c r="V704" s="5" t="s">
        <v>47</v>
      </c>
      <c r="W704" s="5" t="s">
        <v>47</v>
      </c>
      <c r="X704" s="5" t="s">
        <v>47</v>
      </c>
    </row>
    <row r="705" spans="1:24" x14ac:dyDescent="0.25">
      <c r="A705" s="5" t="s">
        <v>34</v>
      </c>
      <c r="B705" s="5" t="s">
        <v>213</v>
      </c>
      <c r="C705" s="5" t="s">
        <v>214</v>
      </c>
      <c r="D705" s="5" t="s">
        <v>37</v>
      </c>
      <c r="E705" s="5" t="s">
        <v>110</v>
      </c>
      <c r="F705" s="5" t="s">
        <v>111</v>
      </c>
      <c r="G705" s="5" t="s">
        <v>40</v>
      </c>
      <c r="H705" s="6">
        <v>45961</v>
      </c>
      <c r="I705" s="6">
        <v>45961</v>
      </c>
      <c r="J705" s="6">
        <v>45964</v>
      </c>
      <c r="K705" s="5" t="s">
        <v>41</v>
      </c>
      <c r="L705" s="5" t="s">
        <v>42</v>
      </c>
      <c r="M705" s="5" t="s">
        <v>43</v>
      </c>
      <c r="N705" s="5" t="s">
        <v>44</v>
      </c>
      <c r="O705" s="7">
        <v>35.130000000000003</v>
      </c>
      <c r="P705" s="5" t="s">
        <v>45</v>
      </c>
      <c r="Q705" s="7">
        <v>35.130000000000003</v>
      </c>
      <c r="R705" s="5" t="s">
        <v>45</v>
      </c>
      <c r="S705" s="7">
        <v>10.34</v>
      </c>
      <c r="T705" s="5" t="s">
        <v>46</v>
      </c>
      <c r="U705" s="5" t="s">
        <v>47</v>
      </c>
      <c r="V705" s="5" t="s">
        <v>47</v>
      </c>
      <c r="W705" s="5" t="s">
        <v>47</v>
      </c>
      <c r="X705" s="5" t="s">
        <v>47</v>
      </c>
    </row>
    <row r="706" spans="1:24" x14ac:dyDescent="0.25">
      <c r="A706" s="5" t="s">
        <v>34</v>
      </c>
      <c r="B706" s="5" t="s">
        <v>213</v>
      </c>
      <c r="C706" s="5" t="s">
        <v>214</v>
      </c>
      <c r="D706" s="5" t="s">
        <v>37</v>
      </c>
      <c r="E706" s="5" t="s">
        <v>76</v>
      </c>
      <c r="F706" s="5" t="s">
        <v>77</v>
      </c>
      <c r="G706" s="5" t="s">
        <v>40</v>
      </c>
      <c r="H706" s="6">
        <v>45961</v>
      </c>
      <c r="I706" s="6">
        <v>45961</v>
      </c>
      <c r="J706" s="6">
        <v>45964</v>
      </c>
      <c r="K706" s="5" t="s">
        <v>41</v>
      </c>
      <c r="L706" s="5" t="s">
        <v>42</v>
      </c>
      <c r="M706" s="5" t="s">
        <v>43</v>
      </c>
      <c r="N706" s="5" t="s">
        <v>44</v>
      </c>
      <c r="O706" s="7">
        <v>12.04</v>
      </c>
      <c r="P706" s="5" t="s">
        <v>45</v>
      </c>
      <c r="Q706" s="7">
        <v>12.04</v>
      </c>
      <c r="R706" s="5" t="s">
        <v>45</v>
      </c>
      <c r="S706" s="7">
        <v>3.54</v>
      </c>
      <c r="T706" s="5" t="s">
        <v>46</v>
      </c>
      <c r="U706" s="5" t="s">
        <v>47</v>
      </c>
      <c r="V706" s="5" t="s">
        <v>47</v>
      </c>
      <c r="W706" s="5" t="s">
        <v>47</v>
      </c>
      <c r="X706" s="5" t="s">
        <v>47</v>
      </c>
    </row>
    <row r="707" spans="1:24" x14ac:dyDescent="0.25">
      <c r="A707" s="5" t="s">
        <v>34</v>
      </c>
      <c r="B707" s="5" t="s">
        <v>213</v>
      </c>
      <c r="C707" s="5" t="s">
        <v>214</v>
      </c>
      <c r="D707" s="5" t="s">
        <v>37</v>
      </c>
      <c r="E707" s="5" t="s">
        <v>82</v>
      </c>
      <c r="F707" s="5" t="s">
        <v>83</v>
      </c>
      <c r="G707" s="5" t="s">
        <v>40</v>
      </c>
      <c r="H707" s="6">
        <v>45961</v>
      </c>
      <c r="I707" s="6">
        <v>45961</v>
      </c>
      <c r="J707" s="6">
        <v>45964</v>
      </c>
      <c r="K707" s="5" t="s">
        <v>41</v>
      </c>
      <c r="L707" s="5" t="s">
        <v>42</v>
      </c>
      <c r="M707" s="5" t="s">
        <v>43</v>
      </c>
      <c r="N707" s="5" t="s">
        <v>44</v>
      </c>
      <c r="O707" s="7">
        <v>30.85</v>
      </c>
      <c r="P707" s="5" t="s">
        <v>45</v>
      </c>
      <c r="Q707" s="7">
        <v>30.85</v>
      </c>
      <c r="R707" s="5" t="s">
        <v>45</v>
      </c>
      <c r="S707" s="7">
        <v>9.08</v>
      </c>
      <c r="T707" s="5" t="s">
        <v>46</v>
      </c>
      <c r="U707" s="5" t="s">
        <v>47</v>
      </c>
      <c r="V707" s="5" t="s">
        <v>47</v>
      </c>
      <c r="W707" s="5" t="s">
        <v>47</v>
      </c>
      <c r="X707" s="5" t="s">
        <v>47</v>
      </c>
    </row>
    <row r="708" spans="1:24" x14ac:dyDescent="0.25">
      <c r="A708" s="5" t="s">
        <v>34</v>
      </c>
      <c r="B708" s="5" t="s">
        <v>213</v>
      </c>
      <c r="C708" s="5" t="s">
        <v>214</v>
      </c>
      <c r="D708" s="5" t="s">
        <v>37</v>
      </c>
      <c r="E708" s="5" t="s">
        <v>68</v>
      </c>
      <c r="F708" s="5" t="s">
        <v>69</v>
      </c>
      <c r="G708" s="5" t="s">
        <v>40</v>
      </c>
      <c r="H708" s="6">
        <v>45961</v>
      </c>
      <c r="I708" s="6">
        <v>45961</v>
      </c>
      <c r="J708" s="6">
        <v>45964</v>
      </c>
      <c r="K708" s="5" t="s">
        <v>41</v>
      </c>
      <c r="L708" s="5" t="s">
        <v>42</v>
      </c>
      <c r="M708" s="5" t="s">
        <v>43</v>
      </c>
      <c r="N708" s="5" t="s">
        <v>44</v>
      </c>
      <c r="O708" s="7">
        <v>17.29</v>
      </c>
      <c r="P708" s="5" t="s">
        <v>45</v>
      </c>
      <c r="Q708" s="7">
        <v>17.29</v>
      </c>
      <c r="R708" s="5" t="s">
        <v>45</v>
      </c>
      <c r="S708" s="7">
        <v>5.09</v>
      </c>
      <c r="T708" s="5" t="s">
        <v>46</v>
      </c>
      <c r="U708" s="5" t="s">
        <v>47</v>
      </c>
      <c r="V708" s="5" t="s">
        <v>47</v>
      </c>
      <c r="W708" s="5" t="s">
        <v>47</v>
      </c>
      <c r="X708" s="5" t="s">
        <v>47</v>
      </c>
    </row>
    <row r="709" spans="1:24" x14ac:dyDescent="0.25">
      <c r="A709" s="5" t="s">
        <v>34</v>
      </c>
      <c r="B709" s="5" t="s">
        <v>213</v>
      </c>
      <c r="C709" s="5" t="s">
        <v>214</v>
      </c>
      <c r="D709" s="5" t="s">
        <v>37</v>
      </c>
      <c r="E709" s="5" t="s">
        <v>58</v>
      </c>
      <c r="F709" s="5" t="s">
        <v>59</v>
      </c>
      <c r="G709" s="5" t="s">
        <v>40</v>
      </c>
      <c r="H709" s="6">
        <v>45961</v>
      </c>
      <c r="I709" s="6">
        <v>45961</v>
      </c>
      <c r="J709" s="6">
        <v>45964</v>
      </c>
      <c r="K709" s="5" t="s">
        <v>41</v>
      </c>
      <c r="L709" s="5" t="s">
        <v>42</v>
      </c>
      <c r="M709" s="5" t="s">
        <v>43</v>
      </c>
      <c r="N709" s="5" t="s">
        <v>44</v>
      </c>
      <c r="O709" s="7">
        <v>147.09</v>
      </c>
      <c r="P709" s="5" t="s">
        <v>45</v>
      </c>
      <c r="Q709" s="7">
        <v>147.09</v>
      </c>
      <c r="R709" s="5" t="s">
        <v>45</v>
      </c>
      <c r="S709" s="7">
        <v>43.29</v>
      </c>
      <c r="T709" s="5" t="s">
        <v>46</v>
      </c>
      <c r="U709" s="5" t="s">
        <v>47</v>
      </c>
      <c r="V709" s="5" t="s">
        <v>47</v>
      </c>
      <c r="W709" s="5" t="s">
        <v>47</v>
      </c>
      <c r="X709" s="5" t="s">
        <v>47</v>
      </c>
    </row>
    <row r="710" spans="1:24" x14ac:dyDescent="0.25">
      <c r="A710" s="5" t="s">
        <v>34</v>
      </c>
      <c r="B710" s="5" t="s">
        <v>213</v>
      </c>
      <c r="C710" s="5" t="s">
        <v>214</v>
      </c>
      <c r="D710" s="5" t="s">
        <v>37</v>
      </c>
      <c r="E710" s="5" t="s">
        <v>118</v>
      </c>
      <c r="F710" s="5" t="s">
        <v>119</v>
      </c>
      <c r="G710" s="5" t="s">
        <v>40</v>
      </c>
      <c r="H710" s="6">
        <v>45961</v>
      </c>
      <c r="I710" s="6">
        <v>45961</v>
      </c>
      <c r="J710" s="6">
        <v>45964</v>
      </c>
      <c r="K710" s="5" t="s">
        <v>41</v>
      </c>
      <c r="L710" s="5" t="s">
        <v>42</v>
      </c>
      <c r="M710" s="5" t="s">
        <v>43</v>
      </c>
      <c r="N710" s="5" t="s">
        <v>44</v>
      </c>
      <c r="O710" s="7">
        <v>13.79</v>
      </c>
      <c r="P710" s="5" t="s">
        <v>45</v>
      </c>
      <c r="Q710" s="7">
        <v>13.79</v>
      </c>
      <c r="R710" s="5" t="s">
        <v>45</v>
      </c>
      <c r="S710" s="7">
        <v>4.0599999999999996</v>
      </c>
      <c r="T710" s="5" t="s">
        <v>46</v>
      </c>
      <c r="U710" s="5" t="s">
        <v>47</v>
      </c>
      <c r="V710" s="5" t="s">
        <v>47</v>
      </c>
      <c r="W710" s="5" t="s">
        <v>47</v>
      </c>
      <c r="X710" s="5" t="s">
        <v>47</v>
      </c>
    </row>
    <row r="711" spans="1:24" x14ac:dyDescent="0.25">
      <c r="A711" s="5" t="s">
        <v>34</v>
      </c>
      <c r="B711" s="5" t="s">
        <v>213</v>
      </c>
      <c r="C711" s="5" t="s">
        <v>214</v>
      </c>
      <c r="D711" s="5" t="s">
        <v>37</v>
      </c>
      <c r="E711" s="5" t="s">
        <v>74</v>
      </c>
      <c r="F711" s="5" t="s">
        <v>75</v>
      </c>
      <c r="G711" s="5" t="s">
        <v>40</v>
      </c>
      <c r="H711" s="6">
        <v>45961</v>
      </c>
      <c r="I711" s="6">
        <v>45961</v>
      </c>
      <c r="J711" s="6">
        <v>45964</v>
      </c>
      <c r="K711" s="5" t="s">
        <v>41</v>
      </c>
      <c r="L711" s="5" t="s">
        <v>42</v>
      </c>
      <c r="M711" s="5" t="s">
        <v>43</v>
      </c>
      <c r="N711" s="5" t="s">
        <v>44</v>
      </c>
      <c r="O711" s="7">
        <v>93.87</v>
      </c>
      <c r="P711" s="5" t="s">
        <v>45</v>
      </c>
      <c r="Q711" s="7">
        <v>93.87</v>
      </c>
      <c r="R711" s="5" t="s">
        <v>45</v>
      </c>
      <c r="S711" s="7">
        <v>27.63</v>
      </c>
      <c r="T711" s="5" t="s">
        <v>46</v>
      </c>
      <c r="U711" s="5" t="s">
        <v>47</v>
      </c>
      <c r="V711" s="5" t="s">
        <v>47</v>
      </c>
      <c r="W711" s="5" t="s">
        <v>47</v>
      </c>
      <c r="X711" s="5" t="s">
        <v>47</v>
      </c>
    </row>
    <row r="712" spans="1:24" x14ac:dyDescent="0.25">
      <c r="A712" s="5" t="s">
        <v>34</v>
      </c>
      <c r="B712" s="5" t="s">
        <v>213</v>
      </c>
      <c r="C712" s="5" t="s">
        <v>214</v>
      </c>
      <c r="D712" s="5" t="s">
        <v>37</v>
      </c>
      <c r="E712" s="5" t="s">
        <v>78</v>
      </c>
      <c r="F712" s="5" t="s">
        <v>79</v>
      </c>
      <c r="G712" s="5" t="s">
        <v>40</v>
      </c>
      <c r="H712" s="6">
        <v>45961</v>
      </c>
      <c r="I712" s="6">
        <v>45961</v>
      </c>
      <c r="J712" s="6">
        <v>45964</v>
      </c>
      <c r="K712" s="5" t="s">
        <v>41</v>
      </c>
      <c r="L712" s="5" t="s">
        <v>42</v>
      </c>
      <c r="M712" s="5" t="s">
        <v>43</v>
      </c>
      <c r="N712" s="5" t="s">
        <v>44</v>
      </c>
      <c r="O712" s="7">
        <v>13.56</v>
      </c>
      <c r="P712" s="5" t="s">
        <v>45</v>
      </c>
      <c r="Q712" s="7">
        <v>13.56</v>
      </c>
      <c r="R712" s="5" t="s">
        <v>45</v>
      </c>
      <c r="S712" s="7">
        <v>3.99</v>
      </c>
      <c r="T712" s="5" t="s">
        <v>46</v>
      </c>
      <c r="U712" s="5" t="s">
        <v>47</v>
      </c>
      <c r="V712" s="5" t="s">
        <v>47</v>
      </c>
      <c r="W712" s="5" t="s">
        <v>47</v>
      </c>
      <c r="X712" s="5" t="s">
        <v>47</v>
      </c>
    </row>
    <row r="713" spans="1:24" x14ac:dyDescent="0.25">
      <c r="A713" s="5" t="s">
        <v>34</v>
      </c>
      <c r="B713" s="5" t="s">
        <v>213</v>
      </c>
      <c r="C713" s="5" t="s">
        <v>214</v>
      </c>
      <c r="D713" s="5" t="s">
        <v>37</v>
      </c>
      <c r="E713" s="5" t="s">
        <v>104</v>
      </c>
      <c r="F713" s="5" t="s">
        <v>105</v>
      </c>
      <c r="G713" s="5" t="s">
        <v>40</v>
      </c>
      <c r="H713" s="6">
        <v>45961</v>
      </c>
      <c r="I713" s="6">
        <v>45961</v>
      </c>
      <c r="J713" s="6">
        <v>45964</v>
      </c>
      <c r="K713" s="5" t="s">
        <v>41</v>
      </c>
      <c r="L713" s="5" t="s">
        <v>42</v>
      </c>
      <c r="M713" s="5" t="s">
        <v>43</v>
      </c>
      <c r="N713" s="5" t="s">
        <v>44</v>
      </c>
      <c r="O713" s="7">
        <v>77.290000000000006</v>
      </c>
      <c r="P713" s="5" t="s">
        <v>45</v>
      </c>
      <c r="Q713" s="7">
        <v>77.290000000000006</v>
      </c>
      <c r="R713" s="5" t="s">
        <v>45</v>
      </c>
      <c r="S713" s="7">
        <v>22.75</v>
      </c>
      <c r="T713" s="5" t="s">
        <v>46</v>
      </c>
      <c r="U713" s="5" t="s">
        <v>47</v>
      </c>
      <c r="V713" s="5" t="s">
        <v>47</v>
      </c>
      <c r="W713" s="5" t="s">
        <v>47</v>
      </c>
      <c r="X713" s="5" t="s">
        <v>47</v>
      </c>
    </row>
    <row r="714" spans="1:24" x14ac:dyDescent="0.25">
      <c r="A714" s="5" t="s">
        <v>34</v>
      </c>
      <c r="B714" s="5" t="s">
        <v>213</v>
      </c>
      <c r="C714" s="5" t="s">
        <v>214</v>
      </c>
      <c r="D714" s="5" t="s">
        <v>37</v>
      </c>
      <c r="E714" s="5" t="s">
        <v>88</v>
      </c>
      <c r="F714" s="5" t="s">
        <v>89</v>
      </c>
      <c r="G714" s="5" t="s">
        <v>40</v>
      </c>
      <c r="H714" s="6">
        <v>45961</v>
      </c>
      <c r="I714" s="6">
        <v>45961</v>
      </c>
      <c r="J714" s="6">
        <v>45964</v>
      </c>
      <c r="K714" s="5" t="s">
        <v>41</v>
      </c>
      <c r="L714" s="5" t="s">
        <v>42</v>
      </c>
      <c r="M714" s="5" t="s">
        <v>43</v>
      </c>
      <c r="N714" s="5" t="s">
        <v>44</v>
      </c>
      <c r="O714" s="7">
        <v>18.329999999999998</v>
      </c>
      <c r="P714" s="5" t="s">
        <v>45</v>
      </c>
      <c r="Q714" s="7">
        <v>18.329999999999998</v>
      </c>
      <c r="R714" s="5" t="s">
        <v>45</v>
      </c>
      <c r="S714" s="7">
        <v>5.39</v>
      </c>
      <c r="T714" s="5" t="s">
        <v>46</v>
      </c>
      <c r="U714" s="5" t="s">
        <v>47</v>
      </c>
      <c r="V714" s="5" t="s">
        <v>47</v>
      </c>
      <c r="W714" s="5" t="s">
        <v>47</v>
      </c>
      <c r="X714" s="5" t="s">
        <v>47</v>
      </c>
    </row>
    <row r="715" spans="1:24" x14ac:dyDescent="0.25">
      <c r="A715" s="5" t="s">
        <v>34</v>
      </c>
      <c r="B715" s="5" t="s">
        <v>213</v>
      </c>
      <c r="C715" s="5" t="s">
        <v>214</v>
      </c>
      <c r="D715" s="5" t="s">
        <v>37</v>
      </c>
      <c r="E715" s="5" t="s">
        <v>106</v>
      </c>
      <c r="F715" s="5" t="s">
        <v>107</v>
      </c>
      <c r="G715" s="5" t="s">
        <v>40</v>
      </c>
      <c r="H715" s="6">
        <v>45961</v>
      </c>
      <c r="I715" s="6">
        <v>45961</v>
      </c>
      <c r="J715" s="6">
        <v>45964</v>
      </c>
      <c r="K715" s="5" t="s">
        <v>41</v>
      </c>
      <c r="L715" s="5" t="s">
        <v>42</v>
      </c>
      <c r="M715" s="5" t="s">
        <v>43</v>
      </c>
      <c r="N715" s="5" t="s">
        <v>44</v>
      </c>
      <c r="O715" s="7">
        <v>30.4</v>
      </c>
      <c r="P715" s="5" t="s">
        <v>45</v>
      </c>
      <c r="Q715" s="7">
        <v>30.4</v>
      </c>
      <c r="R715" s="5" t="s">
        <v>45</v>
      </c>
      <c r="S715" s="7">
        <v>8.9499999999999993</v>
      </c>
      <c r="T715" s="5" t="s">
        <v>46</v>
      </c>
      <c r="U715" s="5" t="s">
        <v>47</v>
      </c>
      <c r="V715" s="5" t="s">
        <v>47</v>
      </c>
      <c r="W715" s="5" t="s">
        <v>47</v>
      </c>
      <c r="X715" s="5" t="s">
        <v>47</v>
      </c>
    </row>
    <row r="716" spans="1:24" x14ac:dyDescent="0.25">
      <c r="A716" s="5" t="s">
        <v>34</v>
      </c>
      <c r="B716" s="5" t="s">
        <v>215</v>
      </c>
      <c r="C716" s="5" t="s">
        <v>216</v>
      </c>
      <c r="D716" s="5" t="s">
        <v>37</v>
      </c>
      <c r="E716" s="5" t="s">
        <v>80</v>
      </c>
      <c r="F716" s="5" t="s">
        <v>81</v>
      </c>
      <c r="G716" s="5" t="s">
        <v>40</v>
      </c>
      <c r="H716" s="6">
        <v>45961</v>
      </c>
      <c r="I716" s="6">
        <v>45961</v>
      </c>
      <c r="J716" s="6">
        <v>45964</v>
      </c>
      <c r="K716" s="5" t="s">
        <v>135</v>
      </c>
      <c r="L716" s="5" t="s">
        <v>136</v>
      </c>
      <c r="M716" s="5" t="s">
        <v>43</v>
      </c>
      <c r="N716" s="5" t="s">
        <v>137</v>
      </c>
      <c r="O716" s="7">
        <v>125.16</v>
      </c>
      <c r="P716" s="5" t="s">
        <v>45</v>
      </c>
      <c r="Q716" s="7">
        <v>125.16</v>
      </c>
      <c r="R716" s="5" t="s">
        <v>45</v>
      </c>
      <c r="S716" s="7">
        <v>36.83</v>
      </c>
      <c r="T716" s="5" t="s">
        <v>46</v>
      </c>
      <c r="U716" s="5" t="s">
        <v>47</v>
      </c>
      <c r="V716" s="5" t="s">
        <v>47</v>
      </c>
      <c r="W716" s="5" t="s">
        <v>47</v>
      </c>
      <c r="X716" s="5" t="s">
        <v>47</v>
      </c>
    </row>
    <row r="717" spans="1:24" x14ac:dyDescent="0.25">
      <c r="A717" s="5" t="s">
        <v>34</v>
      </c>
      <c r="B717" s="5" t="s">
        <v>215</v>
      </c>
      <c r="C717" s="5" t="s">
        <v>216</v>
      </c>
      <c r="D717" s="5" t="s">
        <v>37</v>
      </c>
      <c r="E717" s="5" t="s">
        <v>68</v>
      </c>
      <c r="F717" s="5" t="s">
        <v>69</v>
      </c>
      <c r="G717" s="5" t="s">
        <v>40</v>
      </c>
      <c r="H717" s="6">
        <v>45961</v>
      </c>
      <c r="I717" s="6">
        <v>45961</v>
      </c>
      <c r="J717" s="6">
        <v>45964</v>
      </c>
      <c r="K717" s="5" t="s">
        <v>135</v>
      </c>
      <c r="L717" s="5" t="s">
        <v>136</v>
      </c>
      <c r="M717" s="5" t="s">
        <v>43</v>
      </c>
      <c r="N717" s="5" t="s">
        <v>137</v>
      </c>
      <c r="O717" s="7">
        <v>222.39</v>
      </c>
      <c r="P717" s="5" t="s">
        <v>45</v>
      </c>
      <c r="Q717" s="7">
        <v>222.39</v>
      </c>
      <c r="R717" s="5" t="s">
        <v>45</v>
      </c>
      <c r="S717" s="7">
        <v>65.45</v>
      </c>
      <c r="T717" s="5" t="s">
        <v>46</v>
      </c>
      <c r="U717" s="5" t="s">
        <v>47</v>
      </c>
      <c r="V717" s="5" t="s">
        <v>47</v>
      </c>
      <c r="W717" s="5" t="s">
        <v>47</v>
      </c>
      <c r="X717" s="5" t="s">
        <v>47</v>
      </c>
    </row>
    <row r="718" spans="1:24" x14ac:dyDescent="0.25">
      <c r="A718" s="5" t="s">
        <v>34</v>
      </c>
      <c r="B718" s="5" t="s">
        <v>215</v>
      </c>
      <c r="C718" s="5" t="s">
        <v>216</v>
      </c>
      <c r="D718" s="5" t="s">
        <v>37</v>
      </c>
      <c r="E718" s="5" t="s">
        <v>60</v>
      </c>
      <c r="F718" s="5" t="s">
        <v>61</v>
      </c>
      <c r="G718" s="5" t="s">
        <v>40</v>
      </c>
      <c r="H718" s="6">
        <v>45961</v>
      </c>
      <c r="I718" s="6">
        <v>45961</v>
      </c>
      <c r="J718" s="6">
        <v>45964</v>
      </c>
      <c r="K718" s="5" t="s">
        <v>135</v>
      </c>
      <c r="L718" s="5" t="s">
        <v>136</v>
      </c>
      <c r="M718" s="5" t="s">
        <v>43</v>
      </c>
      <c r="N718" s="5" t="s">
        <v>137</v>
      </c>
      <c r="O718" s="7">
        <v>648.4</v>
      </c>
      <c r="P718" s="5" t="s">
        <v>45</v>
      </c>
      <c r="Q718" s="7">
        <v>648.4</v>
      </c>
      <c r="R718" s="5" t="s">
        <v>45</v>
      </c>
      <c r="S718" s="7">
        <v>190.82</v>
      </c>
      <c r="T718" s="5" t="s">
        <v>46</v>
      </c>
      <c r="U718" s="5" t="s">
        <v>47</v>
      </c>
      <c r="V718" s="5" t="s">
        <v>47</v>
      </c>
      <c r="W718" s="5" t="s">
        <v>47</v>
      </c>
      <c r="X718" s="5" t="s">
        <v>47</v>
      </c>
    </row>
    <row r="719" spans="1:24" x14ac:dyDescent="0.25">
      <c r="A719" s="5" t="s">
        <v>34</v>
      </c>
      <c r="B719" s="5" t="s">
        <v>215</v>
      </c>
      <c r="C719" s="5" t="s">
        <v>216</v>
      </c>
      <c r="D719" s="5" t="s">
        <v>37</v>
      </c>
      <c r="E719" s="5" t="s">
        <v>122</v>
      </c>
      <c r="F719" s="5" t="s">
        <v>123</v>
      </c>
      <c r="G719" s="5" t="s">
        <v>40</v>
      </c>
      <c r="H719" s="6">
        <v>45961</v>
      </c>
      <c r="I719" s="6">
        <v>45961</v>
      </c>
      <c r="J719" s="6">
        <v>45964</v>
      </c>
      <c r="K719" s="5" t="s">
        <v>135</v>
      </c>
      <c r="L719" s="5" t="s">
        <v>136</v>
      </c>
      <c r="M719" s="5" t="s">
        <v>43</v>
      </c>
      <c r="N719" s="5" t="s">
        <v>137</v>
      </c>
      <c r="O719" s="7">
        <v>10.119999999999999</v>
      </c>
      <c r="P719" s="5" t="s">
        <v>45</v>
      </c>
      <c r="Q719" s="7">
        <v>10.119999999999999</v>
      </c>
      <c r="R719" s="5" t="s">
        <v>45</v>
      </c>
      <c r="S719" s="7">
        <v>2.98</v>
      </c>
      <c r="T719" s="5" t="s">
        <v>46</v>
      </c>
      <c r="U719" s="5" t="s">
        <v>47</v>
      </c>
      <c r="V719" s="5" t="s">
        <v>47</v>
      </c>
      <c r="W719" s="5" t="s">
        <v>47</v>
      </c>
      <c r="X719" s="5" t="s">
        <v>47</v>
      </c>
    </row>
    <row r="720" spans="1:24" x14ac:dyDescent="0.25">
      <c r="A720" s="5" t="s">
        <v>34</v>
      </c>
      <c r="B720" s="5" t="s">
        <v>215</v>
      </c>
      <c r="C720" s="5" t="s">
        <v>216</v>
      </c>
      <c r="D720" s="5" t="s">
        <v>37</v>
      </c>
      <c r="E720" s="5" t="s">
        <v>86</v>
      </c>
      <c r="F720" s="5" t="s">
        <v>87</v>
      </c>
      <c r="G720" s="5" t="s">
        <v>40</v>
      </c>
      <c r="H720" s="6">
        <v>45961</v>
      </c>
      <c r="I720" s="6">
        <v>45961</v>
      </c>
      <c r="J720" s="6">
        <v>45964</v>
      </c>
      <c r="K720" s="5" t="s">
        <v>135</v>
      </c>
      <c r="L720" s="5" t="s">
        <v>136</v>
      </c>
      <c r="M720" s="5" t="s">
        <v>43</v>
      </c>
      <c r="N720" s="5" t="s">
        <v>137</v>
      </c>
      <c r="O720" s="7">
        <v>829.59</v>
      </c>
      <c r="P720" s="5" t="s">
        <v>45</v>
      </c>
      <c r="Q720" s="7">
        <v>829.59</v>
      </c>
      <c r="R720" s="5" t="s">
        <v>45</v>
      </c>
      <c r="S720" s="7">
        <v>244.14</v>
      </c>
      <c r="T720" s="5" t="s">
        <v>46</v>
      </c>
      <c r="U720" s="5" t="s">
        <v>47</v>
      </c>
      <c r="V720" s="5" t="s">
        <v>47</v>
      </c>
      <c r="W720" s="5" t="s">
        <v>47</v>
      </c>
      <c r="X720" s="5" t="s">
        <v>47</v>
      </c>
    </row>
    <row r="721" spans="1:24" x14ac:dyDescent="0.25">
      <c r="A721" s="5" t="s">
        <v>34</v>
      </c>
      <c r="B721" s="5" t="s">
        <v>215</v>
      </c>
      <c r="C721" s="5" t="s">
        <v>216</v>
      </c>
      <c r="D721" s="5" t="s">
        <v>37</v>
      </c>
      <c r="E721" s="5" t="s">
        <v>96</v>
      </c>
      <c r="F721" s="5" t="s">
        <v>97</v>
      </c>
      <c r="G721" s="5" t="s">
        <v>40</v>
      </c>
      <c r="H721" s="6">
        <v>45961</v>
      </c>
      <c r="I721" s="6">
        <v>45961</v>
      </c>
      <c r="J721" s="6">
        <v>45964</v>
      </c>
      <c r="K721" s="5" t="s">
        <v>135</v>
      </c>
      <c r="L721" s="5" t="s">
        <v>136</v>
      </c>
      <c r="M721" s="5" t="s">
        <v>43</v>
      </c>
      <c r="N721" s="5" t="s">
        <v>137</v>
      </c>
      <c r="O721" s="7">
        <v>2193.23</v>
      </c>
      <c r="P721" s="5" t="s">
        <v>45</v>
      </c>
      <c r="Q721" s="7">
        <v>2193.23</v>
      </c>
      <c r="R721" s="5" t="s">
        <v>45</v>
      </c>
      <c r="S721" s="7">
        <v>645.45000000000005</v>
      </c>
      <c r="T721" s="5" t="s">
        <v>46</v>
      </c>
      <c r="U721" s="5" t="s">
        <v>47</v>
      </c>
      <c r="V721" s="5" t="s">
        <v>47</v>
      </c>
      <c r="W721" s="5" t="s">
        <v>47</v>
      </c>
      <c r="X721" s="5" t="s">
        <v>47</v>
      </c>
    </row>
    <row r="722" spans="1:24" x14ac:dyDescent="0.25">
      <c r="A722" s="5" t="s">
        <v>34</v>
      </c>
      <c r="B722" s="5" t="s">
        <v>215</v>
      </c>
      <c r="C722" s="5" t="s">
        <v>216</v>
      </c>
      <c r="D722" s="5" t="s">
        <v>37</v>
      </c>
      <c r="E722" s="5" t="s">
        <v>38</v>
      </c>
      <c r="F722" s="5" t="s">
        <v>39</v>
      </c>
      <c r="G722" s="5" t="s">
        <v>40</v>
      </c>
      <c r="H722" s="6">
        <v>45961</v>
      </c>
      <c r="I722" s="6">
        <v>45961</v>
      </c>
      <c r="J722" s="6">
        <v>45964</v>
      </c>
      <c r="K722" s="5" t="s">
        <v>135</v>
      </c>
      <c r="L722" s="5" t="s">
        <v>136</v>
      </c>
      <c r="M722" s="5" t="s">
        <v>43</v>
      </c>
      <c r="N722" s="5" t="s">
        <v>137</v>
      </c>
      <c r="O722" s="7">
        <v>260.89999999999998</v>
      </c>
      <c r="P722" s="5" t="s">
        <v>45</v>
      </c>
      <c r="Q722" s="7">
        <v>260.89999999999998</v>
      </c>
      <c r="R722" s="5" t="s">
        <v>45</v>
      </c>
      <c r="S722" s="7">
        <v>76.78</v>
      </c>
      <c r="T722" s="5" t="s">
        <v>46</v>
      </c>
      <c r="U722" s="5" t="s">
        <v>47</v>
      </c>
      <c r="V722" s="5" t="s">
        <v>47</v>
      </c>
      <c r="W722" s="5" t="s">
        <v>47</v>
      </c>
      <c r="X722" s="5" t="s">
        <v>47</v>
      </c>
    </row>
    <row r="723" spans="1:24" x14ac:dyDescent="0.25">
      <c r="A723" s="5" t="s">
        <v>34</v>
      </c>
      <c r="B723" s="5" t="s">
        <v>215</v>
      </c>
      <c r="C723" s="5" t="s">
        <v>216</v>
      </c>
      <c r="D723" s="5" t="s">
        <v>37</v>
      </c>
      <c r="E723" s="5" t="s">
        <v>58</v>
      </c>
      <c r="F723" s="5" t="s">
        <v>59</v>
      </c>
      <c r="G723" s="5" t="s">
        <v>40</v>
      </c>
      <c r="H723" s="6">
        <v>45961</v>
      </c>
      <c r="I723" s="6">
        <v>45961</v>
      </c>
      <c r="J723" s="6">
        <v>45964</v>
      </c>
      <c r="K723" s="5" t="s">
        <v>135</v>
      </c>
      <c r="L723" s="5" t="s">
        <v>136</v>
      </c>
      <c r="M723" s="5" t="s">
        <v>43</v>
      </c>
      <c r="N723" s="5" t="s">
        <v>137</v>
      </c>
      <c r="O723" s="7">
        <v>24.87</v>
      </c>
      <c r="P723" s="5" t="s">
        <v>45</v>
      </c>
      <c r="Q723" s="7">
        <v>24.87</v>
      </c>
      <c r="R723" s="5" t="s">
        <v>45</v>
      </c>
      <c r="S723" s="7">
        <v>7.32</v>
      </c>
      <c r="T723" s="5" t="s">
        <v>46</v>
      </c>
      <c r="U723" s="5" t="s">
        <v>47</v>
      </c>
      <c r="V723" s="5" t="s">
        <v>47</v>
      </c>
      <c r="W723" s="5" t="s">
        <v>47</v>
      </c>
      <c r="X723" s="5" t="s">
        <v>47</v>
      </c>
    </row>
    <row r="724" spans="1:24" x14ac:dyDescent="0.25">
      <c r="A724" s="5" t="s">
        <v>34</v>
      </c>
      <c r="B724" s="5" t="s">
        <v>215</v>
      </c>
      <c r="C724" s="5" t="s">
        <v>216</v>
      </c>
      <c r="D724" s="5" t="s">
        <v>37</v>
      </c>
      <c r="E724" s="5" t="s">
        <v>104</v>
      </c>
      <c r="F724" s="5" t="s">
        <v>105</v>
      </c>
      <c r="G724" s="5" t="s">
        <v>40</v>
      </c>
      <c r="H724" s="6">
        <v>45961</v>
      </c>
      <c r="I724" s="6">
        <v>45961</v>
      </c>
      <c r="J724" s="6">
        <v>45964</v>
      </c>
      <c r="K724" s="5" t="s">
        <v>135</v>
      </c>
      <c r="L724" s="5" t="s">
        <v>136</v>
      </c>
      <c r="M724" s="5" t="s">
        <v>43</v>
      </c>
      <c r="N724" s="5" t="s">
        <v>137</v>
      </c>
      <c r="O724" s="7">
        <v>281.82</v>
      </c>
      <c r="P724" s="5" t="s">
        <v>45</v>
      </c>
      <c r="Q724" s="7">
        <v>281.82</v>
      </c>
      <c r="R724" s="5" t="s">
        <v>45</v>
      </c>
      <c r="S724" s="7">
        <v>82.94</v>
      </c>
      <c r="T724" s="5" t="s">
        <v>46</v>
      </c>
      <c r="U724" s="5" t="s">
        <v>47</v>
      </c>
      <c r="V724" s="5" t="s">
        <v>47</v>
      </c>
      <c r="W724" s="5" t="s">
        <v>47</v>
      </c>
      <c r="X724" s="5" t="s">
        <v>47</v>
      </c>
    </row>
    <row r="725" spans="1:24" x14ac:dyDescent="0.25">
      <c r="A725" s="5" t="s">
        <v>34</v>
      </c>
      <c r="B725" s="5" t="s">
        <v>215</v>
      </c>
      <c r="C725" s="5" t="s">
        <v>216</v>
      </c>
      <c r="D725" s="5" t="s">
        <v>37</v>
      </c>
      <c r="E725" s="5" t="s">
        <v>64</v>
      </c>
      <c r="F725" s="5" t="s">
        <v>65</v>
      </c>
      <c r="G725" s="5" t="s">
        <v>40</v>
      </c>
      <c r="H725" s="6">
        <v>45961</v>
      </c>
      <c r="I725" s="6">
        <v>45961</v>
      </c>
      <c r="J725" s="6">
        <v>45950</v>
      </c>
      <c r="K725" s="5" t="s">
        <v>132</v>
      </c>
      <c r="L725" s="5" t="s">
        <v>133</v>
      </c>
      <c r="M725" s="5" t="s">
        <v>43</v>
      </c>
      <c r="N725" s="5" t="s">
        <v>134</v>
      </c>
      <c r="O725" s="7">
        <v>6.1</v>
      </c>
      <c r="P725" s="5" t="s">
        <v>45</v>
      </c>
      <c r="Q725" s="7">
        <v>6.1</v>
      </c>
      <c r="R725" s="5" t="s">
        <v>45</v>
      </c>
      <c r="S725" s="7">
        <v>1.8</v>
      </c>
      <c r="T725" s="5" t="s">
        <v>46</v>
      </c>
      <c r="U725" s="5" t="s">
        <v>47</v>
      </c>
      <c r="V725" s="5" t="s">
        <v>47</v>
      </c>
      <c r="W725" s="5" t="s">
        <v>47</v>
      </c>
      <c r="X725" s="5" t="s">
        <v>47</v>
      </c>
    </row>
    <row r="726" spans="1:24" x14ac:dyDescent="0.25">
      <c r="A726" s="5" t="s">
        <v>34</v>
      </c>
      <c r="B726" s="5" t="s">
        <v>215</v>
      </c>
      <c r="C726" s="5" t="s">
        <v>216</v>
      </c>
      <c r="D726" s="5" t="s">
        <v>37</v>
      </c>
      <c r="E726" s="5" t="s">
        <v>70</v>
      </c>
      <c r="F726" s="5" t="s">
        <v>71</v>
      </c>
      <c r="G726" s="5" t="s">
        <v>40</v>
      </c>
      <c r="H726" s="6">
        <v>45961</v>
      </c>
      <c r="I726" s="6">
        <v>45961</v>
      </c>
      <c r="J726" s="6">
        <v>45964</v>
      </c>
      <c r="K726" s="5" t="s">
        <v>135</v>
      </c>
      <c r="L726" s="5" t="s">
        <v>136</v>
      </c>
      <c r="M726" s="5" t="s">
        <v>43</v>
      </c>
      <c r="N726" s="5" t="s">
        <v>137</v>
      </c>
      <c r="O726" s="7">
        <v>66.08</v>
      </c>
      <c r="P726" s="5" t="s">
        <v>45</v>
      </c>
      <c r="Q726" s="7">
        <v>66.08</v>
      </c>
      <c r="R726" s="5" t="s">
        <v>45</v>
      </c>
      <c r="S726" s="7">
        <v>19.45</v>
      </c>
      <c r="T726" s="5" t="s">
        <v>46</v>
      </c>
      <c r="U726" s="5" t="s">
        <v>47</v>
      </c>
      <c r="V726" s="5" t="s">
        <v>47</v>
      </c>
      <c r="W726" s="5" t="s">
        <v>47</v>
      </c>
      <c r="X726" s="5" t="s">
        <v>47</v>
      </c>
    </row>
    <row r="727" spans="1:24" x14ac:dyDescent="0.25">
      <c r="A727" s="5" t="s">
        <v>34</v>
      </c>
      <c r="B727" s="5" t="s">
        <v>215</v>
      </c>
      <c r="C727" s="5" t="s">
        <v>216</v>
      </c>
      <c r="D727" s="5" t="s">
        <v>37</v>
      </c>
      <c r="E727" s="5" t="s">
        <v>84</v>
      </c>
      <c r="F727" s="5" t="s">
        <v>85</v>
      </c>
      <c r="G727" s="5" t="s">
        <v>40</v>
      </c>
      <c r="H727" s="6">
        <v>45961</v>
      </c>
      <c r="I727" s="6">
        <v>45961</v>
      </c>
      <c r="J727" s="6">
        <v>45964</v>
      </c>
      <c r="K727" s="5" t="s">
        <v>135</v>
      </c>
      <c r="L727" s="5" t="s">
        <v>136</v>
      </c>
      <c r="M727" s="5" t="s">
        <v>43</v>
      </c>
      <c r="N727" s="5" t="s">
        <v>137</v>
      </c>
      <c r="O727" s="7">
        <v>98.59</v>
      </c>
      <c r="P727" s="5" t="s">
        <v>45</v>
      </c>
      <c r="Q727" s="7">
        <v>98.59</v>
      </c>
      <c r="R727" s="5" t="s">
        <v>45</v>
      </c>
      <c r="S727" s="7">
        <v>29.01</v>
      </c>
      <c r="T727" s="5" t="s">
        <v>46</v>
      </c>
      <c r="U727" s="5" t="s">
        <v>47</v>
      </c>
      <c r="V727" s="5" t="s">
        <v>47</v>
      </c>
      <c r="W727" s="5" t="s">
        <v>47</v>
      </c>
      <c r="X727" s="5" t="s">
        <v>47</v>
      </c>
    </row>
    <row r="728" spans="1:24" x14ac:dyDescent="0.25">
      <c r="A728" s="5" t="s">
        <v>34</v>
      </c>
      <c r="B728" s="5" t="s">
        <v>215</v>
      </c>
      <c r="C728" s="5" t="s">
        <v>216</v>
      </c>
      <c r="D728" s="5" t="s">
        <v>37</v>
      </c>
      <c r="E728" s="5" t="s">
        <v>48</v>
      </c>
      <c r="F728" s="5" t="s">
        <v>49</v>
      </c>
      <c r="G728" s="5" t="s">
        <v>40</v>
      </c>
      <c r="H728" s="6">
        <v>45961</v>
      </c>
      <c r="I728" s="6">
        <v>45961</v>
      </c>
      <c r="J728" s="6">
        <v>45964</v>
      </c>
      <c r="K728" s="5" t="s">
        <v>135</v>
      </c>
      <c r="L728" s="5" t="s">
        <v>136</v>
      </c>
      <c r="M728" s="5" t="s">
        <v>43</v>
      </c>
      <c r="N728" s="5" t="s">
        <v>137</v>
      </c>
      <c r="O728" s="7">
        <v>541.95000000000005</v>
      </c>
      <c r="P728" s="5" t="s">
        <v>45</v>
      </c>
      <c r="Q728" s="7">
        <v>541.95000000000005</v>
      </c>
      <c r="R728" s="5" t="s">
        <v>45</v>
      </c>
      <c r="S728" s="7">
        <v>159.49</v>
      </c>
      <c r="T728" s="5" t="s">
        <v>46</v>
      </c>
      <c r="U728" s="5" t="s">
        <v>47</v>
      </c>
      <c r="V728" s="5" t="s">
        <v>47</v>
      </c>
      <c r="W728" s="5" t="s">
        <v>47</v>
      </c>
      <c r="X728" s="5" t="s">
        <v>47</v>
      </c>
    </row>
    <row r="729" spans="1:24" x14ac:dyDescent="0.25">
      <c r="A729" s="5" t="s">
        <v>34</v>
      </c>
      <c r="B729" s="5" t="s">
        <v>215</v>
      </c>
      <c r="C729" s="5" t="s">
        <v>216</v>
      </c>
      <c r="D729" s="5" t="s">
        <v>37</v>
      </c>
      <c r="E729" s="5" t="s">
        <v>50</v>
      </c>
      <c r="F729" s="5" t="s">
        <v>51</v>
      </c>
      <c r="G729" s="5" t="s">
        <v>40</v>
      </c>
      <c r="H729" s="6">
        <v>45961</v>
      </c>
      <c r="I729" s="6">
        <v>45961</v>
      </c>
      <c r="J729" s="6">
        <v>45964</v>
      </c>
      <c r="K729" s="5" t="s">
        <v>135</v>
      </c>
      <c r="L729" s="5" t="s">
        <v>136</v>
      </c>
      <c r="M729" s="5" t="s">
        <v>43</v>
      </c>
      <c r="N729" s="5" t="s">
        <v>137</v>
      </c>
      <c r="O729" s="7">
        <v>536</v>
      </c>
      <c r="P729" s="5" t="s">
        <v>45</v>
      </c>
      <c r="Q729" s="7">
        <v>536</v>
      </c>
      <c r="R729" s="5" t="s">
        <v>45</v>
      </c>
      <c r="S729" s="7">
        <v>157.74</v>
      </c>
      <c r="T729" s="5" t="s">
        <v>46</v>
      </c>
      <c r="U729" s="5" t="s">
        <v>47</v>
      </c>
      <c r="V729" s="5" t="s">
        <v>47</v>
      </c>
      <c r="W729" s="5" t="s">
        <v>47</v>
      </c>
      <c r="X729" s="5" t="s">
        <v>47</v>
      </c>
    </row>
    <row r="730" spans="1:24" x14ac:dyDescent="0.25">
      <c r="A730" s="5" t="s">
        <v>34</v>
      </c>
      <c r="B730" s="5" t="s">
        <v>215</v>
      </c>
      <c r="C730" s="5" t="s">
        <v>216</v>
      </c>
      <c r="D730" s="5" t="s">
        <v>37</v>
      </c>
      <c r="E730" s="5" t="s">
        <v>116</v>
      </c>
      <c r="F730" s="5" t="s">
        <v>117</v>
      </c>
      <c r="G730" s="5" t="s">
        <v>40</v>
      </c>
      <c r="H730" s="6">
        <v>45961</v>
      </c>
      <c r="I730" s="6">
        <v>45961</v>
      </c>
      <c r="J730" s="6">
        <v>45964</v>
      </c>
      <c r="K730" s="5" t="s">
        <v>135</v>
      </c>
      <c r="L730" s="5" t="s">
        <v>136</v>
      </c>
      <c r="M730" s="5" t="s">
        <v>43</v>
      </c>
      <c r="N730" s="5" t="s">
        <v>137</v>
      </c>
      <c r="O730" s="7">
        <v>302.08</v>
      </c>
      <c r="P730" s="5" t="s">
        <v>45</v>
      </c>
      <c r="Q730" s="7">
        <v>302.08</v>
      </c>
      <c r="R730" s="5" t="s">
        <v>45</v>
      </c>
      <c r="S730" s="7">
        <v>88.9</v>
      </c>
      <c r="T730" s="5" t="s">
        <v>46</v>
      </c>
      <c r="U730" s="5" t="s">
        <v>47</v>
      </c>
      <c r="V730" s="5" t="s">
        <v>47</v>
      </c>
      <c r="W730" s="5" t="s">
        <v>47</v>
      </c>
      <c r="X730" s="5" t="s">
        <v>47</v>
      </c>
    </row>
    <row r="731" spans="1:24" x14ac:dyDescent="0.25">
      <c r="A731" s="5" t="s">
        <v>34</v>
      </c>
      <c r="B731" s="5" t="s">
        <v>215</v>
      </c>
      <c r="C731" s="5" t="s">
        <v>216</v>
      </c>
      <c r="D731" s="5" t="s">
        <v>37</v>
      </c>
      <c r="E731" s="5" t="s">
        <v>102</v>
      </c>
      <c r="F731" s="5" t="s">
        <v>103</v>
      </c>
      <c r="G731" s="5" t="s">
        <v>40</v>
      </c>
      <c r="H731" s="6">
        <v>45961</v>
      </c>
      <c r="I731" s="6">
        <v>45961</v>
      </c>
      <c r="J731" s="6">
        <v>45964</v>
      </c>
      <c r="K731" s="5" t="s">
        <v>135</v>
      </c>
      <c r="L731" s="5" t="s">
        <v>136</v>
      </c>
      <c r="M731" s="5" t="s">
        <v>43</v>
      </c>
      <c r="N731" s="5" t="s">
        <v>137</v>
      </c>
      <c r="O731" s="7">
        <v>839.62</v>
      </c>
      <c r="P731" s="5" t="s">
        <v>45</v>
      </c>
      <c r="Q731" s="7">
        <v>839.62</v>
      </c>
      <c r="R731" s="5" t="s">
        <v>45</v>
      </c>
      <c r="S731" s="7">
        <v>247.09</v>
      </c>
      <c r="T731" s="5" t="s">
        <v>46</v>
      </c>
      <c r="U731" s="5" t="s">
        <v>47</v>
      </c>
      <c r="V731" s="5" t="s">
        <v>47</v>
      </c>
      <c r="W731" s="5" t="s">
        <v>47</v>
      </c>
      <c r="X731" s="5" t="s">
        <v>47</v>
      </c>
    </row>
    <row r="732" spans="1:24" x14ac:dyDescent="0.25">
      <c r="A732" s="5" t="s">
        <v>34</v>
      </c>
      <c r="B732" s="5" t="s">
        <v>215</v>
      </c>
      <c r="C732" s="5" t="s">
        <v>216</v>
      </c>
      <c r="D732" s="5" t="s">
        <v>37</v>
      </c>
      <c r="E732" s="5" t="s">
        <v>72</v>
      </c>
      <c r="F732" s="5" t="s">
        <v>73</v>
      </c>
      <c r="G732" s="5" t="s">
        <v>40</v>
      </c>
      <c r="H732" s="6">
        <v>45961</v>
      </c>
      <c r="I732" s="6">
        <v>45961</v>
      </c>
      <c r="J732" s="6">
        <v>45964</v>
      </c>
      <c r="K732" s="5" t="s">
        <v>135</v>
      </c>
      <c r="L732" s="5" t="s">
        <v>136</v>
      </c>
      <c r="M732" s="5" t="s">
        <v>43</v>
      </c>
      <c r="N732" s="5" t="s">
        <v>137</v>
      </c>
      <c r="O732" s="7">
        <v>53.85</v>
      </c>
      <c r="P732" s="5" t="s">
        <v>45</v>
      </c>
      <c r="Q732" s="7">
        <v>53.85</v>
      </c>
      <c r="R732" s="5" t="s">
        <v>45</v>
      </c>
      <c r="S732" s="7">
        <v>15.85</v>
      </c>
      <c r="T732" s="5" t="s">
        <v>46</v>
      </c>
      <c r="U732" s="5" t="s">
        <v>47</v>
      </c>
      <c r="V732" s="5" t="s">
        <v>47</v>
      </c>
      <c r="W732" s="5" t="s">
        <v>47</v>
      </c>
      <c r="X732" s="5" t="s">
        <v>47</v>
      </c>
    </row>
    <row r="733" spans="1:24" x14ac:dyDescent="0.25">
      <c r="A733" s="5" t="s">
        <v>34</v>
      </c>
      <c r="B733" s="5" t="s">
        <v>215</v>
      </c>
      <c r="C733" s="5" t="s">
        <v>216</v>
      </c>
      <c r="D733" s="5" t="s">
        <v>37</v>
      </c>
      <c r="E733" s="5" t="s">
        <v>106</v>
      </c>
      <c r="F733" s="5" t="s">
        <v>107</v>
      </c>
      <c r="G733" s="5" t="s">
        <v>40</v>
      </c>
      <c r="H733" s="6">
        <v>45961</v>
      </c>
      <c r="I733" s="6">
        <v>45961</v>
      </c>
      <c r="J733" s="6">
        <v>45964</v>
      </c>
      <c r="K733" s="5" t="s">
        <v>135</v>
      </c>
      <c r="L733" s="5" t="s">
        <v>136</v>
      </c>
      <c r="M733" s="5" t="s">
        <v>43</v>
      </c>
      <c r="N733" s="5" t="s">
        <v>137</v>
      </c>
      <c r="O733" s="7">
        <v>79.099999999999994</v>
      </c>
      <c r="P733" s="5" t="s">
        <v>45</v>
      </c>
      <c r="Q733" s="7">
        <v>79.099999999999994</v>
      </c>
      <c r="R733" s="5" t="s">
        <v>45</v>
      </c>
      <c r="S733" s="7">
        <v>23.28</v>
      </c>
      <c r="T733" s="5" t="s">
        <v>46</v>
      </c>
      <c r="U733" s="5" t="s">
        <v>47</v>
      </c>
      <c r="V733" s="5" t="s">
        <v>47</v>
      </c>
      <c r="W733" s="5" t="s">
        <v>47</v>
      </c>
      <c r="X733" s="5" t="s">
        <v>47</v>
      </c>
    </row>
    <row r="734" spans="1:24" x14ac:dyDescent="0.25">
      <c r="A734" s="5" t="s">
        <v>34</v>
      </c>
      <c r="B734" s="5" t="s">
        <v>215</v>
      </c>
      <c r="C734" s="5" t="s">
        <v>216</v>
      </c>
      <c r="D734" s="5" t="s">
        <v>37</v>
      </c>
      <c r="E734" s="5" t="s">
        <v>64</v>
      </c>
      <c r="F734" s="5" t="s">
        <v>65</v>
      </c>
      <c r="G734" s="5" t="s">
        <v>40</v>
      </c>
      <c r="H734" s="6">
        <v>45961</v>
      </c>
      <c r="I734" s="6">
        <v>45961</v>
      </c>
      <c r="J734" s="6">
        <v>45964</v>
      </c>
      <c r="K734" s="5" t="s">
        <v>135</v>
      </c>
      <c r="L734" s="5" t="s">
        <v>136</v>
      </c>
      <c r="M734" s="5" t="s">
        <v>43</v>
      </c>
      <c r="N734" s="5" t="s">
        <v>137</v>
      </c>
      <c r="O734" s="7">
        <v>277.61</v>
      </c>
      <c r="P734" s="5" t="s">
        <v>45</v>
      </c>
      <c r="Q734" s="7">
        <v>277.61</v>
      </c>
      <c r="R734" s="5" t="s">
        <v>45</v>
      </c>
      <c r="S734" s="7">
        <v>81.7</v>
      </c>
      <c r="T734" s="5" t="s">
        <v>46</v>
      </c>
      <c r="U734" s="5" t="s">
        <v>47</v>
      </c>
      <c r="V734" s="5" t="s">
        <v>47</v>
      </c>
      <c r="W734" s="5" t="s">
        <v>47</v>
      </c>
      <c r="X734" s="5" t="s">
        <v>47</v>
      </c>
    </row>
    <row r="735" spans="1:24" x14ac:dyDescent="0.25">
      <c r="A735" s="5" t="s">
        <v>34</v>
      </c>
      <c r="B735" s="5" t="s">
        <v>215</v>
      </c>
      <c r="C735" s="5" t="s">
        <v>216</v>
      </c>
      <c r="D735" s="5" t="s">
        <v>37</v>
      </c>
      <c r="E735" s="5" t="s">
        <v>98</v>
      </c>
      <c r="F735" s="5" t="s">
        <v>99</v>
      </c>
      <c r="G735" s="5" t="s">
        <v>40</v>
      </c>
      <c r="H735" s="6">
        <v>45961</v>
      </c>
      <c r="I735" s="6">
        <v>45961</v>
      </c>
      <c r="J735" s="6">
        <v>45964</v>
      </c>
      <c r="K735" s="5" t="s">
        <v>135</v>
      </c>
      <c r="L735" s="5" t="s">
        <v>136</v>
      </c>
      <c r="M735" s="5" t="s">
        <v>43</v>
      </c>
      <c r="N735" s="5" t="s">
        <v>137</v>
      </c>
      <c r="O735" s="7">
        <v>23.96</v>
      </c>
      <c r="P735" s="5" t="s">
        <v>45</v>
      </c>
      <c r="Q735" s="7">
        <v>23.96</v>
      </c>
      <c r="R735" s="5" t="s">
        <v>45</v>
      </c>
      <c r="S735" s="7">
        <v>7.05</v>
      </c>
      <c r="T735" s="5" t="s">
        <v>46</v>
      </c>
      <c r="U735" s="5" t="s">
        <v>47</v>
      </c>
      <c r="V735" s="5" t="s">
        <v>47</v>
      </c>
      <c r="W735" s="5" t="s">
        <v>47</v>
      </c>
      <c r="X735" s="5" t="s">
        <v>47</v>
      </c>
    </row>
    <row r="736" spans="1:24" x14ac:dyDescent="0.25">
      <c r="A736" s="5" t="s">
        <v>34</v>
      </c>
      <c r="B736" s="5" t="s">
        <v>215</v>
      </c>
      <c r="C736" s="5" t="s">
        <v>216</v>
      </c>
      <c r="D736" s="5" t="s">
        <v>37</v>
      </c>
      <c r="E736" s="5" t="s">
        <v>110</v>
      </c>
      <c r="F736" s="5" t="s">
        <v>111</v>
      </c>
      <c r="G736" s="5" t="s">
        <v>40</v>
      </c>
      <c r="H736" s="6">
        <v>45961</v>
      </c>
      <c r="I736" s="6">
        <v>45961</v>
      </c>
      <c r="J736" s="6">
        <v>45964</v>
      </c>
      <c r="K736" s="5" t="s">
        <v>135</v>
      </c>
      <c r="L736" s="5" t="s">
        <v>136</v>
      </c>
      <c r="M736" s="5" t="s">
        <v>43</v>
      </c>
      <c r="N736" s="5" t="s">
        <v>137</v>
      </c>
      <c r="O736" s="7">
        <v>739.53</v>
      </c>
      <c r="P736" s="5" t="s">
        <v>45</v>
      </c>
      <c r="Q736" s="7">
        <v>739.53</v>
      </c>
      <c r="R736" s="5" t="s">
        <v>45</v>
      </c>
      <c r="S736" s="7">
        <v>217.64</v>
      </c>
      <c r="T736" s="5" t="s">
        <v>46</v>
      </c>
      <c r="U736" s="5" t="s">
        <v>47</v>
      </c>
      <c r="V736" s="5" t="s">
        <v>47</v>
      </c>
      <c r="W736" s="5" t="s">
        <v>47</v>
      </c>
      <c r="X736" s="5" t="s">
        <v>47</v>
      </c>
    </row>
    <row r="737" spans="1:24" x14ac:dyDescent="0.25">
      <c r="A737" s="5" t="s">
        <v>34</v>
      </c>
      <c r="B737" s="5" t="s">
        <v>215</v>
      </c>
      <c r="C737" s="5" t="s">
        <v>216</v>
      </c>
      <c r="D737" s="5" t="s">
        <v>37</v>
      </c>
      <c r="E737" s="5" t="s">
        <v>96</v>
      </c>
      <c r="F737" s="5" t="s">
        <v>97</v>
      </c>
      <c r="G737" s="5" t="s">
        <v>40</v>
      </c>
      <c r="H737" s="6">
        <v>45961</v>
      </c>
      <c r="I737" s="6">
        <v>45961</v>
      </c>
      <c r="J737" s="6">
        <v>45964</v>
      </c>
      <c r="K737" s="5" t="s">
        <v>147</v>
      </c>
      <c r="L737" s="5" t="s">
        <v>148</v>
      </c>
      <c r="M737" s="5" t="s">
        <v>43</v>
      </c>
      <c r="N737" s="5" t="s">
        <v>149</v>
      </c>
      <c r="O737" s="7">
        <v>17.46</v>
      </c>
      <c r="P737" s="5" t="s">
        <v>45</v>
      </c>
      <c r="Q737" s="7">
        <v>17.46</v>
      </c>
      <c r="R737" s="5" t="s">
        <v>45</v>
      </c>
      <c r="S737" s="7">
        <v>5.14</v>
      </c>
      <c r="T737" s="5" t="s">
        <v>46</v>
      </c>
      <c r="U737" s="5" t="s">
        <v>47</v>
      </c>
      <c r="V737" s="5" t="s">
        <v>47</v>
      </c>
      <c r="W737" s="5" t="s">
        <v>47</v>
      </c>
      <c r="X737" s="5" t="s">
        <v>47</v>
      </c>
    </row>
    <row r="738" spans="1:24" x14ac:dyDescent="0.25">
      <c r="A738" s="5" t="s">
        <v>34</v>
      </c>
      <c r="B738" s="5" t="s">
        <v>215</v>
      </c>
      <c r="C738" s="5" t="s">
        <v>216</v>
      </c>
      <c r="D738" s="5" t="s">
        <v>37</v>
      </c>
      <c r="E738" s="5" t="s">
        <v>92</v>
      </c>
      <c r="F738" s="5" t="s">
        <v>93</v>
      </c>
      <c r="G738" s="5" t="s">
        <v>40</v>
      </c>
      <c r="H738" s="6">
        <v>45961</v>
      </c>
      <c r="I738" s="6">
        <v>45961</v>
      </c>
      <c r="J738" s="6">
        <v>45964</v>
      </c>
      <c r="K738" s="5" t="s">
        <v>135</v>
      </c>
      <c r="L738" s="5" t="s">
        <v>136</v>
      </c>
      <c r="M738" s="5" t="s">
        <v>43</v>
      </c>
      <c r="N738" s="5" t="s">
        <v>137</v>
      </c>
      <c r="O738" s="7">
        <v>39.19</v>
      </c>
      <c r="P738" s="5" t="s">
        <v>45</v>
      </c>
      <c r="Q738" s="7">
        <v>39.19</v>
      </c>
      <c r="R738" s="5" t="s">
        <v>45</v>
      </c>
      <c r="S738" s="7">
        <v>11.53</v>
      </c>
      <c r="T738" s="5" t="s">
        <v>46</v>
      </c>
      <c r="U738" s="5" t="s">
        <v>47</v>
      </c>
      <c r="V738" s="5" t="s">
        <v>47</v>
      </c>
      <c r="W738" s="5" t="s">
        <v>47</v>
      </c>
      <c r="X738" s="5" t="s">
        <v>47</v>
      </c>
    </row>
    <row r="739" spans="1:24" x14ac:dyDescent="0.25">
      <c r="A739" s="5" t="s">
        <v>34</v>
      </c>
      <c r="B739" s="5" t="s">
        <v>215</v>
      </c>
      <c r="C739" s="5" t="s">
        <v>216</v>
      </c>
      <c r="D739" s="5" t="s">
        <v>37</v>
      </c>
      <c r="E739" s="5" t="s">
        <v>74</v>
      </c>
      <c r="F739" s="5" t="s">
        <v>75</v>
      </c>
      <c r="G739" s="5" t="s">
        <v>40</v>
      </c>
      <c r="H739" s="6">
        <v>45961</v>
      </c>
      <c r="I739" s="6">
        <v>45961</v>
      </c>
      <c r="J739" s="6">
        <v>45964</v>
      </c>
      <c r="K739" s="5" t="s">
        <v>135</v>
      </c>
      <c r="L739" s="5" t="s">
        <v>136</v>
      </c>
      <c r="M739" s="5" t="s">
        <v>43</v>
      </c>
      <c r="N739" s="5" t="s">
        <v>137</v>
      </c>
      <c r="O739" s="7">
        <v>3036.44</v>
      </c>
      <c r="P739" s="5" t="s">
        <v>45</v>
      </c>
      <c r="Q739" s="7">
        <v>3036.44</v>
      </c>
      <c r="R739" s="5" t="s">
        <v>45</v>
      </c>
      <c r="S739" s="7">
        <v>893.6</v>
      </c>
      <c r="T739" s="5" t="s">
        <v>46</v>
      </c>
      <c r="U739" s="5" t="s">
        <v>47</v>
      </c>
      <c r="V739" s="5" t="s">
        <v>47</v>
      </c>
      <c r="W739" s="5" t="s">
        <v>47</v>
      </c>
      <c r="X739" s="5" t="s">
        <v>47</v>
      </c>
    </row>
    <row r="740" spans="1:24" x14ac:dyDescent="0.25">
      <c r="A740" s="5" t="s">
        <v>34</v>
      </c>
      <c r="B740" s="5" t="s">
        <v>215</v>
      </c>
      <c r="C740" s="5" t="s">
        <v>216</v>
      </c>
      <c r="D740" s="5" t="s">
        <v>37</v>
      </c>
      <c r="E740" s="5" t="s">
        <v>54</v>
      </c>
      <c r="F740" s="5" t="s">
        <v>55</v>
      </c>
      <c r="G740" s="5" t="s">
        <v>40</v>
      </c>
      <c r="H740" s="6">
        <v>45961</v>
      </c>
      <c r="I740" s="6">
        <v>45961</v>
      </c>
      <c r="J740" s="6">
        <v>45964</v>
      </c>
      <c r="K740" s="5" t="s">
        <v>135</v>
      </c>
      <c r="L740" s="5" t="s">
        <v>136</v>
      </c>
      <c r="M740" s="5" t="s">
        <v>43</v>
      </c>
      <c r="N740" s="5" t="s">
        <v>137</v>
      </c>
      <c r="O740" s="7">
        <v>72.69</v>
      </c>
      <c r="P740" s="5" t="s">
        <v>45</v>
      </c>
      <c r="Q740" s="7">
        <v>72.69</v>
      </c>
      <c r="R740" s="5" t="s">
        <v>45</v>
      </c>
      <c r="S740" s="7">
        <v>21.39</v>
      </c>
      <c r="T740" s="5" t="s">
        <v>46</v>
      </c>
      <c r="U740" s="5" t="s">
        <v>47</v>
      </c>
      <c r="V740" s="5" t="s">
        <v>47</v>
      </c>
      <c r="W740" s="5" t="s">
        <v>47</v>
      </c>
      <c r="X740" s="5" t="s">
        <v>47</v>
      </c>
    </row>
    <row r="741" spans="1:24" x14ac:dyDescent="0.25">
      <c r="A741" s="5" t="s">
        <v>34</v>
      </c>
      <c r="B741" s="5" t="s">
        <v>215</v>
      </c>
      <c r="C741" s="5" t="s">
        <v>216</v>
      </c>
      <c r="D741" s="5" t="s">
        <v>37</v>
      </c>
      <c r="E741" s="5" t="s">
        <v>118</v>
      </c>
      <c r="F741" s="5" t="s">
        <v>119</v>
      </c>
      <c r="G741" s="5" t="s">
        <v>40</v>
      </c>
      <c r="H741" s="6">
        <v>45961</v>
      </c>
      <c r="I741" s="6">
        <v>45961</v>
      </c>
      <c r="J741" s="6">
        <v>45964</v>
      </c>
      <c r="K741" s="5" t="s">
        <v>135</v>
      </c>
      <c r="L741" s="5" t="s">
        <v>136</v>
      </c>
      <c r="M741" s="5" t="s">
        <v>43</v>
      </c>
      <c r="N741" s="5" t="s">
        <v>137</v>
      </c>
      <c r="O741" s="7">
        <v>330.16</v>
      </c>
      <c r="P741" s="5" t="s">
        <v>45</v>
      </c>
      <c r="Q741" s="7">
        <v>330.16</v>
      </c>
      <c r="R741" s="5" t="s">
        <v>45</v>
      </c>
      <c r="S741" s="7">
        <v>97.16</v>
      </c>
      <c r="T741" s="5" t="s">
        <v>46</v>
      </c>
      <c r="U741" s="5" t="s">
        <v>47</v>
      </c>
      <c r="V741" s="5" t="s">
        <v>47</v>
      </c>
      <c r="W741" s="5" t="s">
        <v>47</v>
      </c>
      <c r="X741" s="5" t="s">
        <v>47</v>
      </c>
    </row>
    <row r="742" spans="1:24" x14ac:dyDescent="0.25">
      <c r="A742" s="5" t="s">
        <v>34</v>
      </c>
      <c r="B742" s="5" t="s">
        <v>215</v>
      </c>
      <c r="C742" s="5" t="s">
        <v>216</v>
      </c>
      <c r="D742" s="5" t="s">
        <v>37</v>
      </c>
      <c r="E742" s="5" t="s">
        <v>142</v>
      </c>
      <c r="F742" s="5" t="s">
        <v>143</v>
      </c>
      <c r="G742" s="5" t="s">
        <v>40</v>
      </c>
      <c r="H742" s="6">
        <v>45961</v>
      </c>
      <c r="I742" s="6">
        <v>45961</v>
      </c>
      <c r="J742" s="6">
        <v>45961</v>
      </c>
      <c r="K742" s="5" t="s">
        <v>144</v>
      </c>
      <c r="L742" s="5" t="s">
        <v>145</v>
      </c>
      <c r="M742" s="5" t="s">
        <v>43</v>
      </c>
      <c r="N742" s="5" t="s">
        <v>146</v>
      </c>
      <c r="O742" s="7">
        <v>14.12</v>
      </c>
      <c r="P742" s="5" t="s">
        <v>45</v>
      </c>
      <c r="Q742" s="7">
        <v>14.12</v>
      </c>
      <c r="R742" s="5" t="s">
        <v>45</v>
      </c>
      <c r="S742" s="7">
        <v>4.16</v>
      </c>
      <c r="T742" s="5" t="s">
        <v>46</v>
      </c>
      <c r="U742" s="5" t="s">
        <v>47</v>
      </c>
      <c r="V742" s="5" t="s">
        <v>47</v>
      </c>
      <c r="W742" s="5" t="s">
        <v>47</v>
      </c>
      <c r="X742" s="5" t="s">
        <v>47</v>
      </c>
    </row>
    <row r="743" spans="1:24" x14ac:dyDescent="0.25">
      <c r="A743" s="5" t="s">
        <v>34</v>
      </c>
      <c r="B743" s="5" t="s">
        <v>215</v>
      </c>
      <c r="C743" s="5" t="s">
        <v>216</v>
      </c>
      <c r="D743" s="5" t="s">
        <v>37</v>
      </c>
      <c r="E743" s="5" t="s">
        <v>52</v>
      </c>
      <c r="F743" s="5" t="s">
        <v>53</v>
      </c>
      <c r="G743" s="5" t="s">
        <v>40</v>
      </c>
      <c r="H743" s="6">
        <v>45961</v>
      </c>
      <c r="I743" s="6">
        <v>45961</v>
      </c>
      <c r="J743" s="6">
        <v>45964</v>
      </c>
      <c r="K743" s="5" t="s">
        <v>135</v>
      </c>
      <c r="L743" s="5" t="s">
        <v>136</v>
      </c>
      <c r="M743" s="5" t="s">
        <v>43</v>
      </c>
      <c r="N743" s="5" t="s">
        <v>137</v>
      </c>
      <c r="O743" s="7">
        <v>27.3</v>
      </c>
      <c r="P743" s="5" t="s">
        <v>45</v>
      </c>
      <c r="Q743" s="7">
        <v>27.3</v>
      </c>
      <c r="R743" s="5" t="s">
        <v>45</v>
      </c>
      <c r="S743" s="7">
        <v>8.0299999999999994</v>
      </c>
      <c r="T743" s="5" t="s">
        <v>46</v>
      </c>
      <c r="U743" s="5" t="s">
        <v>47</v>
      </c>
      <c r="V743" s="5" t="s">
        <v>47</v>
      </c>
      <c r="W743" s="5" t="s">
        <v>47</v>
      </c>
      <c r="X743" s="5" t="s">
        <v>47</v>
      </c>
    </row>
    <row r="744" spans="1:24" x14ac:dyDescent="0.25">
      <c r="A744" s="5" t="s">
        <v>34</v>
      </c>
      <c r="B744" s="5" t="s">
        <v>215</v>
      </c>
      <c r="C744" s="5" t="s">
        <v>216</v>
      </c>
      <c r="D744" s="5" t="s">
        <v>37</v>
      </c>
      <c r="E744" s="5" t="s">
        <v>62</v>
      </c>
      <c r="F744" s="5" t="s">
        <v>63</v>
      </c>
      <c r="G744" s="5" t="s">
        <v>40</v>
      </c>
      <c r="H744" s="6">
        <v>45961</v>
      </c>
      <c r="I744" s="6">
        <v>45961</v>
      </c>
      <c r="J744" s="6">
        <v>45964</v>
      </c>
      <c r="K744" s="5" t="s">
        <v>135</v>
      </c>
      <c r="L744" s="5" t="s">
        <v>136</v>
      </c>
      <c r="M744" s="5" t="s">
        <v>43</v>
      </c>
      <c r="N744" s="5" t="s">
        <v>137</v>
      </c>
      <c r="O744" s="7">
        <v>420.46</v>
      </c>
      <c r="P744" s="5" t="s">
        <v>45</v>
      </c>
      <c r="Q744" s="7">
        <v>420.46</v>
      </c>
      <c r="R744" s="5" t="s">
        <v>45</v>
      </c>
      <c r="S744" s="7">
        <v>123.74</v>
      </c>
      <c r="T744" s="5" t="s">
        <v>46</v>
      </c>
      <c r="U744" s="5" t="s">
        <v>47</v>
      </c>
      <c r="V744" s="5" t="s">
        <v>47</v>
      </c>
      <c r="W744" s="5" t="s">
        <v>47</v>
      </c>
      <c r="X744" s="5" t="s">
        <v>47</v>
      </c>
    </row>
    <row r="745" spans="1:24" x14ac:dyDescent="0.25">
      <c r="A745" s="5" t="s">
        <v>34</v>
      </c>
      <c r="B745" s="5" t="s">
        <v>215</v>
      </c>
      <c r="C745" s="5" t="s">
        <v>216</v>
      </c>
      <c r="D745" s="5" t="s">
        <v>37</v>
      </c>
      <c r="E745" s="5" t="s">
        <v>82</v>
      </c>
      <c r="F745" s="5" t="s">
        <v>83</v>
      </c>
      <c r="G745" s="5" t="s">
        <v>40</v>
      </c>
      <c r="H745" s="6">
        <v>45961</v>
      </c>
      <c r="I745" s="6">
        <v>45961</v>
      </c>
      <c r="J745" s="6">
        <v>45964</v>
      </c>
      <c r="K745" s="5" t="s">
        <v>135</v>
      </c>
      <c r="L745" s="5" t="s">
        <v>136</v>
      </c>
      <c r="M745" s="5" t="s">
        <v>43</v>
      </c>
      <c r="N745" s="5" t="s">
        <v>137</v>
      </c>
      <c r="O745" s="7">
        <v>469.85</v>
      </c>
      <c r="P745" s="5" t="s">
        <v>45</v>
      </c>
      <c r="Q745" s="7">
        <v>469.85</v>
      </c>
      <c r="R745" s="5" t="s">
        <v>45</v>
      </c>
      <c r="S745" s="7">
        <v>138.27000000000001</v>
      </c>
      <c r="T745" s="5" t="s">
        <v>46</v>
      </c>
      <c r="U745" s="5" t="s">
        <v>47</v>
      </c>
      <c r="V745" s="5" t="s">
        <v>47</v>
      </c>
      <c r="W745" s="5" t="s">
        <v>47</v>
      </c>
      <c r="X745" s="5" t="s">
        <v>47</v>
      </c>
    </row>
    <row r="746" spans="1:24" x14ac:dyDescent="0.25">
      <c r="A746" s="5" t="s">
        <v>34</v>
      </c>
      <c r="B746" s="5" t="s">
        <v>215</v>
      </c>
      <c r="C746" s="5" t="s">
        <v>216</v>
      </c>
      <c r="D746" s="5" t="s">
        <v>37</v>
      </c>
      <c r="E746" s="5" t="s">
        <v>138</v>
      </c>
      <c r="F746" s="5" t="s">
        <v>139</v>
      </c>
      <c r="G746" s="5" t="s">
        <v>40</v>
      </c>
      <c r="H746" s="6">
        <v>45961</v>
      </c>
      <c r="I746" s="6">
        <v>45961</v>
      </c>
      <c r="J746" s="6">
        <v>45964</v>
      </c>
      <c r="K746" s="5" t="s">
        <v>135</v>
      </c>
      <c r="L746" s="5" t="s">
        <v>136</v>
      </c>
      <c r="M746" s="5" t="s">
        <v>43</v>
      </c>
      <c r="N746" s="5" t="s">
        <v>137</v>
      </c>
      <c r="O746" s="7">
        <v>157.35</v>
      </c>
      <c r="P746" s="5" t="s">
        <v>45</v>
      </c>
      <c r="Q746" s="7">
        <v>157.35</v>
      </c>
      <c r="R746" s="5" t="s">
        <v>45</v>
      </c>
      <c r="S746" s="7">
        <v>46.31</v>
      </c>
      <c r="T746" s="5" t="s">
        <v>46</v>
      </c>
      <c r="U746" s="5" t="s">
        <v>47</v>
      </c>
      <c r="V746" s="5" t="s">
        <v>47</v>
      </c>
      <c r="W746" s="5" t="s">
        <v>47</v>
      </c>
      <c r="X746" s="5" t="s">
        <v>47</v>
      </c>
    </row>
    <row r="747" spans="1:24" x14ac:dyDescent="0.25">
      <c r="A747" s="5" t="s">
        <v>34</v>
      </c>
      <c r="B747" s="5" t="s">
        <v>215</v>
      </c>
      <c r="C747" s="5" t="s">
        <v>216</v>
      </c>
      <c r="D747" s="5" t="s">
        <v>37</v>
      </c>
      <c r="E747" s="5" t="s">
        <v>142</v>
      </c>
      <c r="F747" s="5" t="s">
        <v>143</v>
      </c>
      <c r="G747" s="5" t="s">
        <v>40</v>
      </c>
      <c r="H747" s="6">
        <v>45961</v>
      </c>
      <c r="I747" s="6">
        <v>45961</v>
      </c>
      <c r="J747" s="6">
        <v>45964</v>
      </c>
      <c r="K747" s="5" t="s">
        <v>135</v>
      </c>
      <c r="L747" s="5" t="s">
        <v>136</v>
      </c>
      <c r="M747" s="5" t="s">
        <v>43</v>
      </c>
      <c r="N747" s="5" t="s">
        <v>137</v>
      </c>
      <c r="O747" s="7">
        <v>9.59</v>
      </c>
      <c r="P747" s="5" t="s">
        <v>45</v>
      </c>
      <c r="Q747" s="7">
        <v>9.59</v>
      </c>
      <c r="R747" s="5" t="s">
        <v>45</v>
      </c>
      <c r="S747" s="7">
        <v>2.82</v>
      </c>
      <c r="T747" s="5" t="s">
        <v>46</v>
      </c>
      <c r="U747" s="5" t="s">
        <v>47</v>
      </c>
      <c r="V747" s="5" t="s">
        <v>47</v>
      </c>
      <c r="W747" s="5" t="s">
        <v>47</v>
      </c>
      <c r="X747" s="5" t="s">
        <v>47</v>
      </c>
    </row>
    <row r="748" spans="1:24" x14ac:dyDescent="0.25">
      <c r="A748" s="5" t="s">
        <v>34</v>
      </c>
      <c r="B748" s="5" t="s">
        <v>215</v>
      </c>
      <c r="C748" s="5" t="s">
        <v>216</v>
      </c>
      <c r="D748" s="5" t="s">
        <v>37</v>
      </c>
      <c r="E748" s="5" t="s">
        <v>100</v>
      </c>
      <c r="F748" s="5" t="s">
        <v>101</v>
      </c>
      <c r="G748" s="5" t="s">
        <v>40</v>
      </c>
      <c r="H748" s="6">
        <v>45961</v>
      </c>
      <c r="I748" s="6">
        <v>45961</v>
      </c>
      <c r="J748" s="6">
        <v>45964</v>
      </c>
      <c r="K748" s="5" t="s">
        <v>135</v>
      </c>
      <c r="L748" s="5" t="s">
        <v>136</v>
      </c>
      <c r="M748" s="5" t="s">
        <v>43</v>
      </c>
      <c r="N748" s="5" t="s">
        <v>137</v>
      </c>
      <c r="O748" s="7">
        <v>209.7</v>
      </c>
      <c r="P748" s="5" t="s">
        <v>45</v>
      </c>
      <c r="Q748" s="7">
        <v>209.7</v>
      </c>
      <c r="R748" s="5" t="s">
        <v>45</v>
      </c>
      <c r="S748" s="7">
        <v>61.71</v>
      </c>
      <c r="T748" s="5" t="s">
        <v>46</v>
      </c>
      <c r="U748" s="5" t="s">
        <v>47</v>
      </c>
      <c r="V748" s="5" t="s">
        <v>47</v>
      </c>
      <c r="W748" s="5" t="s">
        <v>47</v>
      </c>
      <c r="X748" s="5" t="s">
        <v>47</v>
      </c>
    </row>
    <row r="749" spans="1:24" x14ac:dyDescent="0.25">
      <c r="A749" s="5" t="s">
        <v>34</v>
      </c>
      <c r="B749" s="5" t="s">
        <v>215</v>
      </c>
      <c r="C749" s="5" t="s">
        <v>216</v>
      </c>
      <c r="D749" s="5" t="s">
        <v>37</v>
      </c>
      <c r="E749" s="5" t="s">
        <v>78</v>
      </c>
      <c r="F749" s="5" t="s">
        <v>79</v>
      </c>
      <c r="G749" s="5" t="s">
        <v>40</v>
      </c>
      <c r="H749" s="6">
        <v>45961</v>
      </c>
      <c r="I749" s="6">
        <v>45961</v>
      </c>
      <c r="J749" s="6">
        <v>45964</v>
      </c>
      <c r="K749" s="5" t="s">
        <v>135</v>
      </c>
      <c r="L749" s="5" t="s">
        <v>136</v>
      </c>
      <c r="M749" s="5" t="s">
        <v>43</v>
      </c>
      <c r="N749" s="5" t="s">
        <v>137</v>
      </c>
      <c r="O749" s="7">
        <v>884.66</v>
      </c>
      <c r="P749" s="5" t="s">
        <v>45</v>
      </c>
      <c r="Q749" s="7">
        <v>884.66</v>
      </c>
      <c r="R749" s="5" t="s">
        <v>45</v>
      </c>
      <c r="S749" s="7">
        <v>260.35000000000002</v>
      </c>
      <c r="T749" s="5" t="s">
        <v>46</v>
      </c>
      <c r="U749" s="5" t="s">
        <v>47</v>
      </c>
      <c r="V749" s="5" t="s">
        <v>47</v>
      </c>
      <c r="W749" s="5" t="s">
        <v>47</v>
      </c>
      <c r="X749" s="5" t="s">
        <v>47</v>
      </c>
    </row>
    <row r="750" spans="1:24" x14ac:dyDescent="0.25">
      <c r="A750" s="5" t="s">
        <v>34</v>
      </c>
      <c r="B750" s="5" t="s">
        <v>215</v>
      </c>
      <c r="C750" s="5" t="s">
        <v>216</v>
      </c>
      <c r="D750" s="5" t="s">
        <v>37</v>
      </c>
      <c r="E750" s="5" t="s">
        <v>110</v>
      </c>
      <c r="F750" s="5" t="s">
        <v>111</v>
      </c>
      <c r="G750" s="5" t="s">
        <v>40</v>
      </c>
      <c r="H750" s="6">
        <v>45961</v>
      </c>
      <c r="I750" s="6">
        <v>45961</v>
      </c>
      <c r="J750" s="6">
        <v>45960</v>
      </c>
      <c r="K750" s="5" t="s">
        <v>150</v>
      </c>
      <c r="L750" s="5" t="s">
        <v>151</v>
      </c>
      <c r="M750" s="5" t="s">
        <v>43</v>
      </c>
      <c r="N750" s="5" t="s">
        <v>152</v>
      </c>
      <c r="O750" s="7">
        <v>19.14</v>
      </c>
      <c r="P750" s="5" t="s">
        <v>45</v>
      </c>
      <c r="Q750" s="7">
        <v>19.14</v>
      </c>
      <c r="R750" s="5" t="s">
        <v>45</v>
      </c>
      <c r="S750" s="7">
        <v>5.64</v>
      </c>
      <c r="T750" s="5" t="s">
        <v>46</v>
      </c>
      <c r="U750" s="5" t="s">
        <v>47</v>
      </c>
      <c r="V750" s="5" t="s">
        <v>47</v>
      </c>
      <c r="W750" s="5" t="s">
        <v>47</v>
      </c>
      <c r="X750" s="5" t="s">
        <v>47</v>
      </c>
    </row>
    <row r="751" spans="1:24" x14ac:dyDescent="0.25">
      <c r="A751" s="5" t="s">
        <v>34</v>
      </c>
      <c r="B751" s="5" t="s">
        <v>217</v>
      </c>
      <c r="C751" s="5" t="s">
        <v>218</v>
      </c>
      <c r="D751" s="5" t="s">
        <v>37</v>
      </c>
      <c r="E751" s="5" t="s">
        <v>62</v>
      </c>
      <c r="F751" s="5" t="s">
        <v>63</v>
      </c>
      <c r="G751" s="5" t="s">
        <v>40</v>
      </c>
      <c r="H751" s="6">
        <v>45961</v>
      </c>
      <c r="I751" s="6">
        <v>45961</v>
      </c>
      <c r="J751" s="6">
        <v>45964</v>
      </c>
      <c r="K751" s="5" t="s">
        <v>41</v>
      </c>
      <c r="L751" s="5" t="s">
        <v>42</v>
      </c>
      <c r="M751" s="5" t="s">
        <v>43</v>
      </c>
      <c r="N751" s="5" t="s">
        <v>44</v>
      </c>
      <c r="O751" s="7">
        <v>8.32</v>
      </c>
      <c r="P751" s="5" t="s">
        <v>45</v>
      </c>
      <c r="Q751" s="7">
        <v>8.32</v>
      </c>
      <c r="R751" s="5" t="s">
        <v>45</v>
      </c>
      <c r="S751" s="7">
        <v>2.4500000000000002</v>
      </c>
      <c r="T751" s="5" t="s">
        <v>46</v>
      </c>
      <c r="U751" s="5" t="s">
        <v>47</v>
      </c>
      <c r="V751" s="5" t="s">
        <v>47</v>
      </c>
      <c r="W751" s="5" t="s">
        <v>47</v>
      </c>
      <c r="X751" s="5" t="s">
        <v>47</v>
      </c>
    </row>
    <row r="752" spans="1:24" x14ac:dyDescent="0.25">
      <c r="A752" s="5" t="s">
        <v>34</v>
      </c>
      <c r="B752" s="5" t="s">
        <v>217</v>
      </c>
      <c r="C752" s="5" t="s">
        <v>218</v>
      </c>
      <c r="D752" s="5" t="s">
        <v>37</v>
      </c>
      <c r="E752" s="5" t="s">
        <v>92</v>
      </c>
      <c r="F752" s="5" t="s">
        <v>93</v>
      </c>
      <c r="G752" s="5" t="s">
        <v>40</v>
      </c>
      <c r="H752" s="6">
        <v>45961</v>
      </c>
      <c r="I752" s="6">
        <v>45961</v>
      </c>
      <c r="J752" s="6">
        <v>45964</v>
      </c>
      <c r="K752" s="5" t="s">
        <v>41</v>
      </c>
      <c r="L752" s="5" t="s">
        <v>42</v>
      </c>
      <c r="M752" s="5" t="s">
        <v>43</v>
      </c>
      <c r="N752" s="5" t="s">
        <v>44</v>
      </c>
      <c r="O752" s="7">
        <v>15.25</v>
      </c>
      <c r="P752" s="5" t="s">
        <v>45</v>
      </c>
      <c r="Q752" s="7">
        <v>15.25</v>
      </c>
      <c r="R752" s="5" t="s">
        <v>45</v>
      </c>
      <c r="S752" s="7">
        <v>4.49</v>
      </c>
      <c r="T752" s="5" t="s">
        <v>46</v>
      </c>
      <c r="U752" s="5" t="s">
        <v>47</v>
      </c>
      <c r="V752" s="5" t="s">
        <v>47</v>
      </c>
      <c r="W752" s="5" t="s">
        <v>47</v>
      </c>
      <c r="X752" s="5" t="s">
        <v>47</v>
      </c>
    </row>
    <row r="753" spans="1:24" x14ac:dyDescent="0.25">
      <c r="A753" s="5" t="s">
        <v>34</v>
      </c>
      <c r="B753" s="5" t="s">
        <v>217</v>
      </c>
      <c r="C753" s="5" t="s">
        <v>218</v>
      </c>
      <c r="D753" s="5" t="s">
        <v>37</v>
      </c>
      <c r="E753" s="5" t="s">
        <v>94</v>
      </c>
      <c r="F753" s="5" t="s">
        <v>95</v>
      </c>
      <c r="G753" s="5" t="s">
        <v>40</v>
      </c>
      <c r="H753" s="6">
        <v>45961</v>
      </c>
      <c r="I753" s="6">
        <v>45961</v>
      </c>
      <c r="J753" s="6">
        <v>45964</v>
      </c>
      <c r="K753" s="5" t="s">
        <v>41</v>
      </c>
      <c r="L753" s="5" t="s">
        <v>42</v>
      </c>
      <c r="M753" s="5" t="s">
        <v>43</v>
      </c>
      <c r="N753" s="5" t="s">
        <v>44</v>
      </c>
      <c r="O753" s="7">
        <v>112.96</v>
      </c>
      <c r="P753" s="5" t="s">
        <v>45</v>
      </c>
      <c r="Q753" s="7">
        <v>112.96</v>
      </c>
      <c r="R753" s="5" t="s">
        <v>45</v>
      </c>
      <c r="S753" s="7">
        <v>33.24</v>
      </c>
      <c r="T753" s="5" t="s">
        <v>46</v>
      </c>
      <c r="U753" s="5" t="s">
        <v>47</v>
      </c>
      <c r="V753" s="5" t="s">
        <v>47</v>
      </c>
      <c r="W753" s="5" t="s">
        <v>47</v>
      </c>
      <c r="X753" s="5" t="s">
        <v>47</v>
      </c>
    </row>
    <row r="754" spans="1:24" x14ac:dyDescent="0.25">
      <c r="A754" s="5" t="s">
        <v>34</v>
      </c>
      <c r="B754" s="5" t="s">
        <v>217</v>
      </c>
      <c r="C754" s="5" t="s">
        <v>218</v>
      </c>
      <c r="D754" s="5" t="s">
        <v>37</v>
      </c>
      <c r="E754" s="5" t="s">
        <v>80</v>
      </c>
      <c r="F754" s="5" t="s">
        <v>81</v>
      </c>
      <c r="G754" s="5" t="s">
        <v>40</v>
      </c>
      <c r="H754" s="6">
        <v>45961</v>
      </c>
      <c r="I754" s="6">
        <v>45961</v>
      </c>
      <c r="J754" s="6">
        <v>45964</v>
      </c>
      <c r="K754" s="5" t="s">
        <v>41</v>
      </c>
      <c r="L754" s="5" t="s">
        <v>42</v>
      </c>
      <c r="M754" s="5" t="s">
        <v>43</v>
      </c>
      <c r="N754" s="5" t="s">
        <v>44</v>
      </c>
      <c r="O754" s="7">
        <v>13.01</v>
      </c>
      <c r="P754" s="5" t="s">
        <v>45</v>
      </c>
      <c r="Q754" s="7">
        <v>13.01</v>
      </c>
      <c r="R754" s="5" t="s">
        <v>45</v>
      </c>
      <c r="S754" s="7">
        <v>3.83</v>
      </c>
      <c r="T754" s="5" t="s">
        <v>46</v>
      </c>
      <c r="U754" s="5" t="s">
        <v>47</v>
      </c>
      <c r="V754" s="5" t="s">
        <v>47</v>
      </c>
      <c r="W754" s="5" t="s">
        <v>47</v>
      </c>
      <c r="X754" s="5" t="s">
        <v>47</v>
      </c>
    </row>
    <row r="755" spans="1:24" x14ac:dyDescent="0.25">
      <c r="A755" s="5" t="s">
        <v>34</v>
      </c>
      <c r="B755" s="5" t="s">
        <v>217</v>
      </c>
      <c r="C755" s="5" t="s">
        <v>218</v>
      </c>
      <c r="D755" s="5" t="s">
        <v>37</v>
      </c>
      <c r="E755" s="5" t="s">
        <v>74</v>
      </c>
      <c r="F755" s="5" t="s">
        <v>75</v>
      </c>
      <c r="G755" s="5" t="s">
        <v>40</v>
      </c>
      <c r="H755" s="6">
        <v>45961</v>
      </c>
      <c r="I755" s="6">
        <v>45961</v>
      </c>
      <c r="J755" s="6">
        <v>45964</v>
      </c>
      <c r="K755" s="5" t="s">
        <v>41</v>
      </c>
      <c r="L755" s="5" t="s">
        <v>42</v>
      </c>
      <c r="M755" s="5" t="s">
        <v>43</v>
      </c>
      <c r="N755" s="5" t="s">
        <v>44</v>
      </c>
      <c r="O755" s="7">
        <v>43.45</v>
      </c>
      <c r="P755" s="5" t="s">
        <v>45</v>
      </c>
      <c r="Q755" s="7">
        <v>43.45</v>
      </c>
      <c r="R755" s="5" t="s">
        <v>45</v>
      </c>
      <c r="S755" s="7">
        <v>12.79</v>
      </c>
      <c r="T755" s="5" t="s">
        <v>46</v>
      </c>
      <c r="U755" s="5" t="s">
        <v>47</v>
      </c>
      <c r="V755" s="5" t="s">
        <v>47</v>
      </c>
      <c r="W755" s="5" t="s">
        <v>47</v>
      </c>
      <c r="X755" s="5" t="s">
        <v>47</v>
      </c>
    </row>
    <row r="756" spans="1:24" x14ac:dyDescent="0.25">
      <c r="A756" s="5" t="s">
        <v>34</v>
      </c>
      <c r="B756" s="5" t="s">
        <v>217</v>
      </c>
      <c r="C756" s="5" t="s">
        <v>218</v>
      </c>
      <c r="D756" s="5" t="s">
        <v>37</v>
      </c>
      <c r="E756" s="5" t="s">
        <v>38</v>
      </c>
      <c r="F756" s="5" t="s">
        <v>39</v>
      </c>
      <c r="G756" s="5" t="s">
        <v>40</v>
      </c>
      <c r="H756" s="6">
        <v>45961</v>
      </c>
      <c r="I756" s="6">
        <v>45961</v>
      </c>
      <c r="J756" s="6">
        <v>45964</v>
      </c>
      <c r="K756" s="5" t="s">
        <v>41</v>
      </c>
      <c r="L756" s="5" t="s">
        <v>42</v>
      </c>
      <c r="M756" s="5" t="s">
        <v>43</v>
      </c>
      <c r="N756" s="5" t="s">
        <v>44</v>
      </c>
      <c r="O756" s="7">
        <v>6.46</v>
      </c>
      <c r="P756" s="5" t="s">
        <v>45</v>
      </c>
      <c r="Q756" s="7">
        <v>6.46</v>
      </c>
      <c r="R756" s="5" t="s">
        <v>45</v>
      </c>
      <c r="S756" s="7">
        <v>1.9</v>
      </c>
      <c r="T756" s="5" t="s">
        <v>46</v>
      </c>
      <c r="U756" s="5" t="s">
        <v>47</v>
      </c>
      <c r="V756" s="5" t="s">
        <v>47</v>
      </c>
      <c r="W756" s="5" t="s">
        <v>47</v>
      </c>
      <c r="X756" s="5" t="s">
        <v>47</v>
      </c>
    </row>
    <row r="757" spans="1:24" x14ac:dyDescent="0.25">
      <c r="A757" s="5" t="s">
        <v>34</v>
      </c>
      <c r="B757" s="5" t="s">
        <v>217</v>
      </c>
      <c r="C757" s="5" t="s">
        <v>218</v>
      </c>
      <c r="D757" s="5" t="s">
        <v>37</v>
      </c>
      <c r="E757" s="5" t="s">
        <v>116</v>
      </c>
      <c r="F757" s="5" t="s">
        <v>117</v>
      </c>
      <c r="G757" s="5" t="s">
        <v>40</v>
      </c>
      <c r="H757" s="6">
        <v>45961</v>
      </c>
      <c r="I757" s="6">
        <v>45961</v>
      </c>
      <c r="J757" s="6">
        <v>45964</v>
      </c>
      <c r="K757" s="5" t="s">
        <v>41</v>
      </c>
      <c r="L757" s="5" t="s">
        <v>42</v>
      </c>
      <c r="M757" s="5" t="s">
        <v>43</v>
      </c>
      <c r="N757" s="5" t="s">
        <v>44</v>
      </c>
      <c r="O757" s="7">
        <v>16.079999999999998</v>
      </c>
      <c r="P757" s="5" t="s">
        <v>45</v>
      </c>
      <c r="Q757" s="7">
        <v>16.079999999999998</v>
      </c>
      <c r="R757" s="5" t="s">
        <v>45</v>
      </c>
      <c r="S757" s="7">
        <v>4.7300000000000004</v>
      </c>
      <c r="T757" s="5" t="s">
        <v>46</v>
      </c>
      <c r="U757" s="5" t="s">
        <v>47</v>
      </c>
      <c r="V757" s="5" t="s">
        <v>47</v>
      </c>
      <c r="W757" s="5" t="s">
        <v>47</v>
      </c>
      <c r="X757" s="5" t="s">
        <v>47</v>
      </c>
    </row>
    <row r="758" spans="1:24" x14ac:dyDescent="0.25">
      <c r="A758" s="5" t="s">
        <v>34</v>
      </c>
      <c r="B758" s="5" t="s">
        <v>217</v>
      </c>
      <c r="C758" s="5" t="s">
        <v>218</v>
      </c>
      <c r="D758" s="5" t="s">
        <v>37</v>
      </c>
      <c r="E758" s="5" t="s">
        <v>58</v>
      </c>
      <c r="F758" s="5" t="s">
        <v>59</v>
      </c>
      <c r="G758" s="5" t="s">
        <v>40</v>
      </c>
      <c r="H758" s="6">
        <v>45961</v>
      </c>
      <c r="I758" s="6">
        <v>45961</v>
      </c>
      <c r="J758" s="6">
        <v>45964</v>
      </c>
      <c r="K758" s="5" t="s">
        <v>41</v>
      </c>
      <c r="L758" s="5" t="s">
        <v>42</v>
      </c>
      <c r="M758" s="5" t="s">
        <v>43</v>
      </c>
      <c r="N758" s="5" t="s">
        <v>44</v>
      </c>
      <c r="O758" s="7">
        <v>68.099999999999994</v>
      </c>
      <c r="P758" s="5" t="s">
        <v>45</v>
      </c>
      <c r="Q758" s="7">
        <v>68.099999999999994</v>
      </c>
      <c r="R758" s="5" t="s">
        <v>45</v>
      </c>
      <c r="S758" s="7">
        <v>20.04</v>
      </c>
      <c r="T758" s="5" t="s">
        <v>46</v>
      </c>
      <c r="U758" s="5" t="s">
        <v>47</v>
      </c>
      <c r="V758" s="5" t="s">
        <v>47</v>
      </c>
      <c r="W758" s="5" t="s">
        <v>47</v>
      </c>
      <c r="X758" s="5" t="s">
        <v>47</v>
      </c>
    </row>
    <row r="759" spans="1:24" x14ac:dyDescent="0.25">
      <c r="A759" s="5" t="s">
        <v>34</v>
      </c>
      <c r="B759" s="5" t="s">
        <v>217</v>
      </c>
      <c r="C759" s="5" t="s">
        <v>218</v>
      </c>
      <c r="D759" s="5" t="s">
        <v>37</v>
      </c>
      <c r="E759" s="5" t="s">
        <v>100</v>
      </c>
      <c r="F759" s="5" t="s">
        <v>101</v>
      </c>
      <c r="G759" s="5" t="s">
        <v>40</v>
      </c>
      <c r="H759" s="6">
        <v>45961</v>
      </c>
      <c r="I759" s="6">
        <v>45961</v>
      </c>
      <c r="J759" s="6">
        <v>45964</v>
      </c>
      <c r="K759" s="5" t="s">
        <v>41</v>
      </c>
      <c r="L759" s="5" t="s">
        <v>42</v>
      </c>
      <c r="M759" s="5" t="s">
        <v>43</v>
      </c>
      <c r="N759" s="5" t="s">
        <v>44</v>
      </c>
      <c r="O759" s="7">
        <v>21.43</v>
      </c>
      <c r="P759" s="5" t="s">
        <v>45</v>
      </c>
      <c r="Q759" s="7">
        <v>21.43</v>
      </c>
      <c r="R759" s="5" t="s">
        <v>45</v>
      </c>
      <c r="S759" s="7">
        <v>6.31</v>
      </c>
      <c r="T759" s="5" t="s">
        <v>46</v>
      </c>
      <c r="U759" s="5" t="s">
        <v>47</v>
      </c>
      <c r="V759" s="5" t="s">
        <v>47</v>
      </c>
      <c r="W759" s="5" t="s">
        <v>47</v>
      </c>
      <c r="X759" s="5" t="s">
        <v>47</v>
      </c>
    </row>
    <row r="760" spans="1:24" x14ac:dyDescent="0.25">
      <c r="A760" s="5" t="s">
        <v>34</v>
      </c>
      <c r="B760" s="5" t="s">
        <v>217</v>
      </c>
      <c r="C760" s="5" t="s">
        <v>218</v>
      </c>
      <c r="D760" s="5" t="s">
        <v>37</v>
      </c>
      <c r="E760" s="5" t="s">
        <v>96</v>
      </c>
      <c r="F760" s="5" t="s">
        <v>97</v>
      </c>
      <c r="G760" s="5" t="s">
        <v>40</v>
      </c>
      <c r="H760" s="6">
        <v>45961</v>
      </c>
      <c r="I760" s="6">
        <v>45961</v>
      </c>
      <c r="J760" s="6">
        <v>45964</v>
      </c>
      <c r="K760" s="5" t="s">
        <v>41</v>
      </c>
      <c r="L760" s="5" t="s">
        <v>42</v>
      </c>
      <c r="M760" s="5" t="s">
        <v>43</v>
      </c>
      <c r="N760" s="5" t="s">
        <v>44</v>
      </c>
      <c r="O760" s="7">
        <v>68.540000000000006</v>
      </c>
      <c r="P760" s="5" t="s">
        <v>45</v>
      </c>
      <c r="Q760" s="7">
        <v>68.540000000000006</v>
      </c>
      <c r="R760" s="5" t="s">
        <v>45</v>
      </c>
      <c r="S760" s="7">
        <v>20.170000000000002</v>
      </c>
      <c r="T760" s="5" t="s">
        <v>46</v>
      </c>
      <c r="U760" s="5" t="s">
        <v>47</v>
      </c>
      <c r="V760" s="5" t="s">
        <v>47</v>
      </c>
      <c r="W760" s="5" t="s">
        <v>47</v>
      </c>
      <c r="X760" s="5" t="s">
        <v>47</v>
      </c>
    </row>
    <row r="761" spans="1:24" x14ac:dyDescent="0.25">
      <c r="A761" s="5" t="s">
        <v>34</v>
      </c>
      <c r="B761" s="5" t="s">
        <v>217</v>
      </c>
      <c r="C761" s="5" t="s">
        <v>218</v>
      </c>
      <c r="D761" s="5" t="s">
        <v>37</v>
      </c>
      <c r="E761" s="5" t="s">
        <v>110</v>
      </c>
      <c r="F761" s="5" t="s">
        <v>111</v>
      </c>
      <c r="G761" s="5" t="s">
        <v>40</v>
      </c>
      <c r="H761" s="6">
        <v>45961</v>
      </c>
      <c r="I761" s="6">
        <v>45961</v>
      </c>
      <c r="J761" s="6">
        <v>45964</v>
      </c>
      <c r="K761" s="5" t="s">
        <v>41</v>
      </c>
      <c r="L761" s="5" t="s">
        <v>42</v>
      </c>
      <c r="M761" s="5" t="s">
        <v>43</v>
      </c>
      <c r="N761" s="5" t="s">
        <v>44</v>
      </c>
      <c r="O761" s="7">
        <v>16.27</v>
      </c>
      <c r="P761" s="5" t="s">
        <v>45</v>
      </c>
      <c r="Q761" s="7">
        <v>16.27</v>
      </c>
      <c r="R761" s="5" t="s">
        <v>45</v>
      </c>
      <c r="S761" s="7">
        <v>4.79</v>
      </c>
      <c r="T761" s="5" t="s">
        <v>46</v>
      </c>
      <c r="U761" s="5" t="s">
        <v>47</v>
      </c>
      <c r="V761" s="5" t="s">
        <v>47</v>
      </c>
      <c r="W761" s="5" t="s">
        <v>47</v>
      </c>
      <c r="X761" s="5" t="s">
        <v>47</v>
      </c>
    </row>
    <row r="762" spans="1:24" x14ac:dyDescent="0.25">
      <c r="A762" s="5" t="s">
        <v>34</v>
      </c>
      <c r="B762" s="5" t="s">
        <v>217</v>
      </c>
      <c r="C762" s="5" t="s">
        <v>218</v>
      </c>
      <c r="D762" s="5" t="s">
        <v>37</v>
      </c>
      <c r="E762" s="5" t="s">
        <v>60</v>
      </c>
      <c r="F762" s="5" t="s">
        <v>61</v>
      </c>
      <c r="G762" s="5" t="s">
        <v>40</v>
      </c>
      <c r="H762" s="6">
        <v>45961</v>
      </c>
      <c r="I762" s="6">
        <v>45961</v>
      </c>
      <c r="J762" s="6">
        <v>45964</v>
      </c>
      <c r="K762" s="5" t="s">
        <v>41</v>
      </c>
      <c r="L762" s="5" t="s">
        <v>42</v>
      </c>
      <c r="M762" s="5" t="s">
        <v>43</v>
      </c>
      <c r="N762" s="5" t="s">
        <v>44</v>
      </c>
      <c r="O762" s="7">
        <v>87.78</v>
      </c>
      <c r="P762" s="5" t="s">
        <v>45</v>
      </c>
      <c r="Q762" s="7">
        <v>87.78</v>
      </c>
      <c r="R762" s="5" t="s">
        <v>45</v>
      </c>
      <c r="S762" s="7">
        <v>25.83</v>
      </c>
      <c r="T762" s="5" t="s">
        <v>46</v>
      </c>
      <c r="U762" s="5" t="s">
        <v>47</v>
      </c>
      <c r="V762" s="5" t="s">
        <v>47</v>
      </c>
      <c r="W762" s="5" t="s">
        <v>47</v>
      </c>
      <c r="X762" s="5" t="s">
        <v>47</v>
      </c>
    </row>
    <row r="763" spans="1:24" x14ac:dyDescent="0.25">
      <c r="A763" s="5" t="s">
        <v>34</v>
      </c>
      <c r="B763" s="5" t="s">
        <v>217</v>
      </c>
      <c r="C763" s="5" t="s">
        <v>218</v>
      </c>
      <c r="D763" s="5" t="s">
        <v>37</v>
      </c>
      <c r="E763" s="5" t="s">
        <v>56</v>
      </c>
      <c r="F763" s="5" t="s">
        <v>57</v>
      </c>
      <c r="G763" s="5" t="s">
        <v>40</v>
      </c>
      <c r="H763" s="6">
        <v>45961</v>
      </c>
      <c r="I763" s="6">
        <v>45961</v>
      </c>
      <c r="J763" s="6">
        <v>45964</v>
      </c>
      <c r="K763" s="5" t="s">
        <v>41</v>
      </c>
      <c r="L763" s="5" t="s">
        <v>42</v>
      </c>
      <c r="M763" s="5" t="s">
        <v>43</v>
      </c>
      <c r="N763" s="5" t="s">
        <v>44</v>
      </c>
      <c r="O763" s="7">
        <v>72.8</v>
      </c>
      <c r="P763" s="5" t="s">
        <v>45</v>
      </c>
      <c r="Q763" s="7">
        <v>72.8</v>
      </c>
      <c r="R763" s="5" t="s">
        <v>45</v>
      </c>
      <c r="S763" s="7">
        <v>21.42</v>
      </c>
      <c r="T763" s="5" t="s">
        <v>46</v>
      </c>
      <c r="U763" s="5" t="s">
        <v>47</v>
      </c>
      <c r="V763" s="5" t="s">
        <v>47</v>
      </c>
      <c r="W763" s="5" t="s">
        <v>47</v>
      </c>
      <c r="X763" s="5" t="s">
        <v>47</v>
      </c>
    </row>
    <row r="764" spans="1:24" x14ac:dyDescent="0.25">
      <c r="A764" s="5" t="s">
        <v>34</v>
      </c>
      <c r="B764" s="5" t="s">
        <v>217</v>
      </c>
      <c r="C764" s="5" t="s">
        <v>218</v>
      </c>
      <c r="D764" s="5" t="s">
        <v>37</v>
      </c>
      <c r="E764" s="5" t="s">
        <v>108</v>
      </c>
      <c r="F764" s="5" t="s">
        <v>109</v>
      </c>
      <c r="G764" s="5" t="s">
        <v>40</v>
      </c>
      <c r="H764" s="6">
        <v>45961</v>
      </c>
      <c r="I764" s="6">
        <v>45961</v>
      </c>
      <c r="J764" s="6">
        <v>45964</v>
      </c>
      <c r="K764" s="5" t="s">
        <v>41</v>
      </c>
      <c r="L764" s="5" t="s">
        <v>42</v>
      </c>
      <c r="M764" s="5" t="s">
        <v>43</v>
      </c>
      <c r="N764" s="5" t="s">
        <v>44</v>
      </c>
      <c r="O764" s="7">
        <v>14.83</v>
      </c>
      <c r="P764" s="5" t="s">
        <v>45</v>
      </c>
      <c r="Q764" s="7">
        <v>14.83</v>
      </c>
      <c r="R764" s="5" t="s">
        <v>45</v>
      </c>
      <c r="S764" s="7">
        <v>4.3600000000000003</v>
      </c>
      <c r="T764" s="5" t="s">
        <v>46</v>
      </c>
      <c r="U764" s="5" t="s">
        <v>47</v>
      </c>
      <c r="V764" s="5" t="s">
        <v>47</v>
      </c>
      <c r="W764" s="5" t="s">
        <v>47</v>
      </c>
      <c r="X764" s="5" t="s">
        <v>47</v>
      </c>
    </row>
    <row r="765" spans="1:24" x14ac:dyDescent="0.25">
      <c r="A765" s="5" t="s">
        <v>34</v>
      </c>
      <c r="B765" s="5" t="s">
        <v>217</v>
      </c>
      <c r="C765" s="5" t="s">
        <v>218</v>
      </c>
      <c r="D765" s="5" t="s">
        <v>37</v>
      </c>
      <c r="E765" s="5" t="s">
        <v>112</v>
      </c>
      <c r="F765" s="5" t="s">
        <v>113</v>
      </c>
      <c r="G765" s="5" t="s">
        <v>40</v>
      </c>
      <c r="H765" s="6">
        <v>45961</v>
      </c>
      <c r="I765" s="6">
        <v>45961</v>
      </c>
      <c r="J765" s="6">
        <v>45964</v>
      </c>
      <c r="K765" s="5" t="s">
        <v>41</v>
      </c>
      <c r="L765" s="5" t="s">
        <v>42</v>
      </c>
      <c r="M765" s="5" t="s">
        <v>43</v>
      </c>
      <c r="N765" s="5" t="s">
        <v>44</v>
      </c>
      <c r="O765" s="7">
        <v>5.48</v>
      </c>
      <c r="P765" s="5" t="s">
        <v>45</v>
      </c>
      <c r="Q765" s="7">
        <v>5.48</v>
      </c>
      <c r="R765" s="5" t="s">
        <v>45</v>
      </c>
      <c r="S765" s="7">
        <v>1.61</v>
      </c>
      <c r="T765" s="5" t="s">
        <v>46</v>
      </c>
      <c r="U765" s="5" t="s">
        <v>47</v>
      </c>
      <c r="V765" s="5" t="s">
        <v>47</v>
      </c>
      <c r="W765" s="5" t="s">
        <v>47</v>
      </c>
      <c r="X765" s="5" t="s">
        <v>47</v>
      </c>
    </row>
    <row r="766" spans="1:24" x14ac:dyDescent="0.25">
      <c r="A766" s="5" t="s">
        <v>34</v>
      </c>
      <c r="B766" s="5" t="s">
        <v>217</v>
      </c>
      <c r="C766" s="5" t="s">
        <v>218</v>
      </c>
      <c r="D766" s="5" t="s">
        <v>37</v>
      </c>
      <c r="E766" s="5" t="s">
        <v>106</v>
      </c>
      <c r="F766" s="5" t="s">
        <v>107</v>
      </c>
      <c r="G766" s="5" t="s">
        <v>40</v>
      </c>
      <c r="H766" s="6">
        <v>45961</v>
      </c>
      <c r="I766" s="6">
        <v>45961</v>
      </c>
      <c r="J766" s="6">
        <v>45964</v>
      </c>
      <c r="K766" s="5" t="s">
        <v>41</v>
      </c>
      <c r="L766" s="5" t="s">
        <v>42</v>
      </c>
      <c r="M766" s="5" t="s">
        <v>43</v>
      </c>
      <c r="N766" s="5" t="s">
        <v>44</v>
      </c>
      <c r="O766" s="7">
        <v>14.08</v>
      </c>
      <c r="P766" s="5" t="s">
        <v>45</v>
      </c>
      <c r="Q766" s="7">
        <v>14.08</v>
      </c>
      <c r="R766" s="5" t="s">
        <v>45</v>
      </c>
      <c r="S766" s="7">
        <v>4.1399999999999997</v>
      </c>
      <c r="T766" s="5" t="s">
        <v>46</v>
      </c>
      <c r="U766" s="5" t="s">
        <v>47</v>
      </c>
      <c r="V766" s="5" t="s">
        <v>47</v>
      </c>
      <c r="W766" s="5" t="s">
        <v>47</v>
      </c>
      <c r="X766" s="5" t="s">
        <v>47</v>
      </c>
    </row>
    <row r="767" spans="1:24" x14ac:dyDescent="0.25">
      <c r="A767" s="5" t="s">
        <v>34</v>
      </c>
      <c r="B767" s="5" t="s">
        <v>217</v>
      </c>
      <c r="C767" s="5" t="s">
        <v>218</v>
      </c>
      <c r="D767" s="5" t="s">
        <v>37</v>
      </c>
      <c r="E767" s="5" t="s">
        <v>68</v>
      </c>
      <c r="F767" s="5" t="s">
        <v>69</v>
      </c>
      <c r="G767" s="5" t="s">
        <v>40</v>
      </c>
      <c r="H767" s="6">
        <v>45961</v>
      </c>
      <c r="I767" s="6">
        <v>45961</v>
      </c>
      <c r="J767" s="6">
        <v>45964</v>
      </c>
      <c r="K767" s="5" t="s">
        <v>41</v>
      </c>
      <c r="L767" s="5" t="s">
        <v>42</v>
      </c>
      <c r="M767" s="5" t="s">
        <v>43</v>
      </c>
      <c r="N767" s="5" t="s">
        <v>44</v>
      </c>
      <c r="O767" s="7">
        <v>8</v>
      </c>
      <c r="P767" s="5" t="s">
        <v>45</v>
      </c>
      <c r="Q767" s="7">
        <v>8</v>
      </c>
      <c r="R767" s="5" t="s">
        <v>45</v>
      </c>
      <c r="S767" s="7">
        <v>2.35</v>
      </c>
      <c r="T767" s="5" t="s">
        <v>46</v>
      </c>
      <c r="U767" s="5" t="s">
        <v>47</v>
      </c>
      <c r="V767" s="5" t="s">
        <v>47</v>
      </c>
      <c r="W767" s="5" t="s">
        <v>47</v>
      </c>
      <c r="X767" s="5" t="s">
        <v>47</v>
      </c>
    </row>
    <row r="768" spans="1:24" x14ac:dyDescent="0.25">
      <c r="A768" s="5" t="s">
        <v>34</v>
      </c>
      <c r="B768" s="5" t="s">
        <v>217</v>
      </c>
      <c r="C768" s="5" t="s">
        <v>218</v>
      </c>
      <c r="D768" s="5" t="s">
        <v>37</v>
      </c>
      <c r="E768" s="5" t="s">
        <v>48</v>
      </c>
      <c r="F768" s="5" t="s">
        <v>49</v>
      </c>
      <c r="G768" s="5" t="s">
        <v>40</v>
      </c>
      <c r="H768" s="6">
        <v>45961</v>
      </c>
      <c r="I768" s="6">
        <v>45961</v>
      </c>
      <c r="J768" s="6">
        <v>45964</v>
      </c>
      <c r="K768" s="5" t="s">
        <v>41</v>
      </c>
      <c r="L768" s="5" t="s">
        <v>42</v>
      </c>
      <c r="M768" s="5" t="s">
        <v>43</v>
      </c>
      <c r="N768" s="5" t="s">
        <v>44</v>
      </c>
      <c r="O768" s="7">
        <v>15.15</v>
      </c>
      <c r="P768" s="5" t="s">
        <v>45</v>
      </c>
      <c r="Q768" s="7">
        <v>15.15</v>
      </c>
      <c r="R768" s="5" t="s">
        <v>45</v>
      </c>
      <c r="S768" s="7">
        <v>4.46</v>
      </c>
      <c r="T768" s="5" t="s">
        <v>46</v>
      </c>
      <c r="U768" s="5" t="s">
        <v>47</v>
      </c>
      <c r="V768" s="5" t="s">
        <v>47</v>
      </c>
      <c r="W768" s="5" t="s">
        <v>47</v>
      </c>
      <c r="X768" s="5" t="s">
        <v>47</v>
      </c>
    </row>
    <row r="769" spans="1:24" x14ac:dyDescent="0.25">
      <c r="A769" s="5" t="s">
        <v>34</v>
      </c>
      <c r="B769" s="5" t="s">
        <v>217</v>
      </c>
      <c r="C769" s="5" t="s">
        <v>218</v>
      </c>
      <c r="D769" s="5" t="s">
        <v>37</v>
      </c>
      <c r="E769" s="5" t="s">
        <v>90</v>
      </c>
      <c r="F769" s="5" t="s">
        <v>91</v>
      </c>
      <c r="G769" s="5" t="s">
        <v>40</v>
      </c>
      <c r="H769" s="6">
        <v>45961</v>
      </c>
      <c r="I769" s="6">
        <v>45961</v>
      </c>
      <c r="J769" s="6">
        <v>45964</v>
      </c>
      <c r="K769" s="5" t="s">
        <v>41</v>
      </c>
      <c r="L769" s="5" t="s">
        <v>42</v>
      </c>
      <c r="M769" s="5" t="s">
        <v>43</v>
      </c>
      <c r="N769" s="5" t="s">
        <v>44</v>
      </c>
      <c r="O769" s="7">
        <v>11.5</v>
      </c>
      <c r="P769" s="5" t="s">
        <v>45</v>
      </c>
      <c r="Q769" s="7">
        <v>11.5</v>
      </c>
      <c r="R769" s="5" t="s">
        <v>45</v>
      </c>
      <c r="S769" s="7">
        <v>3.38</v>
      </c>
      <c r="T769" s="5" t="s">
        <v>46</v>
      </c>
      <c r="U769" s="5" t="s">
        <v>47</v>
      </c>
      <c r="V769" s="5" t="s">
        <v>47</v>
      </c>
      <c r="W769" s="5" t="s">
        <v>47</v>
      </c>
      <c r="X769" s="5" t="s">
        <v>47</v>
      </c>
    </row>
    <row r="770" spans="1:24" x14ac:dyDescent="0.25">
      <c r="A770" s="5" t="s">
        <v>34</v>
      </c>
      <c r="B770" s="5" t="s">
        <v>217</v>
      </c>
      <c r="C770" s="5" t="s">
        <v>218</v>
      </c>
      <c r="D770" s="5" t="s">
        <v>37</v>
      </c>
      <c r="E770" s="5" t="s">
        <v>70</v>
      </c>
      <c r="F770" s="5" t="s">
        <v>71</v>
      </c>
      <c r="G770" s="5" t="s">
        <v>40</v>
      </c>
      <c r="H770" s="6">
        <v>45961</v>
      </c>
      <c r="I770" s="6">
        <v>45961</v>
      </c>
      <c r="J770" s="6">
        <v>45964</v>
      </c>
      <c r="K770" s="5" t="s">
        <v>41</v>
      </c>
      <c r="L770" s="5" t="s">
        <v>42</v>
      </c>
      <c r="M770" s="5" t="s">
        <v>43</v>
      </c>
      <c r="N770" s="5" t="s">
        <v>44</v>
      </c>
      <c r="O770" s="7">
        <v>15.09</v>
      </c>
      <c r="P770" s="5" t="s">
        <v>45</v>
      </c>
      <c r="Q770" s="7">
        <v>15.09</v>
      </c>
      <c r="R770" s="5" t="s">
        <v>45</v>
      </c>
      <c r="S770" s="7">
        <v>4.4400000000000004</v>
      </c>
      <c r="T770" s="5" t="s">
        <v>46</v>
      </c>
      <c r="U770" s="5" t="s">
        <v>47</v>
      </c>
      <c r="V770" s="5" t="s">
        <v>47</v>
      </c>
      <c r="W770" s="5" t="s">
        <v>47</v>
      </c>
      <c r="X770" s="5" t="s">
        <v>47</v>
      </c>
    </row>
    <row r="771" spans="1:24" x14ac:dyDescent="0.25">
      <c r="A771" s="5" t="s">
        <v>34</v>
      </c>
      <c r="B771" s="5" t="s">
        <v>217</v>
      </c>
      <c r="C771" s="5" t="s">
        <v>218</v>
      </c>
      <c r="D771" s="5" t="s">
        <v>37</v>
      </c>
      <c r="E771" s="5" t="s">
        <v>82</v>
      </c>
      <c r="F771" s="5" t="s">
        <v>83</v>
      </c>
      <c r="G771" s="5" t="s">
        <v>40</v>
      </c>
      <c r="H771" s="6">
        <v>45961</v>
      </c>
      <c r="I771" s="6">
        <v>45961</v>
      </c>
      <c r="J771" s="6">
        <v>45964</v>
      </c>
      <c r="K771" s="5" t="s">
        <v>41</v>
      </c>
      <c r="L771" s="5" t="s">
        <v>42</v>
      </c>
      <c r="M771" s="5" t="s">
        <v>43</v>
      </c>
      <c r="N771" s="5" t="s">
        <v>44</v>
      </c>
      <c r="O771" s="7">
        <v>14.28</v>
      </c>
      <c r="P771" s="5" t="s">
        <v>45</v>
      </c>
      <c r="Q771" s="7">
        <v>14.28</v>
      </c>
      <c r="R771" s="5" t="s">
        <v>45</v>
      </c>
      <c r="S771" s="7">
        <v>4.2</v>
      </c>
      <c r="T771" s="5" t="s">
        <v>46</v>
      </c>
      <c r="U771" s="5" t="s">
        <v>47</v>
      </c>
      <c r="V771" s="5" t="s">
        <v>47</v>
      </c>
      <c r="W771" s="5" t="s">
        <v>47</v>
      </c>
      <c r="X771" s="5" t="s">
        <v>47</v>
      </c>
    </row>
    <row r="772" spans="1:24" x14ac:dyDescent="0.25">
      <c r="A772" s="5" t="s">
        <v>34</v>
      </c>
      <c r="B772" s="5" t="s">
        <v>217</v>
      </c>
      <c r="C772" s="5" t="s">
        <v>218</v>
      </c>
      <c r="D772" s="5" t="s">
        <v>37</v>
      </c>
      <c r="E772" s="5" t="s">
        <v>64</v>
      </c>
      <c r="F772" s="5" t="s">
        <v>65</v>
      </c>
      <c r="G772" s="5" t="s">
        <v>40</v>
      </c>
      <c r="H772" s="6">
        <v>45961</v>
      </c>
      <c r="I772" s="6">
        <v>45961</v>
      </c>
      <c r="J772" s="6">
        <v>45964</v>
      </c>
      <c r="K772" s="5" t="s">
        <v>41</v>
      </c>
      <c r="L772" s="5" t="s">
        <v>42</v>
      </c>
      <c r="M772" s="5" t="s">
        <v>43</v>
      </c>
      <c r="N772" s="5" t="s">
        <v>44</v>
      </c>
      <c r="O772" s="7">
        <v>5</v>
      </c>
      <c r="P772" s="5" t="s">
        <v>45</v>
      </c>
      <c r="Q772" s="7">
        <v>5</v>
      </c>
      <c r="R772" s="5" t="s">
        <v>45</v>
      </c>
      <c r="S772" s="7">
        <v>1.47</v>
      </c>
      <c r="T772" s="5" t="s">
        <v>46</v>
      </c>
      <c r="U772" s="5" t="s">
        <v>47</v>
      </c>
      <c r="V772" s="5" t="s">
        <v>47</v>
      </c>
      <c r="W772" s="5" t="s">
        <v>47</v>
      </c>
      <c r="X772" s="5" t="s">
        <v>47</v>
      </c>
    </row>
    <row r="773" spans="1:24" x14ac:dyDescent="0.25">
      <c r="A773" s="5" t="s">
        <v>34</v>
      </c>
      <c r="B773" s="5" t="s">
        <v>217</v>
      </c>
      <c r="C773" s="5" t="s">
        <v>218</v>
      </c>
      <c r="D773" s="5" t="s">
        <v>37</v>
      </c>
      <c r="E773" s="5" t="s">
        <v>66</v>
      </c>
      <c r="F773" s="5" t="s">
        <v>67</v>
      </c>
      <c r="G773" s="5" t="s">
        <v>40</v>
      </c>
      <c r="H773" s="6">
        <v>45961</v>
      </c>
      <c r="I773" s="6">
        <v>45961</v>
      </c>
      <c r="J773" s="6">
        <v>45964</v>
      </c>
      <c r="K773" s="5" t="s">
        <v>41</v>
      </c>
      <c r="L773" s="5" t="s">
        <v>42</v>
      </c>
      <c r="M773" s="5" t="s">
        <v>43</v>
      </c>
      <c r="N773" s="5" t="s">
        <v>44</v>
      </c>
      <c r="O773" s="7">
        <v>40.909999999999997</v>
      </c>
      <c r="P773" s="5" t="s">
        <v>45</v>
      </c>
      <c r="Q773" s="7">
        <v>40.909999999999997</v>
      </c>
      <c r="R773" s="5" t="s">
        <v>45</v>
      </c>
      <c r="S773" s="7">
        <v>12.04</v>
      </c>
      <c r="T773" s="5" t="s">
        <v>46</v>
      </c>
      <c r="U773" s="5" t="s">
        <v>47</v>
      </c>
      <c r="V773" s="5" t="s">
        <v>47</v>
      </c>
      <c r="W773" s="5" t="s">
        <v>47</v>
      </c>
      <c r="X773" s="5" t="s">
        <v>47</v>
      </c>
    </row>
    <row r="774" spans="1:24" x14ac:dyDescent="0.25">
      <c r="A774" s="5" t="s">
        <v>34</v>
      </c>
      <c r="B774" s="5" t="s">
        <v>217</v>
      </c>
      <c r="C774" s="5" t="s">
        <v>218</v>
      </c>
      <c r="D774" s="5" t="s">
        <v>37</v>
      </c>
      <c r="E774" s="5" t="s">
        <v>50</v>
      </c>
      <c r="F774" s="5" t="s">
        <v>51</v>
      </c>
      <c r="G774" s="5" t="s">
        <v>40</v>
      </c>
      <c r="H774" s="6">
        <v>45961</v>
      </c>
      <c r="I774" s="6">
        <v>45961</v>
      </c>
      <c r="J774" s="6">
        <v>45964</v>
      </c>
      <c r="K774" s="5" t="s">
        <v>41</v>
      </c>
      <c r="L774" s="5" t="s">
        <v>42</v>
      </c>
      <c r="M774" s="5" t="s">
        <v>43</v>
      </c>
      <c r="N774" s="5" t="s">
        <v>44</v>
      </c>
      <c r="O774" s="7">
        <v>17.260000000000002</v>
      </c>
      <c r="P774" s="5" t="s">
        <v>45</v>
      </c>
      <c r="Q774" s="7">
        <v>17.260000000000002</v>
      </c>
      <c r="R774" s="5" t="s">
        <v>45</v>
      </c>
      <c r="S774" s="7">
        <v>5.08</v>
      </c>
      <c r="T774" s="5" t="s">
        <v>46</v>
      </c>
      <c r="U774" s="5" t="s">
        <v>47</v>
      </c>
      <c r="V774" s="5" t="s">
        <v>47</v>
      </c>
      <c r="W774" s="5" t="s">
        <v>47</v>
      </c>
      <c r="X774" s="5" t="s">
        <v>47</v>
      </c>
    </row>
    <row r="775" spans="1:24" x14ac:dyDescent="0.25">
      <c r="A775" s="5" t="s">
        <v>34</v>
      </c>
      <c r="B775" s="5" t="s">
        <v>217</v>
      </c>
      <c r="C775" s="5" t="s">
        <v>218</v>
      </c>
      <c r="D775" s="5" t="s">
        <v>37</v>
      </c>
      <c r="E775" s="5" t="s">
        <v>72</v>
      </c>
      <c r="F775" s="5" t="s">
        <v>73</v>
      </c>
      <c r="G775" s="5" t="s">
        <v>40</v>
      </c>
      <c r="H775" s="6">
        <v>45961</v>
      </c>
      <c r="I775" s="6">
        <v>45961</v>
      </c>
      <c r="J775" s="6">
        <v>45964</v>
      </c>
      <c r="K775" s="5" t="s">
        <v>41</v>
      </c>
      <c r="L775" s="5" t="s">
        <v>42</v>
      </c>
      <c r="M775" s="5" t="s">
        <v>43</v>
      </c>
      <c r="N775" s="5" t="s">
        <v>44</v>
      </c>
      <c r="O775" s="7">
        <v>7.61</v>
      </c>
      <c r="P775" s="5" t="s">
        <v>45</v>
      </c>
      <c r="Q775" s="7">
        <v>7.61</v>
      </c>
      <c r="R775" s="5" t="s">
        <v>45</v>
      </c>
      <c r="S775" s="7">
        <v>2.2400000000000002</v>
      </c>
      <c r="T775" s="5" t="s">
        <v>46</v>
      </c>
      <c r="U775" s="5" t="s">
        <v>47</v>
      </c>
      <c r="V775" s="5" t="s">
        <v>47</v>
      </c>
      <c r="W775" s="5" t="s">
        <v>47</v>
      </c>
      <c r="X775" s="5" t="s">
        <v>47</v>
      </c>
    </row>
    <row r="776" spans="1:24" x14ac:dyDescent="0.25">
      <c r="A776" s="5" t="s">
        <v>34</v>
      </c>
      <c r="B776" s="5" t="s">
        <v>217</v>
      </c>
      <c r="C776" s="5" t="s">
        <v>218</v>
      </c>
      <c r="D776" s="5" t="s">
        <v>37</v>
      </c>
      <c r="E776" s="5" t="s">
        <v>98</v>
      </c>
      <c r="F776" s="5" t="s">
        <v>99</v>
      </c>
      <c r="G776" s="5" t="s">
        <v>40</v>
      </c>
      <c r="H776" s="6">
        <v>45961</v>
      </c>
      <c r="I776" s="6">
        <v>45961</v>
      </c>
      <c r="J776" s="6">
        <v>45964</v>
      </c>
      <c r="K776" s="5" t="s">
        <v>41</v>
      </c>
      <c r="L776" s="5" t="s">
        <v>42</v>
      </c>
      <c r="M776" s="5" t="s">
        <v>43</v>
      </c>
      <c r="N776" s="5" t="s">
        <v>44</v>
      </c>
      <c r="O776" s="7">
        <v>40.65</v>
      </c>
      <c r="P776" s="5" t="s">
        <v>45</v>
      </c>
      <c r="Q776" s="7">
        <v>40.65</v>
      </c>
      <c r="R776" s="5" t="s">
        <v>45</v>
      </c>
      <c r="S776" s="7">
        <v>11.96</v>
      </c>
      <c r="T776" s="5" t="s">
        <v>46</v>
      </c>
      <c r="U776" s="5" t="s">
        <v>47</v>
      </c>
      <c r="V776" s="5" t="s">
        <v>47</v>
      </c>
      <c r="W776" s="5" t="s">
        <v>47</v>
      </c>
      <c r="X776" s="5" t="s">
        <v>47</v>
      </c>
    </row>
    <row r="777" spans="1:24" x14ac:dyDescent="0.25">
      <c r="A777" s="5" t="s">
        <v>34</v>
      </c>
      <c r="B777" s="5" t="s">
        <v>217</v>
      </c>
      <c r="C777" s="5" t="s">
        <v>218</v>
      </c>
      <c r="D777" s="5" t="s">
        <v>37</v>
      </c>
      <c r="E777" s="5" t="s">
        <v>104</v>
      </c>
      <c r="F777" s="5" t="s">
        <v>105</v>
      </c>
      <c r="G777" s="5" t="s">
        <v>40</v>
      </c>
      <c r="H777" s="6">
        <v>45961</v>
      </c>
      <c r="I777" s="6">
        <v>45961</v>
      </c>
      <c r="J777" s="6">
        <v>45964</v>
      </c>
      <c r="K777" s="5" t="s">
        <v>41</v>
      </c>
      <c r="L777" s="5" t="s">
        <v>42</v>
      </c>
      <c r="M777" s="5" t="s">
        <v>43</v>
      </c>
      <c r="N777" s="5" t="s">
        <v>44</v>
      </c>
      <c r="O777" s="7">
        <v>35.79</v>
      </c>
      <c r="P777" s="5" t="s">
        <v>45</v>
      </c>
      <c r="Q777" s="7">
        <v>35.79</v>
      </c>
      <c r="R777" s="5" t="s">
        <v>45</v>
      </c>
      <c r="S777" s="7">
        <v>10.53</v>
      </c>
      <c r="T777" s="5" t="s">
        <v>46</v>
      </c>
      <c r="U777" s="5" t="s">
        <v>47</v>
      </c>
      <c r="V777" s="5" t="s">
        <v>47</v>
      </c>
      <c r="W777" s="5" t="s">
        <v>47</v>
      </c>
      <c r="X777" s="5" t="s">
        <v>47</v>
      </c>
    </row>
    <row r="778" spans="1:24" x14ac:dyDescent="0.25">
      <c r="A778" s="5" t="s">
        <v>34</v>
      </c>
      <c r="B778" s="5" t="s">
        <v>217</v>
      </c>
      <c r="C778" s="5" t="s">
        <v>218</v>
      </c>
      <c r="D778" s="5" t="s">
        <v>37</v>
      </c>
      <c r="E778" s="5" t="s">
        <v>122</v>
      </c>
      <c r="F778" s="5" t="s">
        <v>123</v>
      </c>
      <c r="G778" s="5" t="s">
        <v>40</v>
      </c>
      <c r="H778" s="6">
        <v>45961</v>
      </c>
      <c r="I778" s="6">
        <v>45961</v>
      </c>
      <c r="J778" s="6">
        <v>45964</v>
      </c>
      <c r="K778" s="5" t="s">
        <v>41</v>
      </c>
      <c r="L778" s="5" t="s">
        <v>42</v>
      </c>
      <c r="M778" s="5" t="s">
        <v>43</v>
      </c>
      <c r="N778" s="5" t="s">
        <v>44</v>
      </c>
      <c r="O778" s="7">
        <v>8</v>
      </c>
      <c r="P778" s="5" t="s">
        <v>45</v>
      </c>
      <c r="Q778" s="7">
        <v>8</v>
      </c>
      <c r="R778" s="5" t="s">
        <v>45</v>
      </c>
      <c r="S778" s="7">
        <v>2.35</v>
      </c>
      <c r="T778" s="5" t="s">
        <v>46</v>
      </c>
      <c r="U778" s="5" t="s">
        <v>47</v>
      </c>
      <c r="V778" s="5" t="s">
        <v>47</v>
      </c>
      <c r="W778" s="5" t="s">
        <v>47</v>
      </c>
      <c r="X778" s="5" t="s">
        <v>47</v>
      </c>
    </row>
    <row r="779" spans="1:24" x14ac:dyDescent="0.25">
      <c r="A779" s="5" t="s">
        <v>34</v>
      </c>
      <c r="B779" s="5" t="s">
        <v>217</v>
      </c>
      <c r="C779" s="5" t="s">
        <v>218</v>
      </c>
      <c r="D779" s="5" t="s">
        <v>37</v>
      </c>
      <c r="E779" s="5" t="s">
        <v>102</v>
      </c>
      <c r="F779" s="5" t="s">
        <v>103</v>
      </c>
      <c r="G779" s="5" t="s">
        <v>40</v>
      </c>
      <c r="H779" s="6">
        <v>45961</v>
      </c>
      <c r="I779" s="6">
        <v>45961</v>
      </c>
      <c r="J779" s="6">
        <v>45964</v>
      </c>
      <c r="K779" s="5" t="s">
        <v>41</v>
      </c>
      <c r="L779" s="5" t="s">
        <v>42</v>
      </c>
      <c r="M779" s="5" t="s">
        <v>43</v>
      </c>
      <c r="N779" s="5" t="s">
        <v>44</v>
      </c>
      <c r="O779" s="7">
        <v>22.66</v>
      </c>
      <c r="P779" s="5" t="s">
        <v>45</v>
      </c>
      <c r="Q779" s="7">
        <v>22.66</v>
      </c>
      <c r="R779" s="5" t="s">
        <v>45</v>
      </c>
      <c r="S779" s="7">
        <v>6.67</v>
      </c>
      <c r="T779" s="5" t="s">
        <v>46</v>
      </c>
      <c r="U779" s="5" t="s">
        <v>47</v>
      </c>
      <c r="V779" s="5" t="s">
        <v>47</v>
      </c>
      <c r="W779" s="5" t="s">
        <v>47</v>
      </c>
      <c r="X779" s="5" t="s">
        <v>47</v>
      </c>
    </row>
    <row r="780" spans="1:24" x14ac:dyDescent="0.25">
      <c r="A780" s="5" t="s">
        <v>34</v>
      </c>
      <c r="B780" s="5" t="s">
        <v>217</v>
      </c>
      <c r="C780" s="5" t="s">
        <v>218</v>
      </c>
      <c r="D780" s="5" t="s">
        <v>37</v>
      </c>
      <c r="E780" s="5" t="s">
        <v>84</v>
      </c>
      <c r="F780" s="5" t="s">
        <v>85</v>
      </c>
      <c r="G780" s="5" t="s">
        <v>40</v>
      </c>
      <c r="H780" s="6">
        <v>45961</v>
      </c>
      <c r="I780" s="6">
        <v>45961</v>
      </c>
      <c r="J780" s="6">
        <v>45964</v>
      </c>
      <c r="K780" s="5" t="s">
        <v>41</v>
      </c>
      <c r="L780" s="5" t="s">
        <v>42</v>
      </c>
      <c r="M780" s="5" t="s">
        <v>43</v>
      </c>
      <c r="N780" s="5" t="s">
        <v>44</v>
      </c>
      <c r="O780" s="7">
        <v>36.03</v>
      </c>
      <c r="P780" s="5" t="s">
        <v>45</v>
      </c>
      <c r="Q780" s="7">
        <v>36.03</v>
      </c>
      <c r="R780" s="5" t="s">
        <v>45</v>
      </c>
      <c r="S780" s="7">
        <v>10.6</v>
      </c>
      <c r="T780" s="5" t="s">
        <v>46</v>
      </c>
      <c r="U780" s="5" t="s">
        <v>47</v>
      </c>
      <c r="V780" s="5" t="s">
        <v>47</v>
      </c>
      <c r="W780" s="5" t="s">
        <v>47</v>
      </c>
      <c r="X780" s="5" t="s">
        <v>47</v>
      </c>
    </row>
    <row r="781" spans="1:24" x14ac:dyDescent="0.25">
      <c r="A781" s="5" t="s">
        <v>34</v>
      </c>
      <c r="B781" s="5" t="s">
        <v>217</v>
      </c>
      <c r="C781" s="5" t="s">
        <v>218</v>
      </c>
      <c r="D781" s="5" t="s">
        <v>37</v>
      </c>
      <c r="E781" s="5" t="s">
        <v>54</v>
      </c>
      <c r="F781" s="5" t="s">
        <v>55</v>
      </c>
      <c r="G781" s="5" t="s">
        <v>40</v>
      </c>
      <c r="H781" s="6">
        <v>45961</v>
      </c>
      <c r="I781" s="6">
        <v>45961</v>
      </c>
      <c r="J781" s="6">
        <v>45964</v>
      </c>
      <c r="K781" s="5" t="s">
        <v>41</v>
      </c>
      <c r="L781" s="5" t="s">
        <v>42</v>
      </c>
      <c r="M781" s="5" t="s">
        <v>43</v>
      </c>
      <c r="N781" s="5" t="s">
        <v>44</v>
      </c>
      <c r="O781" s="7">
        <v>9.86</v>
      </c>
      <c r="P781" s="5" t="s">
        <v>45</v>
      </c>
      <c r="Q781" s="7">
        <v>9.86</v>
      </c>
      <c r="R781" s="5" t="s">
        <v>45</v>
      </c>
      <c r="S781" s="7">
        <v>2.9</v>
      </c>
      <c r="T781" s="5" t="s">
        <v>46</v>
      </c>
      <c r="U781" s="5" t="s">
        <v>47</v>
      </c>
      <c r="V781" s="5" t="s">
        <v>47</v>
      </c>
      <c r="W781" s="5" t="s">
        <v>47</v>
      </c>
      <c r="X781" s="5" t="s">
        <v>47</v>
      </c>
    </row>
    <row r="782" spans="1:24" x14ac:dyDescent="0.25">
      <c r="A782" s="5" t="s">
        <v>34</v>
      </c>
      <c r="B782" s="5" t="s">
        <v>217</v>
      </c>
      <c r="C782" s="5" t="s">
        <v>218</v>
      </c>
      <c r="D782" s="5" t="s">
        <v>37</v>
      </c>
      <c r="E782" s="5" t="s">
        <v>76</v>
      </c>
      <c r="F782" s="5" t="s">
        <v>77</v>
      </c>
      <c r="G782" s="5" t="s">
        <v>40</v>
      </c>
      <c r="H782" s="6">
        <v>45961</v>
      </c>
      <c r="I782" s="6">
        <v>45961</v>
      </c>
      <c r="J782" s="6">
        <v>45964</v>
      </c>
      <c r="K782" s="5" t="s">
        <v>41</v>
      </c>
      <c r="L782" s="5" t="s">
        <v>42</v>
      </c>
      <c r="M782" s="5" t="s">
        <v>43</v>
      </c>
      <c r="N782" s="5" t="s">
        <v>44</v>
      </c>
      <c r="O782" s="7">
        <v>5.57</v>
      </c>
      <c r="P782" s="5" t="s">
        <v>45</v>
      </c>
      <c r="Q782" s="7">
        <v>5.57</v>
      </c>
      <c r="R782" s="5" t="s">
        <v>45</v>
      </c>
      <c r="S782" s="7">
        <v>1.64</v>
      </c>
      <c r="T782" s="5" t="s">
        <v>46</v>
      </c>
      <c r="U782" s="5" t="s">
        <v>47</v>
      </c>
      <c r="V782" s="5" t="s">
        <v>47</v>
      </c>
      <c r="W782" s="5" t="s">
        <v>47</v>
      </c>
      <c r="X782" s="5" t="s">
        <v>47</v>
      </c>
    </row>
    <row r="783" spans="1:24" x14ac:dyDescent="0.25">
      <c r="A783" s="5" t="s">
        <v>34</v>
      </c>
      <c r="B783" s="5" t="s">
        <v>217</v>
      </c>
      <c r="C783" s="5" t="s">
        <v>218</v>
      </c>
      <c r="D783" s="5" t="s">
        <v>37</v>
      </c>
      <c r="E783" s="5" t="s">
        <v>86</v>
      </c>
      <c r="F783" s="5" t="s">
        <v>87</v>
      </c>
      <c r="G783" s="5" t="s">
        <v>40</v>
      </c>
      <c r="H783" s="6">
        <v>45961</v>
      </c>
      <c r="I783" s="6">
        <v>45961</v>
      </c>
      <c r="J783" s="6">
        <v>45964</v>
      </c>
      <c r="K783" s="5" t="s">
        <v>41</v>
      </c>
      <c r="L783" s="5" t="s">
        <v>42</v>
      </c>
      <c r="M783" s="5" t="s">
        <v>43</v>
      </c>
      <c r="N783" s="5" t="s">
        <v>44</v>
      </c>
      <c r="O783" s="7">
        <v>16.45</v>
      </c>
      <c r="P783" s="5" t="s">
        <v>45</v>
      </c>
      <c r="Q783" s="7">
        <v>16.45</v>
      </c>
      <c r="R783" s="5" t="s">
        <v>45</v>
      </c>
      <c r="S783" s="7">
        <v>4.84</v>
      </c>
      <c r="T783" s="5" t="s">
        <v>46</v>
      </c>
      <c r="U783" s="5" t="s">
        <v>47</v>
      </c>
      <c r="V783" s="5" t="s">
        <v>47</v>
      </c>
      <c r="W783" s="5" t="s">
        <v>47</v>
      </c>
      <c r="X783" s="5" t="s">
        <v>47</v>
      </c>
    </row>
    <row r="784" spans="1:24" x14ac:dyDescent="0.25">
      <c r="A784" s="5" t="s">
        <v>34</v>
      </c>
      <c r="B784" s="5" t="s">
        <v>217</v>
      </c>
      <c r="C784" s="5" t="s">
        <v>218</v>
      </c>
      <c r="D784" s="5" t="s">
        <v>37</v>
      </c>
      <c r="E784" s="5" t="s">
        <v>52</v>
      </c>
      <c r="F784" s="5" t="s">
        <v>53</v>
      </c>
      <c r="G784" s="5" t="s">
        <v>40</v>
      </c>
      <c r="H784" s="6">
        <v>45961</v>
      </c>
      <c r="I784" s="6">
        <v>45961</v>
      </c>
      <c r="J784" s="6">
        <v>45964</v>
      </c>
      <c r="K784" s="5" t="s">
        <v>41</v>
      </c>
      <c r="L784" s="5" t="s">
        <v>42</v>
      </c>
      <c r="M784" s="5" t="s">
        <v>43</v>
      </c>
      <c r="N784" s="5" t="s">
        <v>44</v>
      </c>
      <c r="O784" s="7">
        <v>4.0999999999999996</v>
      </c>
      <c r="P784" s="5" t="s">
        <v>45</v>
      </c>
      <c r="Q784" s="7">
        <v>4.0999999999999996</v>
      </c>
      <c r="R784" s="5" t="s">
        <v>45</v>
      </c>
      <c r="S784" s="7">
        <v>1.21</v>
      </c>
      <c r="T784" s="5" t="s">
        <v>46</v>
      </c>
      <c r="U784" s="5" t="s">
        <v>47</v>
      </c>
      <c r="V784" s="5" t="s">
        <v>47</v>
      </c>
      <c r="W784" s="5" t="s">
        <v>47</v>
      </c>
      <c r="X784" s="5" t="s">
        <v>47</v>
      </c>
    </row>
    <row r="785" spans="1:24" x14ac:dyDescent="0.25">
      <c r="A785" s="5" t="s">
        <v>34</v>
      </c>
      <c r="B785" s="5" t="s">
        <v>217</v>
      </c>
      <c r="C785" s="5" t="s">
        <v>218</v>
      </c>
      <c r="D785" s="5" t="s">
        <v>37</v>
      </c>
      <c r="E785" s="5" t="s">
        <v>88</v>
      </c>
      <c r="F785" s="5" t="s">
        <v>89</v>
      </c>
      <c r="G785" s="5" t="s">
        <v>40</v>
      </c>
      <c r="H785" s="6">
        <v>45961</v>
      </c>
      <c r="I785" s="6">
        <v>45961</v>
      </c>
      <c r="J785" s="6">
        <v>45964</v>
      </c>
      <c r="K785" s="5" t="s">
        <v>41</v>
      </c>
      <c r="L785" s="5" t="s">
        <v>42</v>
      </c>
      <c r="M785" s="5" t="s">
        <v>43</v>
      </c>
      <c r="N785" s="5" t="s">
        <v>44</v>
      </c>
      <c r="O785" s="7">
        <v>8.49</v>
      </c>
      <c r="P785" s="5" t="s">
        <v>45</v>
      </c>
      <c r="Q785" s="7">
        <v>8.49</v>
      </c>
      <c r="R785" s="5" t="s">
        <v>45</v>
      </c>
      <c r="S785" s="7">
        <v>2.5</v>
      </c>
      <c r="T785" s="5" t="s">
        <v>46</v>
      </c>
      <c r="U785" s="5" t="s">
        <v>47</v>
      </c>
      <c r="V785" s="5" t="s">
        <v>47</v>
      </c>
      <c r="W785" s="5" t="s">
        <v>47</v>
      </c>
      <c r="X785" s="5" t="s">
        <v>47</v>
      </c>
    </row>
    <row r="786" spans="1:24" x14ac:dyDescent="0.25">
      <c r="A786" s="5" t="s">
        <v>34</v>
      </c>
      <c r="B786" s="5" t="s">
        <v>217</v>
      </c>
      <c r="C786" s="5" t="s">
        <v>218</v>
      </c>
      <c r="D786" s="5" t="s">
        <v>37</v>
      </c>
      <c r="E786" s="5" t="s">
        <v>114</v>
      </c>
      <c r="F786" s="5" t="s">
        <v>115</v>
      </c>
      <c r="G786" s="5" t="s">
        <v>40</v>
      </c>
      <c r="H786" s="6">
        <v>45961</v>
      </c>
      <c r="I786" s="6">
        <v>45961</v>
      </c>
      <c r="J786" s="6">
        <v>45964</v>
      </c>
      <c r="K786" s="5" t="s">
        <v>41</v>
      </c>
      <c r="L786" s="5" t="s">
        <v>42</v>
      </c>
      <c r="M786" s="5" t="s">
        <v>43</v>
      </c>
      <c r="N786" s="5" t="s">
        <v>44</v>
      </c>
      <c r="O786" s="7">
        <v>50.88</v>
      </c>
      <c r="P786" s="5" t="s">
        <v>45</v>
      </c>
      <c r="Q786" s="7">
        <v>50.88</v>
      </c>
      <c r="R786" s="5" t="s">
        <v>45</v>
      </c>
      <c r="S786" s="7">
        <v>14.97</v>
      </c>
      <c r="T786" s="5" t="s">
        <v>46</v>
      </c>
      <c r="U786" s="5" t="s">
        <v>47</v>
      </c>
      <c r="V786" s="5" t="s">
        <v>47</v>
      </c>
      <c r="W786" s="5" t="s">
        <v>47</v>
      </c>
      <c r="X786" s="5" t="s">
        <v>47</v>
      </c>
    </row>
    <row r="787" spans="1:24" x14ac:dyDescent="0.25">
      <c r="A787" s="5" t="s">
        <v>34</v>
      </c>
      <c r="B787" s="5" t="s">
        <v>217</v>
      </c>
      <c r="C787" s="5" t="s">
        <v>218</v>
      </c>
      <c r="D787" s="5" t="s">
        <v>37</v>
      </c>
      <c r="E787" s="5" t="s">
        <v>78</v>
      </c>
      <c r="F787" s="5" t="s">
        <v>79</v>
      </c>
      <c r="G787" s="5" t="s">
        <v>40</v>
      </c>
      <c r="H787" s="6">
        <v>45961</v>
      </c>
      <c r="I787" s="6">
        <v>45961</v>
      </c>
      <c r="J787" s="6">
        <v>45964</v>
      </c>
      <c r="K787" s="5" t="s">
        <v>41</v>
      </c>
      <c r="L787" s="5" t="s">
        <v>42</v>
      </c>
      <c r="M787" s="5" t="s">
        <v>43</v>
      </c>
      <c r="N787" s="5" t="s">
        <v>44</v>
      </c>
      <c r="O787" s="7">
        <v>6.27</v>
      </c>
      <c r="P787" s="5" t="s">
        <v>45</v>
      </c>
      <c r="Q787" s="7">
        <v>6.27</v>
      </c>
      <c r="R787" s="5" t="s">
        <v>45</v>
      </c>
      <c r="S787" s="7">
        <v>1.85</v>
      </c>
      <c r="T787" s="5" t="s">
        <v>46</v>
      </c>
      <c r="U787" s="5" t="s">
        <v>47</v>
      </c>
      <c r="V787" s="5" t="s">
        <v>47</v>
      </c>
      <c r="W787" s="5" t="s">
        <v>47</v>
      </c>
      <c r="X787" s="5" t="s">
        <v>47</v>
      </c>
    </row>
    <row r="788" spans="1:24" x14ac:dyDescent="0.25">
      <c r="A788" s="5" t="s">
        <v>34</v>
      </c>
      <c r="B788" s="5" t="s">
        <v>217</v>
      </c>
      <c r="C788" s="5" t="s">
        <v>218</v>
      </c>
      <c r="D788" s="5" t="s">
        <v>37</v>
      </c>
      <c r="E788" s="5" t="s">
        <v>118</v>
      </c>
      <c r="F788" s="5" t="s">
        <v>119</v>
      </c>
      <c r="G788" s="5" t="s">
        <v>40</v>
      </c>
      <c r="H788" s="6">
        <v>45961</v>
      </c>
      <c r="I788" s="6">
        <v>45961</v>
      </c>
      <c r="J788" s="6">
        <v>45964</v>
      </c>
      <c r="K788" s="5" t="s">
        <v>41</v>
      </c>
      <c r="L788" s="5" t="s">
        <v>42</v>
      </c>
      <c r="M788" s="5" t="s">
        <v>43</v>
      </c>
      <c r="N788" s="5" t="s">
        <v>44</v>
      </c>
      <c r="O788" s="7">
        <v>6.38</v>
      </c>
      <c r="P788" s="5" t="s">
        <v>45</v>
      </c>
      <c r="Q788" s="7">
        <v>6.38</v>
      </c>
      <c r="R788" s="5" t="s">
        <v>45</v>
      </c>
      <c r="S788" s="7">
        <v>1.88</v>
      </c>
      <c r="T788" s="5" t="s">
        <v>46</v>
      </c>
      <c r="U788" s="5" t="s">
        <v>47</v>
      </c>
      <c r="V788" s="5" t="s">
        <v>47</v>
      </c>
      <c r="W788" s="5" t="s">
        <v>47</v>
      </c>
      <c r="X788" s="5" t="s">
        <v>47</v>
      </c>
    </row>
    <row r="789" spans="1:24" x14ac:dyDescent="0.25">
      <c r="A789" s="5" t="s">
        <v>34</v>
      </c>
      <c r="B789" s="5" t="s">
        <v>219</v>
      </c>
      <c r="C789" s="5" t="s">
        <v>220</v>
      </c>
      <c r="D789" s="5" t="s">
        <v>37</v>
      </c>
      <c r="E789" s="5" t="s">
        <v>110</v>
      </c>
      <c r="F789" s="5" t="s">
        <v>111</v>
      </c>
      <c r="G789" s="5" t="s">
        <v>40</v>
      </c>
      <c r="H789" s="6">
        <v>45961</v>
      </c>
      <c r="I789" s="6">
        <v>45961</v>
      </c>
      <c r="J789" s="6">
        <v>45960</v>
      </c>
      <c r="K789" s="5" t="s">
        <v>150</v>
      </c>
      <c r="L789" s="5" t="s">
        <v>151</v>
      </c>
      <c r="M789" s="5" t="s">
        <v>43</v>
      </c>
      <c r="N789" s="5" t="s">
        <v>152</v>
      </c>
      <c r="O789" s="7">
        <v>8.86</v>
      </c>
      <c r="P789" s="5" t="s">
        <v>45</v>
      </c>
      <c r="Q789" s="7">
        <v>8.86</v>
      </c>
      <c r="R789" s="5" t="s">
        <v>45</v>
      </c>
      <c r="S789" s="7">
        <v>2.61</v>
      </c>
      <c r="T789" s="5" t="s">
        <v>46</v>
      </c>
      <c r="U789" s="5" t="s">
        <v>47</v>
      </c>
      <c r="V789" s="5" t="s">
        <v>47</v>
      </c>
      <c r="W789" s="5" t="s">
        <v>47</v>
      </c>
      <c r="X789" s="5" t="s">
        <v>47</v>
      </c>
    </row>
    <row r="790" spans="1:24" x14ac:dyDescent="0.25">
      <c r="A790" s="5" t="s">
        <v>34</v>
      </c>
      <c r="B790" s="5" t="s">
        <v>219</v>
      </c>
      <c r="C790" s="5" t="s">
        <v>220</v>
      </c>
      <c r="D790" s="5" t="s">
        <v>37</v>
      </c>
      <c r="E790" s="5" t="s">
        <v>60</v>
      </c>
      <c r="F790" s="5" t="s">
        <v>61</v>
      </c>
      <c r="G790" s="5" t="s">
        <v>40</v>
      </c>
      <c r="H790" s="6">
        <v>45961</v>
      </c>
      <c r="I790" s="6">
        <v>45961</v>
      </c>
      <c r="J790" s="6">
        <v>45964</v>
      </c>
      <c r="K790" s="5" t="s">
        <v>135</v>
      </c>
      <c r="L790" s="5" t="s">
        <v>136</v>
      </c>
      <c r="M790" s="5" t="s">
        <v>43</v>
      </c>
      <c r="N790" s="5" t="s">
        <v>137</v>
      </c>
      <c r="O790" s="7">
        <v>300.17</v>
      </c>
      <c r="P790" s="5" t="s">
        <v>45</v>
      </c>
      <c r="Q790" s="7">
        <v>300.17</v>
      </c>
      <c r="R790" s="5" t="s">
        <v>45</v>
      </c>
      <c r="S790" s="7">
        <v>88.34</v>
      </c>
      <c r="T790" s="5" t="s">
        <v>46</v>
      </c>
      <c r="U790" s="5" t="s">
        <v>47</v>
      </c>
      <c r="V790" s="5" t="s">
        <v>47</v>
      </c>
      <c r="W790" s="5" t="s">
        <v>47</v>
      </c>
      <c r="X790" s="5" t="s">
        <v>47</v>
      </c>
    </row>
    <row r="791" spans="1:24" x14ac:dyDescent="0.25">
      <c r="A791" s="5" t="s">
        <v>34</v>
      </c>
      <c r="B791" s="5" t="s">
        <v>219</v>
      </c>
      <c r="C791" s="5" t="s">
        <v>220</v>
      </c>
      <c r="D791" s="5" t="s">
        <v>37</v>
      </c>
      <c r="E791" s="5" t="s">
        <v>138</v>
      </c>
      <c r="F791" s="5" t="s">
        <v>139</v>
      </c>
      <c r="G791" s="5" t="s">
        <v>40</v>
      </c>
      <c r="H791" s="6">
        <v>45961</v>
      </c>
      <c r="I791" s="6">
        <v>45961</v>
      </c>
      <c r="J791" s="6">
        <v>45964</v>
      </c>
      <c r="K791" s="5" t="s">
        <v>135</v>
      </c>
      <c r="L791" s="5" t="s">
        <v>136</v>
      </c>
      <c r="M791" s="5" t="s">
        <v>43</v>
      </c>
      <c r="N791" s="5" t="s">
        <v>137</v>
      </c>
      <c r="O791" s="7">
        <v>72.83</v>
      </c>
      <c r="P791" s="5" t="s">
        <v>45</v>
      </c>
      <c r="Q791" s="7">
        <v>72.83</v>
      </c>
      <c r="R791" s="5" t="s">
        <v>45</v>
      </c>
      <c r="S791" s="7">
        <v>21.43</v>
      </c>
      <c r="T791" s="5" t="s">
        <v>46</v>
      </c>
      <c r="U791" s="5" t="s">
        <v>47</v>
      </c>
      <c r="V791" s="5" t="s">
        <v>47</v>
      </c>
      <c r="W791" s="5" t="s">
        <v>47</v>
      </c>
      <c r="X791" s="5" t="s">
        <v>47</v>
      </c>
    </row>
    <row r="792" spans="1:24" x14ac:dyDescent="0.25">
      <c r="A792" s="5" t="s">
        <v>34</v>
      </c>
      <c r="B792" s="5" t="s">
        <v>219</v>
      </c>
      <c r="C792" s="5" t="s">
        <v>220</v>
      </c>
      <c r="D792" s="5" t="s">
        <v>37</v>
      </c>
      <c r="E792" s="5" t="s">
        <v>122</v>
      </c>
      <c r="F792" s="5" t="s">
        <v>123</v>
      </c>
      <c r="G792" s="5" t="s">
        <v>40</v>
      </c>
      <c r="H792" s="6">
        <v>45961</v>
      </c>
      <c r="I792" s="6">
        <v>45961</v>
      </c>
      <c r="J792" s="6">
        <v>45964</v>
      </c>
      <c r="K792" s="5" t="s">
        <v>135</v>
      </c>
      <c r="L792" s="5" t="s">
        <v>136</v>
      </c>
      <c r="M792" s="5" t="s">
        <v>43</v>
      </c>
      <c r="N792" s="5" t="s">
        <v>137</v>
      </c>
      <c r="O792" s="7">
        <v>4.6900000000000004</v>
      </c>
      <c r="P792" s="5" t="s">
        <v>45</v>
      </c>
      <c r="Q792" s="7">
        <v>4.6900000000000004</v>
      </c>
      <c r="R792" s="5" t="s">
        <v>45</v>
      </c>
      <c r="S792" s="7">
        <v>1.38</v>
      </c>
      <c r="T792" s="5" t="s">
        <v>46</v>
      </c>
      <c r="U792" s="5" t="s">
        <v>47</v>
      </c>
      <c r="V792" s="5" t="s">
        <v>47</v>
      </c>
      <c r="W792" s="5" t="s">
        <v>47</v>
      </c>
      <c r="X792" s="5" t="s">
        <v>47</v>
      </c>
    </row>
    <row r="793" spans="1:24" x14ac:dyDescent="0.25">
      <c r="A793" s="5" t="s">
        <v>34</v>
      </c>
      <c r="B793" s="5" t="s">
        <v>219</v>
      </c>
      <c r="C793" s="5" t="s">
        <v>220</v>
      </c>
      <c r="D793" s="5" t="s">
        <v>37</v>
      </c>
      <c r="E793" s="5" t="s">
        <v>68</v>
      </c>
      <c r="F793" s="5" t="s">
        <v>69</v>
      </c>
      <c r="G793" s="5" t="s">
        <v>40</v>
      </c>
      <c r="H793" s="6">
        <v>45961</v>
      </c>
      <c r="I793" s="6">
        <v>45961</v>
      </c>
      <c r="J793" s="6">
        <v>45964</v>
      </c>
      <c r="K793" s="5" t="s">
        <v>135</v>
      </c>
      <c r="L793" s="5" t="s">
        <v>136</v>
      </c>
      <c r="M793" s="5" t="s">
        <v>43</v>
      </c>
      <c r="N793" s="5" t="s">
        <v>137</v>
      </c>
      <c r="O793" s="7">
        <v>102.94</v>
      </c>
      <c r="P793" s="5" t="s">
        <v>45</v>
      </c>
      <c r="Q793" s="7">
        <v>102.94</v>
      </c>
      <c r="R793" s="5" t="s">
        <v>45</v>
      </c>
      <c r="S793" s="7">
        <v>30.29</v>
      </c>
      <c r="T793" s="5" t="s">
        <v>46</v>
      </c>
      <c r="U793" s="5" t="s">
        <v>47</v>
      </c>
      <c r="V793" s="5" t="s">
        <v>47</v>
      </c>
      <c r="W793" s="5" t="s">
        <v>47</v>
      </c>
      <c r="X793" s="5" t="s">
        <v>47</v>
      </c>
    </row>
    <row r="794" spans="1:24" x14ac:dyDescent="0.25">
      <c r="A794" s="5" t="s">
        <v>34</v>
      </c>
      <c r="B794" s="5" t="s">
        <v>219</v>
      </c>
      <c r="C794" s="5" t="s">
        <v>220</v>
      </c>
      <c r="D794" s="5" t="s">
        <v>37</v>
      </c>
      <c r="E794" s="5" t="s">
        <v>84</v>
      </c>
      <c r="F794" s="5" t="s">
        <v>85</v>
      </c>
      <c r="G794" s="5" t="s">
        <v>40</v>
      </c>
      <c r="H794" s="6">
        <v>45961</v>
      </c>
      <c r="I794" s="6">
        <v>45961</v>
      </c>
      <c r="J794" s="6">
        <v>45964</v>
      </c>
      <c r="K794" s="5" t="s">
        <v>135</v>
      </c>
      <c r="L794" s="5" t="s">
        <v>136</v>
      </c>
      <c r="M794" s="5" t="s">
        <v>43</v>
      </c>
      <c r="N794" s="5" t="s">
        <v>137</v>
      </c>
      <c r="O794" s="7">
        <v>45.67</v>
      </c>
      <c r="P794" s="5" t="s">
        <v>45</v>
      </c>
      <c r="Q794" s="7">
        <v>45.67</v>
      </c>
      <c r="R794" s="5" t="s">
        <v>45</v>
      </c>
      <c r="S794" s="7">
        <v>13.44</v>
      </c>
      <c r="T794" s="5" t="s">
        <v>46</v>
      </c>
      <c r="U794" s="5" t="s">
        <v>47</v>
      </c>
      <c r="V794" s="5" t="s">
        <v>47</v>
      </c>
      <c r="W794" s="5" t="s">
        <v>47</v>
      </c>
      <c r="X794" s="5" t="s">
        <v>47</v>
      </c>
    </row>
    <row r="795" spans="1:24" x14ac:dyDescent="0.25">
      <c r="A795" s="5" t="s">
        <v>34</v>
      </c>
      <c r="B795" s="5" t="s">
        <v>219</v>
      </c>
      <c r="C795" s="5" t="s">
        <v>220</v>
      </c>
      <c r="D795" s="5" t="s">
        <v>37</v>
      </c>
      <c r="E795" s="5" t="s">
        <v>142</v>
      </c>
      <c r="F795" s="5" t="s">
        <v>143</v>
      </c>
      <c r="G795" s="5" t="s">
        <v>40</v>
      </c>
      <c r="H795" s="6">
        <v>45961</v>
      </c>
      <c r="I795" s="6">
        <v>45961</v>
      </c>
      <c r="J795" s="6">
        <v>45964</v>
      </c>
      <c r="K795" s="5" t="s">
        <v>135</v>
      </c>
      <c r="L795" s="5" t="s">
        <v>136</v>
      </c>
      <c r="M795" s="5" t="s">
        <v>43</v>
      </c>
      <c r="N795" s="5" t="s">
        <v>137</v>
      </c>
      <c r="O795" s="7">
        <v>4.4400000000000004</v>
      </c>
      <c r="P795" s="5" t="s">
        <v>45</v>
      </c>
      <c r="Q795" s="7">
        <v>4.4400000000000004</v>
      </c>
      <c r="R795" s="5" t="s">
        <v>45</v>
      </c>
      <c r="S795" s="7">
        <v>1.31</v>
      </c>
      <c r="T795" s="5" t="s">
        <v>46</v>
      </c>
      <c r="U795" s="5" t="s">
        <v>47</v>
      </c>
      <c r="V795" s="5" t="s">
        <v>47</v>
      </c>
      <c r="W795" s="5" t="s">
        <v>47</v>
      </c>
      <c r="X795" s="5" t="s">
        <v>47</v>
      </c>
    </row>
    <row r="796" spans="1:24" x14ac:dyDescent="0.25">
      <c r="A796" s="5" t="s">
        <v>34</v>
      </c>
      <c r="B796" s="5" t="s">
        <v>219</v>
      </c>
      <c r="C796" s="5" t="s">
        <v>220</v>
      </c>
      <c r="D796" s="5" t="s">
        <v>37</v>
      </c>
      <c r="E796" s="5" t="s">
        <v>78</v>
      </c>
      <c r="F796" s="5" t="s">
        <v>79</v>
      </c>
      <c r="G796" s="5" t="s">
        <v>40</v>
      </c>
      <c r="H796" s="6">
        <v>45961</v>
      </c>
      <c r="I796" s="6">
        <v>45961</v>
      </c>
      <c r="J796" s="6">
        <v>45964</v>
      </c>
      <c r="K796" s="5" t="s">
        <v>135</v>
      </c>
      <c r="L796" s="5" t="s">
        <v>136</v>
      </c>
      <c r="M796" s="5" t="s">
        <v>43</v>
      </c>
      <c r="N796" s="5" t="s">
        <v>137</v>
      </c>
      <c r="O796" s="7">
        <v>409.56</v>
      </c>
      <c r="P796" s="5" t="s">
        <v>45</v>
      </c>
      <c r="Q796" s="7">
        <v>409.56</v>
      </c>
      <c r="R796" s="5" t="s">
        <v>45</v>
      </c>
      <c r="S796" s="7">
        <v>120.53</v>
      </c>
      <c r="T796" s="5" t="s">
        <v>46</v>
      </c>
      <c r="U796" s="5" t="s">
        <v>47</v>
      </c>
      <c r="V796" s="5" t="s">
        <v>47</v>
      </c>
      <c r="W796" s="5" t="s">
        <v>47</v>
      </c>
      <c r="X796" s="5" t="s">
        <v>47</v>
      </c>
    </row>
    <row r="797" spans="1:24" x14ac:dyDescent="0.25">
      <c r="A797" s="5" t="s">
        <v>34</v>
      </c>
      <c r="B797" s="5" t="s">
        <v>219</v>
      </c>
      <c r="C797" s="5" t="s">
        <v>220</v>
      </c>
      <c r="D797" s="5" t="s">
        <v>37</v>
      </c>
      <c r="E797" s="5" t="s">
        <v>82</v>
      </c>
      <c r="F797" s="5" t="s">
        <v>83</v>
      </c>
      <c r="G797" s="5" t="s">
        <v>40</v>
      </c>
      <c r="H797" s="6">
        <v>45961</v>
      </c>
      <c r="I797" s="6">
        <v>45961</v>
      </c>
      <c r="J797" s="6">
        <v>45964</v>
      </c>
      <c r="K797" s="5" t="s">
        <v>135</v>
      </c>
      <c r="L797" s="5" t="s">
        <v>136</v>
      </c>
      <c r="M797" s="5" t="s">
        <v>43</v>
      </c>
      <c r="N797" s="5" t="s">
        <v>137</v>
      </c>
      <c r="O797" s="7">
        <v>217.52</v>
      </c>
      <c r="P797" s="5" t="s">
        <v>45</v>
      </c>
      <c r="Q797" s="7">
        <v>217.52</v>
      </c>
      <c r="R797" s="5" t="s">
        <v>45</v>
      </c>
      <c r="S797" s="7">
        <v>64.010000000000005</v>
      </c>
      <c r="T797" s="5" t="s">
        <v>46</v>
      </c>
      <c r="U797" s="5" t="s">
        <v>47</v>
      </c>
      <c r="V797" s="5" t="s">
        <v>47</v>
      </c>
      <c r="W797" s="5" t="s">
        <v>47</v>
      </c>
      <c r="X797" s="5" t="s">
        <v>47</v>
      </c>
    </row>
    <row r="798" spans="1:24" x14ac:dyDescent="0.25">
      <c r="A798" s="5" t="s">
        <v>34</v>
      </c>
      <c r="B798" s="5" t="s">
        <v>219</v>
      </c>
      <c r="C798" s="5" t="s">
        <v>220</v>
      </c>
      <c r="D798" s="5" t="s">
        <v>37</v>
      </c>
      <c r="E798" s="5" t="s">
        <v>116</v>
      </c>
      <c r="F798" s="5" t="s">
        <v>117</v>
      </c>
      <c r="G798" s="5" t="s">
        <v>40</v>
      </c>
      <c r="H798" s="6">
        <v>45961</v>
      </c>
      <c r="I798" s="6">
        <v>45961</v>
      </c>
      <c r="J798" s="6">
        <v>45964</v>
      </c>
      <c r="K798" s="5" t="s">
        <v>135</v>
      </c>
      <c r="L798" s="5" t="s">
        <v>136</v>
      </c>
      <c r="M798" s="5" t="s">
        <v>43</v>
      </c>
      <c r="N798" s="5" t="s">
        <v>137</v>
      </c>
      <c r="O798" s="7">
        <v>139.84</v>
      </c>
      <c r="P798" s="5" t="s">
        <v>45</v>
      </c>
      <c r="Q798" s="7">
        <v>139.84</v>
      </c>
      <c r="R798" s="5" t="s">
        <v>45</v>
      </c>
      <c r="S798" s="7">
        <v>41.15</v>
      </c>
      <c r="T798" s="5" t="s">
        <v>46</v>
      </c>
      <c r="U798" s="5" t="s">
        <v>47</v>
      </c>
      <c r="V798" s="5" t="s">
        <v>47</v>
      </c>
      <c r="W798" s="5" t="s">
        <v>47</v>
      </c>
      <c r="X798" s="5" t="s">
        <v>47</v>
      </c>
    </row>
    <row r="799" spans="1:24" x14ac:dyDescent="0.25">
      <c r="A799" s="5" t="s">
        <v>34</v>
      </c>
      <c r="B799" s="5" t="s">
        <v>219</v>
      </c>
      <c r="C799" s="5" t="s">
        <v>220</v>
      </c>
      <c r="D799" s="5" t="s">
        <v>37</v>
      </c>
      <c r="E799" s="5" t="s">
        <v>64</v>
      </c>
      <c r="F799" s="5" t="s">
        <v>65</v>
      </c>
      <c r="G799" s="5" t="s">
        <v>40</v>
      </c>
      <c r="H799" s="6">
        <v>45961</v>
      </c>
      <c r="I799" s="6">
        <v>45961</v>
      </c>
      <c r="J799" s="6">
        <v>45964</v>
      </c>
      <c r="K799" s="5" t="s">
        <v>135</v>
      </c>
      <c r="L799" s="5" t="s">
        <v>136</v>
      </c>
      <c r="M799" s="5" t="s">
        <v>43</v>
      </c>
      <c r="N799" s="5" t="s">
        <v>137</v>
      </c>
      <c r="O799" s="7">
        <v>128.52000000000001</v>
      </c>
      <c r="P799" s="5" t="s">
        <v>45</v>
      </c>
      <c r="Q799" s="7">
        <v>128.52000000000001</v>
      </c>
      <c r="R799" s="5" t="s">
        <v>45</v>
      </c>
      <c r="S799" s="7">
        <v>37.82</v>
      </c>
      <c r="T799" s="5" t="s">
        <v>46</v>
      </c>
      <c r="U799" s="5" t="s">
        <v>47</v>
      </c>
      <c r="V799" s="5" t="s">
        <v>47</v>
      </c>
      <c r="W799" s="5" t="s">
        <v>47</v>
      </c>
      <c r="X799" s="5" t="s">
        <v>47</v>
      </c>
    </row>
    <row r="800" spans="1:24" x14ac:dyDescent="0.25">
      <c r="A800" s="5" t="s">
        <v>34</v>
      </c>
      <c r="B800" s="5" t="s">
        <v>219</v>
      </c>
      <c r="C800" s="5" t="s">
        <v>220</v>
      </c>
      <c r="D800" s="5" t="s">
        <v>37</v>
      </c>
      <c r="E800" s="5" t="s">
        <v>62</v>
      </c>
      <c r="F800" s="5" t="s">
        <v>63</v>
      </c>
      <c r="G800" s="5" t="s">
        <v>40</v>
      </c>
      <c r="H800" s="6">
        <v>45961</v>
      </c>
      <c r="I800" s="6">
        <v>45961</v>
      </c>
      <c r="J800" s="6">
        <v>45964</v>
      </c>
      <c r="K800" s="5" t="s">
        <v>135</v>
      </c>
      <c r="L800" s="5" t="s">
        <v>136</v>
      </c>
      <c r="M800" s="5" t="s">
        <v>43</v>
      </c>
      <c r="N800" s="5" t="s">
        <v>137</v>
      </c>
      <c r="O800" s="7">
        <v>194.64</v>
      </c>
      <c r="P800" s="5" t="s">
        <v>45</v>
      </c>
      <c r="Q800" s="7">
        <v>194.64</v>
      </c>
      <c r="R800" s="5" t="s">
        <v>45</v>
      </c>
      <c r="S800" s="7">
        <v>57.28</v>
      </c>
      <c r="T800" s="5" t="s">
        <v>46</v>
      </c>
      <c r="U800" s="5" t="s">
        <v>47</v>
      </c>
      <c r="V800" s="5" t="s">
        <v>47</v>
      </c>
      <c r="W800" s="5" t="s">
        <v>47</v>
      </c>
      <c r="X800" s="5" t="s">
        <v>47</v>
      </c>
    </row>
    <row r="801" spans="1:24" x14ac:dyDescent="0.25">
      <c r="A801" s="5" t="s">
        <v>34</v>
      </c>
      <c r="B801" s="5" t="s">
        <v>219</v>
      </c>
      <c r="C801" s="5" t="s">
        <v>220</v>
      </c>
      <c r="D801" s="5" t="s">
        <v>37</v>
      </c>
      <c r="E801" s="5" t="s">
        <v>96</v>
      </c>
      <c r="F801" s="5" t="s">
        <v>97</v>
      </c>
      <c r="G801" s="5" t="s">
        <v>40</v>
      </c>
      <c r="H801" s="6">
        <v>45961</v>
      </c>
      <c r="I801" s="6">
        <v>45961</v>
      </c>
      <c r="J801" s="6">
        <v>45964</v>
      </c>
      <c r="K801" s="5" t="s">
        <v>147</v>
      </c>
      <c r="L801" s="5" t="s">
        <v>148</v>
      </c>
      <c r="M801" s="5" t="s">
        <v>43</v>
      </c>
      <c r="N801" s="5" t="s">
        <v>149</v>
      </c>
      <c r="O801" s="7">
        <v>8.09</v>
      </c>
      <c r="P801" s="5" t="s">
        <v>45</v>
      </c>
      <c r="Q801" s="7">
        <v>8.09</v>
      </c>
      <c r="R801" s="5" t="s">
        <v>45</v>
      </c>
      <c r="S801" s="7">
        <v>2.38</v>
      </c>
      <c r="T801" s="5" t="s">
        <v>46</v>
      </c>
      <c r="U801" s="5" t="s">
        <v>47</v>
      </c>
      <c r="V801" s="5" t="s">
        <v>47</v>
      </c>
      <c r="W801" s="5" t="s">
        <v>47</v>
      </c>
      <c r="X801" s="5" t="s">
        <v>47</v>
      </c>
    </row>
    <row r="802" spans="1:24" x14ac:dyDescent="0.25">
      <c r="A802" s="5" t="s">
        <v>34</v>
      </c>
      <c r="B802" s="5" t="s">
        <v>219</v>
      </c>
      <c r="C802" s="5" t="s">
        <v>220</v>
      </c>
      <c r="D802" s="5" t="s">
        <v>37</v>
      </c>
      <c r="E802" s="5" t="s">
        <v>102</v>
      </c>
      <c r="F802" s="5" t="s">
        <v>103</v>
      </c>
      <c r="G802" s="5" t="s">
        <v>40</v>
      </c>
      <c r="H802" s="6">
        <v>45961</v>
      </c>
      <c r="I802" s="6">
        <v>45961</v>
      </c>
      <c r="J802" s="6">
        <v>45964</v>
      </c>
      <c r="K802" s="5" t="s">
        <v>135</v>
      </c>
      <c r="L802" s="5" t="s">
        <v>136</v>
      </c>
      <c r="M802" s="5" t="s">
        <v>43</v>
      </c>
      <c r="N802" s="5" t="s">
        <v>137</v>
      </c>
      <c r="O802" s="7">
        <v>388.73</v>
      </c>
      <c r="P802" s="5" t="s">
        <v>45</v>
      </c>
      <c r="Q802" s="7">
        <v>388.73</v>
      </c>
      <c r="R802" s="5" t="s">
        <v>45</v>
      </c>
      <c r="S802" s="7">
        <v>114.4</v>
      </c>
      <c r="T802" s="5" t="s">
        <v>46</v>
      </c>
      <c r="U802" s="5" t="s">
        <v>47</v>
      </c>
      <c r="V802" s="5" t="s">
        <v>47</v>
      </c>
      <c r="W802" s="5" t="s">
        <v>47</v>
      </c>
      <c r="X802" s="5" t="s">
        <v>47</v>
      </c>
    </row>
    <row r="803" spans="1:24" x14ac:dyDescent="0.25">
      <c r="A803" s="5" t="s">
        <v>34</v>
      </c>
      <c r="B803" s="5" t="s">
        <v>219</v>
      </c>
      <c r="C803" s="5" t="s">
        <v>220</v>
      </c>
      <c r="D803" s="5" t="s">
        <v>37</v>
      </c>
      <c r="E803" s="5" t="s">
        <v>106</v>
      </c>
      <c r="F803" s="5" t="s">
        <v>107</v>
      </c>
      <c r="G803" s="5" t="s">
        <v>40</v>
      </c>
      <c r="H803" s="6">
        <v>45961</v>
      </c>
      <c r="I803" s="6">
        <v>45961</v>
      </c>
      <c r="J803" s="6">
        <v>45964</v>
      </c>
      <c r="K803" s="5" t="s">
        <v>135</v>
      </c>
      <c r="L803" s="5" t="s">
        <v>136</v>
      </c>
      <c r="M803" s="5" t="s">
        <v>43</v>
      </c>
      <c r="N803" s="5" t="s">
        <v>137</v>
      </c>
      <c r="O803" s="7">
        <v>36.630000000000003</v>
      </c>
      <c r="P803" s="5" t="s">
        <v>45</v>
      </c>
      <c r="Q803" s="7">
        <v>36.630000000000003</v>
      </c>
      <c r="R803" s="5" t="s">
        <v>45</v>
      </c>
      <c r="S803" s="7">
        <v>10.78</v>
      </c>
      <c r="T803" s="5" t="s">
        <v>46</v>
      </c>
      <c r="U803" s="5" t="s">
        <v>47</v>
      </c>
      <c r="V803" s="5" t="s">
        <v>47</v>
      </c>
      <c r="W803" s="5" t="s">
        <v>47</v>
      </c>
      <c r="X803" s="5" t="s">
        <v>47</v>
      </c>
    </row>
    <row r="804" spans="1:24" x14ac:dyDescent="0.25">
      <c r="A804" s="5" t="s">
        <v>34</v>
      </c>
      <c r="B804" s="5" t="s">
        <v>219</v>
      </c>
      <c r="C804" s="5" t="s">
        <v>220</v>
      </c>
      <c r="D804" s="5" t="s">
        <v>37</v>
      </c>
      <c r="E804" s="5" t="s">
        <v>110</v>
      </c>
      <c r="F804" s="5" t="s">
        <v>111</v>
      </c>
      <c r="G804" s="5" t="s">
        <v>40</v>
      </c>
      <c r="H804" s="6">
        <v>45961</v>
      </c>
      <c r="I804" s="6">
        <v>45961</v>
      </c>
      <c r="J804" s="6">
        <v>45964</v>
      </c>
      <c r="K804" s="5" t="s">
        <v>135</v>
      </c>
      <c r="L804" s="5" t="s">
        <v>136</v>
      </c>
      <c r="M804" s="5" t="s">
        <v>43</v>
      </c>
      <c r="N804" s="5" t="s">
        <v>137</v>
      </c>
      <c r="O804" s="7">
        <v>342.41</v>
      </c>
      <c r="P804" s="5" t="s">
        <v>45</v>
      </c>
      <c r="Q804" s="7">
        <v>342.41</v>
      </c>
      <c r="R804" s="5" t="s">
        <v>45</v>
      </c>
      <c r="S804" s="7">
        <v>100.77</v>
      </c>
      <c r="T804" s="5" t="s">
        <v>46</v>
      </c>
      <c r="U804" s="5" t="s">
        <v>47</v>
      </c>
      <c r="V804" s="5" t="s">
        <v>47</v>
      </c>
      <c r="W804" s="5" t="s">
        <v>47</v>
      </c>
      <c r="X804" s="5" t="s">
        <v>47</v>
      </c>
    </row>
    <row r="805" spans="1:24" x14ac:dyDescent="0.25">
      <c r="A805" s="5" t="s">
        <v>34</v>
      </c>
      <c r="B805" s="5" t="s">
        <v>219</v>
      </c>
      <c r="C805" s="5" t="s">
        <v>220</v>
      </c>
      <c r="D805" s="5" t="s">
        <v>37</v>
      </c>
      <c r="E805" s="5" t="s">
        <v>64</v>
      </c>
      <c r="F805" s="5" t="s">
        <v>65</v>
      </c>
      <c r="G805" s="5" t="s">
        <v>40</v>
      </c>
      <c r="H805" s="6">
        <v>45961</v>
      </c>
      <c r="I805" s="6">
        <v>45961</v>
      </c>
      <c r="J805" s="6">
        <v>45950</v>
      </c>
      <c r="K805" s="5" t="s">
        <v>132</v>
      </c>
      <c r="L805" s="5" t="s">
        <v>133</v>
      </c>
      <c r="M805" s="5" t="s">
        <v>43</v>
      </c>
      <c r="N805" s="5" t="s">
        <v>134</v>
      </c>
      <c r="O805" s="7">
        <v>3.07</v>
      </c>
      <c r="P805" s="5" t="s">
        <v>45</v>
      </c>
      <c r="Q805" s="7">
        <v>3.07</v>
      </c>
      <c r="R805" s="5" t="s">
        <v>45</v>
      </c>
      <c r="S805" s="7">
        <v>0.91</v>
      </c>
      <c r="T805" s="5" t="s">
        <v>46</v>
      </c>
      <c r="U805" s="5" t="s">
        <v>47</v>
      </c>
      <c r="V805" s="5" t="s">
        <v>47</v>
      </c>
      <c r="W805" s="5" t="s">
        <v>47</v>
      </c>
      <c r="X805" s="5" t="s">
        <v>47</v>
      </c>
    </row>
    <row r="806" spans="1:24" x14ac:dyDescent="0.25">
      <c r="A806" s="5" t="s">
        <v>34</v>
      </c>
      <c r="B806" s="5" t="s">
        <v>219</v>
      </c>
      <c r="C806" s="5" t="s">
        <v>220</v>
      </c>
      <c r="D806" s="5" t="s">
        <v>37</v>
      </c>
      <c r="E806" s="5" t="s">
        <v>100</v>
      </c>
      <c r="F806" s="5" t="s">
        <v>101</v>
      </c>
      <c r="G806" s="5" t="s">
        <v>40</v>
      </c>
      <c r="H806" s="6">
        <v>45961</v>
      </c>
      <c r="I806" s="6">
        <v>45961</v>
      </c>
      <c r="J806" s="6">
        <v>45964</v>
      </c>
      <c r="K806" s="5" t="s">
        <v>135</v>
      </c>
      <c r="L806" s="5" t="s">
        <v>136</v>
      </c>
      <c r="M806" s="5" t="s">
        <v>43</v>
      </c>
      <c r="N806" s="5" t="s">
        <v>137</v>
      </c>
      <c r="O806" s="7">
        <v>97.1</v>
      </c>
      <c r="P806" s="5" t="s">
        <v>45</v>
      </c>
      <c r="Q806" s="7">
        <v>97.1</v>
      </c>
      <c r="R806" s="5" t="s">
        <v>45</v>
      </c>
      <c r="S806" s="7">
        <v>28.58</v>
      </c>
      <c r="T806" s="5" t="s">
        <v>46</v>
      </c>
      <c r="U806" s="5" t="s">
        <v>47</v>
      </c>
      <c r="V806" s="5" t="s">
        <v>47</v>
      </c>
      <c r="W806" s="5" t="s">
        <v>47</v>
      </c>
      <c r="X806" s="5" t="s">
        <v>47</v>
      </c>
    </row>
    <row r="807" spans="1:24" x14ac:dyDescent="0.25">
      <c r="A807" s="5" t="s">
        <v>34</v>
      </c>
      <c r="B807" s="5" t="s">
        <v>219</v>
      </c>
      <c r="C807" s="5" t="s">
        <v>220</v>
      </c>
      <c r="D807" s="5" t="s">
        <v>37</v>
      </c>
      <c r="E807" s="5" t="s">
        <v>86</v>
      </c>
      <c r="F807" s="5" t="s">
        <v>87</v>
      </c>
      <c r="G807" s="5" t="s">
        <v>40</v>
      </c>
      <c r="H807" s="6">
        <v>45961</v>
      </c>
      <c r="I807" s="6">
        <v>45961</v>
      </c>
      <c r="J807" s="6">
        <v>45964</v>
      </c>
      <c r="K807" s="5" t="s">
        <v>135</v>
      </c>
      <c r="L807" s="5" t="s">
        <v>136</v>
      </c>
      <c r="M807" s="5" t="s">
        <v>43</v>
      </c>
      <c r="N807" s="5" t="s">
        <v>137</v>
      </c>
      <c r="O807" s="7">
        <v>384.06</v>
      </c>
      <c r="P807" s="5" t="s">
        <v>45</v>
      </c>
      <c r="Q807" s="7">
        <v>384.06</v>
      </c>
      <c r="R807" s="5" t="s">
        <v>45</v>
      </c>
      <c r="S807" s="7">
        <v>113.03</v>
      </c>
      <c r="T807" s="5" t="s">
        <v>46</v>
      </c>
      <c r="U807" s="5" t="s">
        <v>47</v>
      </c>
      <c r="V807" s="5" t="s">
        <v>47</v>
      </c>
      <c r="W807" s="5" t="s">
        <v>47</v>
      </c>
      <c r="X807" s="5" t="s">
        <v>47</v>
      </c>
    </row>
    <row r="808" spans="1:24" x14ac:dyDescent="0.25">
      <c r="A808" s="5" t="s">
        <v>34</v>
      </c>
      <c r="B808" s="5" t="s">
        <v>219</v>
      </c>
      <c r="C808" s="5" t="s">
        <v>220</v>
      </c>
      <c r="D808" s="5" t="s">
        <v>37</v>
      </c>
      <c r="E808" s="5" t="s">
        <v>58</v>
      </c>
      <c r="F808" s="5" t="s">
        <v>59</v>
      </c>
      <c r="G808" s="5" t="s">
        <v>40</v>
      </c>
      <c r="H808" s="6">
        <v>45961</v>
      </c>
      <c r="I808" s="6">
        <v>45961</v>
      </c>
      <c r="J808" s="6">
        <v>45964</v>
      </c>
      <c r="K808" s="5" t="s">
        <v>135</v>
      </c>
      <c r="L808" s="5" t="s">
        <v>136</v>
      </c>
      <c r="M808" s="5" t="s">
        <v>43</v>
      </c>
      <c r="N808" s="5" t="s">
        <v>137</v>
      </c>
      <c r="O808" s="7">
        <v>11.51</v>
      </c>
      <c r="P808" s="5" t="s">
        <v>45</v>
      </c>
      <c r="Q808" s="7">
        <v>11.51</v>
      </c>
      <c r="R808" s="5" t="s">
        <v>45</v>
      </c>
      <c r="S808" s="7">
        <v>3.39</v>
      </c>
      <c r="T808" s="5" t="s">
        <v>46</v>
      </c>
      <c r="U808" s="5" t="s">
        <v>47</v>
      </c>
      <c r="V808" s="5" t="s">
        <v>47</v>
      </c>
      <c r="W808" s="5" t="s">
        <v>47</v>
      </c>
      <c r="X808" s="5" t="s">
        <v>47</v>
      </c>
    </row>
    <row r="809" spans="1:24" x14ac:dyDescent="0.25">
      <c r="A809" s="5" t="s">
        <v>34</v>
      </c>
      <c r="B809" s="5" t="s">
        <v>219</v>
      </c>
      <c r="C809" s="5" t="s">
        <v>220</v>
      </c>
      <c r="D809" s="5" t="s">
        <v>37</v>
      </c>
      <c r="E809" s="5" t="s">
        <v>80</v>
      </c>
      <c r="F809" s="5" t="s">
        <v>81</v>
      </c>
      <c r="G809" s="5" t="s">
        <v>40</v>
      </c>
      <c r="H809" s="6">
        <v>45961</v>
      </c>
      <c r="I809" s="6">
        <v>45961</v>
      </c>
      <c r="J809" s="6">
        <v>45964</v>
      </c>
      <c r="K809" s="5" t="s">
        <v>135</v>
      </c>
      <c r="L809" s="5" t="s">
        <v>136</v>
      </c>
      <c r="M809" s="5" t="s">
        <v>43</v>
      </c>
      <c r="N809" s="5" t="s">
        <v>137</v>
      </c>
      <c r="O809" s="7">
        <v>57.97</v>
      </c>
      <c r="P809" s="5" t="s">
        <v>45</v>
      </c>
      <c r="Q809" s="7">
        <v>57.97</v>
      </c>
      <c r="R809" s="5" t="s">
        <v>45</v>
      </c>
      <c r="S809" s="7">
        <v>17.059999999999999</v>
      </c>
      <c r="T809" s="5" t="s">
        <v>46</v>
      </c>
      <c r="U809" s="5" t="s">
        <v>47</v>
      </c>
      <c r="V809" s="5" t="s">
        <v>47</v>
      </c>
      <c r="W809" s="5" t="s">
        <v>47</v>
      </c>
      <c r="X809" s="5" t="s">
        <v>47</v>
      </c>
    </row>
    <row r="810" spans="1:24" x14ac:dyDescent="0.25">
      <c r="A810" s="5" t="s">
        <v>34</v>
      </c>
      <c r="B810" s="5" t="s">
        <v>219</v>
      </c>
      <c r="C810" s="5" t="s">
        <v>220</v>
      </c>
      <c r="D810" s="5" t="s">
        <v>37</v>
      </c>
      <c r="E810" s="5" t="s">
        <v>96</v>
      </c>
      <c r="F810" s="5" t="s">
        <v>97</v>
      </c>
      <c r="G810" s="5" t="s">
        <v>40</v>
      </c>
      <c r="H810" s="6">
        <v>45961</v>
      </c>
      <c r="I810" s="6">
        <v>45961</v>
      </c>
      <c r="J810" s="6">
        <v>45964</v>
      </c>
      <c r="K810" s="5" t="s">
        <v>135</v>
      </c>
      <c r="L810" s="5" t="s">
        <v>136</v>
      </c>
      <c r="M810" s="5" t="s">
        <v>43</v>
      </c>
      <c r="N810" s="5" t="s">
        <v>137</v>
      </c>
      <c r="O810" s="7">
        <v>1015.41</v>
      </c>
      <c r="P810" s="5" t="s">
        <v>45</v>
      </c>
      <c r="Q810" s="7">
        <v>1015.41</v>
      </c>
      <c r="R810" s="5" t="s">
        <v>45</v>
      </c>
      <c r="S810" s="7">
        <v>298.83</v>
      </c>
      <c r="T810" s="5" t="s">
        <v>46</v>
      </c>
      <c r="U810" s="5" t="s">
        <v>47</v>
      </c>
      <c r="V810" s="5" t="s">
        <v>47</v>
      </c>
      <c r="W810" s="5" t="s">
        <v>47</v>
      </c>
      <c r="X810" s="5" t="s">
        <v>47</v>
      </c>
    </row>
    <row r="811" spans="1:24" x14ac:dyDescent="0.25">
      <c r="A811" s="5" t="s">
        <v>34</v>
      </c>
      <c r="B811" s="5" t="s">
        <v>219</v>
      </c>
      <c r="C811" s="5" t="s">
        <v>220</v>
      </c>
      <c r="D811" s="5" t="s">
        <v>37</v>
      </c>
      <c r="E811" s="5" t="s">
        <v>104</v>
      </c>
      <c r="F811" s="5" t="s">
        <v>105</v>
      </c>
      <c r="G811" s="5" t="s">
        <v>40</v>
      </c>
      <c r="H811" s="6">
        <v>45961</v>
      </c>
      <c r="I811" s="6">
        <v>45961</v>
      </c>
      <c r="J811" s="6">
        <v>45964</v>
      </c>
      <c r="K811" s="5" t="s">
        <v>135</v>
      </c>
      <c r="L811" s="5" t="s">
        <v>136</v>
      </c>
      <c r="M811" s="5" t="s">
        <v>43</v>
      </c>
      <c r="N811" s="5" t="s">
        <v>137</v>
      </c>
      <c r="O811" s="7">
        <v>130.49</v>
      </c>
      <c r="P811" s="5" t="s">
        <v>45</v>
      </c>
      <c r="Q811" s="7">
        <v>130.49</v>
      </c>
      <c r="R811" s="5" t="s">
        <v>45</v>
      </c>
      <c r="S811" s="7">
        <v>38.4</v>
      </c>
      <c r="T811" s="5" t="s">
        <v>46</v>
      </c>
      <c r="U811" s="5" t="s">
        <v>47</v>
      </c>
      <c r="V811" s="5" t="s">
        <v>47</v>
      </c>
      <c r="W811" s="5" t="s">
        <v>47</v>
      </c>
      <c r="X811" s="5" t="s">
        <v>47</v>
      </c>
    </row>
    <row r="812" spans="1:24" x14ac:dyDescent="0.25">
      <c r="A812" s="5" t="s">
        <v>34</v>
      </c>
      <c r="B812" s="5" t="s">
        <v>219</v>
      </c>
      <c r="C812" s="5" t="s">
        <v>220</v>
      </c>
      <c r="D812" s="5" t="s">
        <v>37</v>
      </c>
      <c r="E812" s="5" t="s">
        <v>98</v>
      </c>
      <c r="F812" s="5" t="s">
        <v>99</v>
      </c>
      <c r="G812" s="5" t="s">
        <v>40</v>
      </c>
      <c r="H812" s="6">
        <v>45961</v>
      </c>
      <c r="I812" s="6">
        <v>45961</v>
      </c>
      <c r="J812" s="6">
        <v>45964</v>
      </c>
      <c r="K812" s="5" t="s">
        <v>135</v>
      </c>
      <c r="L812" s="5" t="s">
        <v>136</v>
      </c>
      <c r="M812" s="5" t="s">
        <v>43</v>
      </c>
      <c r="N812" s="5" t="s">
        <v>137</v>
      </c>
      <c r="O812" s="7">
        <v>11.09</v>
      </c>
      <c r="P812" s="5" t="s">
        <v>45</v>
      </c>
      <c r="Q812" s="7">
        <v>11.09</v>
      </c>
      <c r="R812" s="5" t="s">
        <v>45</v>
      </c>
      <c r="S812" s="7">
        <v>3.26</v>
      </c>
      <c r="T812" s="5" t="s">
        <v>46</v>
      </c>
      <c r="U812" s="5" t="s">
        <v>47</v>
      </c>
      <c r="V812" s="5" t="s">
        <v>47</v>
      </c>
      <c r="W812" s="5" t="s">
        <v>47</v>
      </c>
      <c r="X812" s="5" t="s">
        <v>47</v>
      </c>
    </row>
    <row r="813" spans="1:24" x14ac:dyDescent="0.25">
      <c r="A813" s="5" t="s">
        <v>34</v>
      </c>
      <c r="B813" s="5" t="s">
        <v>219</v>
      </c>
      <c r="C813" s="5" t="s">
        <v>220</v>
      </c>
      <c r="D813" s="5" t="s">
        <v>37</v>
      </c>
      <c r="E813" s="5" t="s">
        <v>50</v>
      </c>
      <c r="F813" s="5" t="s">
        <v>51</v>
      </c>
      <c r="G813" s="5" t="s">
        <v>40</v>
      </c>
      <c r="H813" s="6">
        <v>45961</v>
      </c>
      <c r="I813" s="6">
        <v>45961</v>
      </c>
      <c r="J813" s="6">
        <v>45964</v>
      </c>
      <c r="K813" s="5" t="s">
        <v>135</v>
      </c>
      <c r="L813" s="5" t="s">
        <v>136</v>
      </c>
      <c r="M813" s="5" t="s">
        <v>43</v>
      </c>
      <c r="N813" s="5" t="s">
        <v>137</v>
      </c>
      <c r="O813" s="7">
        <v>248.72</v>
      </c>
      <c r="P813" s="5" t="s">
        <v>45</v>
      </c>
      <c r="Q813" s="7">
        <v>248.72</v>
      </c>
      <c r="R813" s="5" t="s">
        <v>45</v>
      </c>
      <c r="S813" s="7">
        <v>73.2</v>
      </c>
      <c r="T813" s="5" t="s">
        <v>46</v>
      </c>
      <c r="U813" s="5" t="s">
        <v>47</v>
      </c>
      <c r="V813" s="5" t="s">
        <v>47</v>
      </c>
      <c r="W813" s="5" t="s">
        <v>47</v>
      </c>
      <c r="X813" s="5" t="s">
        <v>47</v>
      </c>
    </row>
    <row r="814" spans="1:24" x14ac:dyDescent="0.25">
      <c r="A814" s="5" t="s">
        <v>34</v>
      </c>
      <c r="B814" s="5" t="s">
        <v>219</v>
      </c>
      <c r="C814" s="5" t="s">
        <v>220</v>
      </c>
      <c r="D814" s="5" t="s">
        <v>37</v>
      </c>
      <c r="E814" s="5" t="s">
        <v>48</v>
      </c>
      <c r="F814" s="5" t="s">
        <v>49</v>
      </c>
      <c r="G814" s="5" t="s">
        <v>40</v>
      </c>
      <c r="H814" s="6">
        <v>45961</v>
      </c>
      <c r="I814" s="6">
        <v>45961</v>
      </c>
      <c r="J814" s="6">
        <v>45964</v>
      </c>
      <c r="K814" s="5" t="s">
        <v>135</v>
      </c>
      <c r="L814" s="5" t="s">
        <v>136</v>
      </c>
      <c r="M814" s="5" t="s">
        <v>43</v>
      </c>
      <c r="N814" s="5" t="s">
        <v>137</v>
      </c>
      <c r="O814" s="7">
        <v>250.95</v>
      </c>
      <c r="P814" s="5" t="s">
        <v>45</v>
      </c>
      <c r="Q814" s="7">
        <v>250.95</v>
      </c>
      <c r="R814" s="5" t="s">
        <v>45</v>
      </c>
      <c r="S814" s="7">
        <v>73.849999999999994</v>
      </c>
      <c r="T814" s="5" t="s">
        <v>46</v>
      </c>
      <c r="U814" s="5" t="s">
        <v>47</v>
      </c>
      <c r="V814" s="5" t="s">
        <v>47</v>
      </c>
      <c r="W814" s="5" t="s">
        <v>47</v>
      </c>
      <c r="X814" s="5" t="s">
        <v>47</v>
      </c>
    </row>
    <row r="815" spans="1:24" x14ac:dyDescent="0.25">
      <c r="A815" s="5" t="s">
        <v>34</v>
      </c>
      <c r="B815" s="5" t="s">
        <v>219</v>
      </c>
      <c r="C815" s="5" t="s">
        <v>220</v>
      </c>
      <c r="D815" s="5" t="s">
        <v>37</v>
      </c>
      <c r="E815" s="5" t="s">
        <v>38</v>
      </c>
      <c r="F815" s="5" t="s">
        <v>39</v>
      </c>
      <c r="G815" s="5" t="s">
        <v>40</v>
      </c>
      <c r="H815" s="6">
        <v>45961</v>
      </c>
      <c r="I815" s="6">
        <v>45961</v>
      </c>
      <c r="J815" s="6">
        <v>45964</v>
      </c>
      <c r="K815" s="5" t="s">
        <v>135</v>
      </c>
      <c r="L815" s="5" t="s">
        <v>136</v>
      </c>
      <c r="M815" s="5" t="s">
        <v>43</v>
      </c>
      <c r="N815" s="5" t="s">
        <v>137</v>
      </c>
      <c r="O815" s="7">
        <v>120.78</v>
      </c>
      <c r="P815" s="5" t="s">
        <v>45</v>
      </c>
      <c r="Q815" s="7">
        <v>120.78</v>
      </c>
      <c r="R815" s="5" t="s">
        <v>45</v>
      </c>
      <c r="S815" s="7">
        <v>35.54</v>
      </c>
      <c r="T815" s="5" t="s">
        <v>46</v>
      </c>
      <c r="U815" s="5" t="s">
        <v>47</v>
      </c>
      <c r="V815" s="5" t="s">
        <v>47</v>
      </c>
      <c r="W815" s="5" t="s">
        <v>47</v>
      </c>
      <c r="X815" s="5" t="s">
        <v>47</v>
      </c>
    </row>
    <row r="816" spans="1:24" x14ac:dyDescent="0.25">
      <c r="A816" s="5" t="s">
        <v>34</v>
      </c>
      <c r="B816" s="5" t="s">
        <v>219</v>
      </c>
      <c r="C816" s="5" t="s">
        <v>220</v>
      </c>
      <c r="D816" s="5" t="s">
        <v>37</v>
      </c>
      <c r="E816" s="5" t="s">
        <v>92</v>
      </c>
      <c r="F816" s="5" t="s">
        <v>93</v>
      </c>
      <c r="G816" s="5" t="s">
        <v>40</v>
      </c>
      <c r="H816" s="6">
        <v>45961</v>
      </c>
      <c r="I816" s="6">
        <v>45961</v>
      </c>
      <c r="J816" s="6">
        <v>45964</v>
      </c>
      <c r="K816" s="5" t="s">
        <v>135</v>
      </c>
      <c r="L816" s="5" t="s">
        <v>136</v>
      </c>
      <c r="M816" s="5" t="s">
        <v>43</v>
      </c>
      <c r="N816" s="5" t="s">
        <v>137</v>
      </c>
      <c r="O816" s="7">
        <v>18.149999999999999</v>
      </c>
      <c r="P816" s="5" t="s">
        <v>45</v>
      </c>
      <c r="Q816" s="7">
        <v>18.149999999999999</v>
      </c>
      <c r="R816" s="5" t="s">
        <v>45</v>
      </c>
      <c r="S816" s="7">
        <v>5.34</v>
      </c>
      <c r="T816" s="5" t="s">
        <v>46</v>
      </c>
      <c r="U816" s="5" t="s">
        <v>47</v>
      </c>
      <c r="V816" s="5" t="s">
        <v>47</v>
      </c>
      <c r="W816" s="5" t="s">
        <v>47</v>
      </c>
      <c r="X816" s="5" t="s">
        <v>47</v>
      </c>
    </row>
    <row r="817" spans="1:24" x14ac:dyDescent="0.25">
      <c r="A817" s="5" t="s">
        <v>34</v>
      </c>
      <c r="B817" s="5" t="s">
        <v>219</v>
      </c>
      <c r="C817" s="5" t="s">
        <v>220</v>
      </c>
      <c r="D817" s="5" t="s">
        <v>37</v>
      </c>
      <c r="E817" s="5" t="s">
        <v>54</v>
      </c>
      <c r="F817" s="5" t="s">
        <v>55</v>
      </c>
      <c r="G817" s="5" t="s">
        <v>40</v>
      </c>
      <c r="H817" s="6">
        <v>45961</v>
      </c>
      <c r="I817" s="6">
        <v>45961</v>
      </c>
      <c r="J817" s="6">
        <v>45964</v>
      </c>
      <c r="K817" s="5" t="s">
        <v>135</v>
      </c>
      <c r="L817" s="5" t="s">
        <v>136</v>
      </c>
      <c r="M817" s="5" t="s">
        <v>43</v>
      </c>
      <c r="N817" s="5" t="s">
        <v>137</v>
      </c>
      <c r="O817" s="7">
        <v>33.65</v>
      </c>
      <c r="P817" s="5" t="s">
        <v>45</v>
      </c>
      <c r="Q817" s="7">
        <v>33.65</v>
      </c>
      <c r="R817" s="5" t="s">
        <v>45</v>
      </c>
      <c r="S817" s="7">
        <v>9.9</v>
      </c>
      <c r="T817" s="5" t="s">
        <v>46</v>
      </c>
      <c r="U817" s="5" t="s">
        <v>47</v>
      </c>
      <c r="V817" s="5" t="s">
        <v>47</v>
      </c>
      <c r="W817" s="5" t="s">
        <v>47</v>
      </c>
      <c r="X817" s="5" t="s">
        <v>47</v>
      </c>
    </row>
    <row r="818" spans="1:24" x14ac:dyDescent="0.25">
      <c r="A818" s="5" t="s">
        <v>34</v>
      </c>
      <c r="B818" s="5" t="s">
        <v>219</v>
      </c>
      <c r="C818" s="5" t="s">
        <v>220</v>
      </c>
      <c r="D818" s="5" t="s">
        <v>37</v>
      </c>
      <c r="E818" s="5" t="s">
        <v>52</v>
      </c>
      <c r="F818" s="5" t="s">
        <v>53</v>
      </c>
      <c r="G818" s="5" t="s">
        <v>40</v>
      </c>
      <c r="H818" s="6">
        <v>45961</v>
      </c>
      <c r="I818" s="6">
        <v>45961</v>
      </c>
      <c r="J818" s="6">
        <v>45964</v>
      </c>
      <c r="K818" s="5" t="s">
        <v>135</v>
      </c>
      <c r="L818" s="5" t="s">
        <v>136</v>
      </c>
      <c r="M818" s="5" t="s">
        <v>43</v>
      </c>
      <c r="N818" s="5" t="s">
        <v>137</v>
      </c>
      <c r="O818" s="7">
        <v>12.65</v>
      </c>
      <c r="P818" s="5" t="s">
        <v>45</v>
      </c>
      <c r="Q818" s="7">
        <v>12.65</v>
      </c>
      <c r="R818" s="5" t="s">
        <v>45</v>
      </c>
      <c r="S818" s="7">
        <v>3.72</v>
      </c>
      <c r="T818" s="5" t="s">
        <v>46</v>
      </c>
      <c r="U818" s="5" t="s">
        <v>47</v>
      </c>
      <c r="V818" s="5" t="s">
        <v>47</v>
      </c>
      <c r="W818" s="5" t="s">
        <v>47</v>
      </c>
      <c r="X818" s="5" t="s">
        <v>47</v>
      </c>
    </row>
    <row r="819" spans="1:24" x14ac:dyDescent="0.25">
      <c r="A819" s="5" t="s">
        <v>34</v>
      </c>
      <c r="B819" s="5" t="s">
        <v>219</v>
      </c>
      <c r="C819" s="5" t="s">
        <v>220</v>
      </c>
      <c r="D819" s="5" t="s">
        <v>37</v>
      </c>
      <c r="E819" s="5" t="s">
        <v>118</v>
      </c>
      <c r="F819" s="5" t="s">
        <v>119</v>
      </c>
      <c r="G819" s="5" t="s">
        <v>40</v>
      </c>
      <c r="H819" s="6">
        <v>45961</v>
      </c>
      <c r="I819" s="6">
        <v>45961</v>
      </c>
      <c r="J819" s="6">
        <v>45964</v>
      </c>
      <c r="K819" s="5" t="s">
        <v>135</v>
      </c>
      <c r="L819" s="5" t="s">
        <v>136</v>
      </c>
      <c r="M819" s="5" t="s">
        <v>43</v>
      </c>
      <c r="N819" s="5" t="s">
        <v>137</v>
      </c>
      <c r="O819" s="7">
        <v>152.82</v>
      </c>
      <c r="P819" s="5" t="s">
        <v>45</v>
      </c>
      <c r="Q819" s="7">
        <v>152.82</v>
      </c>
      <c r="R819" s="5" t="s">
        <v>45</v>
      </c>
      <c r="S819" s="7">
        <v>44.97</v>
      </c>
      <c r="T819" s="5" t="s">
        <v>46</v>
      </c>
      <c r="U819" s="5" t="s">
        <v>47</v>
      </c>
      <c r="V819" s="5" t="s">
        <v>47</v>
      </c>
      <c r="W819" s="5" t="s">
        <v>47</v>
      </c>
      <c r="X819" s="5" t="s">
        <v>47</v>
      </c>
    </row>
    <row r="820" spans="1:24" x14ac:dyDescent="0.25">
      <c r="A820" s="5" t="s">
        <v>34</v>
      </c>
      <c r="B820" s="5" t="s">
        <v>219</v>
      </c>
      <c r="C820" s="5" t="s">
        <v>220</v>
      </c>
      <c r="D820" s="5" t="s">
        <v>37</v>
      </c>
      <c r="E820" s="5" t="s">
        <v>142</v>
      </c>
      <c r="F820" s="5" t="s">
        <v>143</v>
      </c>
      <c r="G820" s="5" t="s">
        <v>40</v>
      </c>
      <c r="H820" s="6">
        <v>45961</v>
      </c>
      <c r="I820" s="6">
        <v>45961</v>
      </c>
      <c r="J820" s="6">
        <v>45961</v>
      </c>
      <c r="K820" s="5" t="s">
        <v>144</v>
      </c>
      <c r="L820" s="5" t="s">
        <v>145</v>
      </c>
      <c r="M820" s="5" t="s">
        <v>43</v>
      </c>
      <c r="N820" s="5" t="s">
        <v>146</v>
      </c>
      <c r="O820" s="7">
        <v>6.54</v>
      </c>
      <c r="P820" s="5" t="s">
        <v>45</v>
      </c>
      <c r="Q820" s="7">
        <v>6.54</v>
      </c>
      <c r="R820" s="5" t="s">
        <v>45</v>
      </c>
      <c r="S820" s="7">
        <v>1.92</v>
      </c>
      <c r="T820" s="5" t="s">
        <v>46</v>
      </c>
      <c r="U820" s="5" t="s">
        <v>47</v>
      </c>
      <c r="V820" s="5" t="s">
        <v>47</v>
      </c>
      <c r="W820" s="5" t="s">
        <v>47</v>
      </c>
      <c r="X820" s="5" t="s">
        <v>47</v>
      </c>
    </row>
    <row r="821" spans="1:24" x14ac:dyDescent="0.25">
      <c r="A821" s="5" t="s">
        <v>34</v>
      </c>
      <c r="B821" s="5" t="s">
        <v>219</v>
      </c>
      <c r="C821" s="5" t="s">
        <v>220</v>
      </c>
      <c r="D821" s="5" t="s">
        <v>37</v>
      </c>
      <c r="E821" s="5" t="s">
        <v>70</v>
      </c>
      <c r="F821" s="5" t="s">
        <v>71</v>
      </c>
      <c r="G821" s="5" t="s">
        <v>40</v>
      </c>
      <c r="H821" s="6">
        <v>45961</v>
      </c>
      <c r="I821" s="6">
        <v>45961</v>
      </c>
      <c r="J821" s="6">
        <v>45964</v>
      </c>
      <c r="K821" s="5" t="s">
        <v>135</v>
      </c>
      <c r="L821" s="5" t="s">
        <v>136</v>
      </c>
      <c r="M821" s="5" t="s">
        <v>43</v>
      </c>
      <c r="N821" s="5" t="s">
        <v>137</v>
      </c>
      <c r="O821" s="7">
        <v>30.61</v>
      </c>
      <c r="P821" s="5" t="s">
        <v>45</v>
      </c>
      <c r="Q821" s="7">
        <v>30.61</v>
      </c>
      <c r="R821" s="5" t="s">
        <v>45</v>
      </c>
      <c r="S821" s="7">
        <v>9.01</v>
      </c>
      <c r="T821" s="5" t="s">
        <v>46</v>
      </c>
      <c r="U821" s="5" t="s">
        <v>47</v>
      </c>
      <c r="V821" s="5" t="s">
        <v>47</v>
      </c>
      <c r="W821" s="5" t="s">
        <v>47</v>
      </c>
      <c r="X821" s="5" t="s">
        <v>47</v>
      </c>
    </row>
    <row r="822" spans="1:24" x14ac:dyDescent="0.25">
      <c r="A822" s="5" t="s">
        <v>34</v>
      </c>
      <c r="B822" s="5" t="s">
        <v>219</v>
      </c>
      <c r="C822" s="5" t="s">
        <v>220</v>
      </c>
      <c r="D822" s="5" t="s">
        <v>37</v>
      </c>
      <c r="E822" s="5" t="s">
        <v>72</v>
      </c>
      <c r="F822" s="5" t="s">
        <v>73</v>
      </c>
      <c r="G822" s="5" t="s">
        <v>40</v>
      </c>
      <c r="H822" s="6">
        <v>45961</v>
      </c>
      <c r="I822" s="6">
        <v>45961</v>
      </c>
      <c r="J822" s="6">
        <v>45964</v>
      </c>
      <c r="K822" s="5" t="s">
        <v>135</v>
      </c>
      <c r="L822" s="5" t="s">
        <v>136</v>
      </c>
      <c r="M822" s="5" t="s">
        <v>43</v>
      </c>
      <c r="N822" s="5" t="s">
        <v>137</v>
      </c>
      <c r="O822" s="7">
        <v>24.93</v>
      </c>
      <c r="P822" s="5" t="s">
        <v>45</v>
      </c>
      <c r="Q822" s="7">
        <v>24.93</v>
      </c>
      <c r="R822" s="5" t="s">
        <v>45</v>
      </c>
      <c r="S822" s="7">
        <v>7.34</v>
      </c>
      <c r="T822" s="5" t="s">
        <v>46</v>
      </c>
      <c r="U822" s="5" t="s">
        <v>47</v>
      </c>
      <c r="V822" s="5" t="s">
        <v>47</v>
      </c>
      <c r="W822" s="5" t="s">
        <v>47</v>
      </c>
      <c r="X822" s="5" t="s">
        <v>47</v>
      </c>
    </row>
    <row r="823" spans="1:24" x14ac:dyDescent="0.25">
      <c r="A823" s="5" t="s">
        <v>34</v>
      </c>
      <c r="B823" s="5" t="s">
        <v>219</v>
      </c>
      <c r="C823" s="5" t="s">
        <v>220</v>
      </c>
      <c r="D823" s="5" t="s">
        <v>37</v>
      </c>
      <c r="E823" s="5" t="s">
        <v>74</v>
      </c>
      <c r="F823" s="5" t="s">
        <v>75</v>
      </c>
      <c r="G823" s="5" t="s">
        <v>40</v>
      </c>
      <c r="H823" s="6">
        <v>45961</v>
      </c>
      <c r="I823" s="6">
        <v>45961</v>
      </c>
      <c r="J823" s="6">
        <v>45964</v>
      </c>
      <c r="K823" s="5" t="s">
        <v>135</v>
      </c>
      <c r="L823" s="5" t="s">
        <v>136</v>
      </c>
      <c r="M823" s="5" t="s">
        <v>43</v>
      </c>
      <c r="N823" s="5" t="s">
        <v>137</v>
      </c>
      <c r="O823" s="7">
        <v>1405.81</v>
      </c>
      <c r="P823" s="5" t="s">
        <v>45</v>
      </c>
      <c r="Q823" s="7">
        <v>1405.81</v>
      </c>
      <c r="R823" s="5" t="s">
        <v>45</v>
      </c>
      <c r="S823" s="7">
        <v>413.72</v>
      </c>
      <c r="T823" s="5" t="s">
        <v>46</v>
      </c>
      <c r="U823" s="5" t="s">
        <v>47</v>
      </c>
      <c r="V823" s="5" t="s">
        <v>47</v>
      </c>
      <c r="W823" s="5" t="s">
        <v>47</v>
      </c>
      <c r="X823" s="5" t="s">
        <v>47</v>
      </c>
    </row>
    <row r="824" spans="1:24" x14ac:dyDescent="0.25">
      <c r="A824" s="5" t="s">
        <v>34</v>
      </c>
      <c r="B824" s="5" t="s">
        <v>221</v>
      </c>
      <c r="C824" s="5" t="s">
        <v>222</v>
      </c>
      <c r="D824" s="5" t="s">
        <v>37</v>
      </c>
      <c r="E824" s="5" t="s">
        <v>60</v>
      </c>
      <c r="F824" s="5" t="s">
        <v>61</v>
      </c>
      <c r="G824" s="5" t="s">
        <v>40</v>
      </c>
      <c r="H824" s="6">
        <v>45961</v>
      </c>
      <c r="I824" s="6">
        <v>45961</v>
      </c>
      <c r="J824" s="6">
        <v>45964</v>
      </c>
      <c r="K824" s="5" t="s">
        <v>41</v>
      </c>
      <c r="L824" s="5" t="s">
        <v>42</v>
      </c>
      <c r="M824" s="5" t="s">
        <v>43</v>
      </c>
      <c r="N824" s="5" t="s">
        <v>44</v>
      </c>
      <c r="O824" s="7">
        <v>260.2</v>
      </c>
      <c r="P824" s="5" t="s">
        <v>45</v>
      </c>
      <c r="Q824" s="7">
        <v>260.2</v>
      </c>
      <c r="R824" s="5" t="s">
        <v>45</v>
      </c>
      <c r="S824" s="7">
        <v>76.569999999999993</v>
      </c>
      <c r="T824" s="5" t="s">
        <v>46</v>
      </c>
      <c r="U824" s="5" t="s">
        <v>47</v>
      </c>
      <c r="V824" s="5" t="s">
        <v>47</v>
      </c>
      <c r="W824" s="5" t="s">
        <v>47</v>
      </c>
      <c r="X824" s="5" t="s">
        <v>47</v>
      </c>
    </row>
    <row r="825" spans="1:24" x14ac:dyDescent="0.25">
      <c r="A825" s="5" t="s">
        <v>34</v>
      </c>
      <c r="B825" s="5" t="s">
        <v>223</v>
      </c>
      <c r="C825" s="5" t="s">
        <v>224</v>
      </c>
      <c r="D825" s="5" t="s">
        <v>37</v>
      </c>
      <c r="E825" s="5" t="s">
        <v>60</v>
      </c>
      <c r="F825" s="5" t="s">
        <v>61</v>
      </c>
      <c r="G825" s="5" t="s">
        <v>40</v>
      </c>
      <c r="H825" s="6">
        <v>45961</v>
      </c>
      <c r="I825" s="6">
        <v>45961</v>
      </c>
      <c r="J825" s="6">
        <v>45964</v>
      </c>
      <c r="K825" s="5" t="s">
        <v>135</v>
      </c>
      <c r="L825" s="5" t="s">
        <v>136</v>
      </c>
      <c r="M825" s="5" t="s">
        <v>43</v>
      </c>
      <c r="N825" s="5" t="s">
        <v>137</v>
      </c>
      <c r="O825" s="7">
        <v>877.87</v>
      </c>
      <c r="P825" s="5" t="s">
        <v>45</v>
      </c>
      <c r="Q825" s="7">
        <v>877.87</v>
      </c>
      <c r="R825" s="5" t="s">
        <v>45</v>
      </c>
      <c r="S825" s="7">
        <v>258.35000000000002</v>
      </c>
      <c r="T825" s="5" t="s">
        <v>46</v>
      </c>
      <c r="U825" s="5" t="s">
        <v>47</v>
      </c>
      <c r="V825" s="5" t="s">
        <v>47</v>
      </c>
      <c r="W825" s="5" t="s">
        <v>47</v>
      </c>
      <c r="X825" s="5" t="s">
        <v>47</v>
      </c>
    </row>
    <row r="826" spans="1:24" x14ac:dyDescent="0.25">
      <c r="A826" s="5" t="s">
        <v>34</v>
      </c>
      <c r="B826" s="5" t="s">
        <v>225</v>
      </c>
      <c r="C826" s="5" t="s">
        <v>226</v>
      </c>
      <c r="D826" s="5" t="s">
        <v>37</v>
      </c>
      <c r="E826" s="5" t="s">
        <v>114</v>
      </c>
      <c r="F826" s="5" t="s">
        <v>115</v>
      </c>
      <c r="G826" s="5" t="s">
        <v>40</v>
      </c>
      <c r="H826" s="6">
        <v>45961</v>
      </c>
      <c r="I826" s="6">
        <v>45961</v>
      </c>
      <c r="J826" s="6">
        <v>45964</v>
      </c>
      <c r="K826" s="5" t="s">
        <v>167</v>
      </c>
      <c r="L826" s="5" t="s">
        <v>168</v>
      </c>
      <c r="M826" s="5" t="s">
        <v>43</v>
      </c>
      <c r="N826" s="5" t="s">
        <v>169</v>
      </c>
      <c r="O826" s="7">
        <v>1965.53</v>
      </c>
      <c r="P826" s="5" t="s">
        <v>45</v>
      </c>
      <c r="Q826" s="7">
        <v>1965.53</v>
      </c>
      <c r="R826" s="5" t="s">
        <v>45</v>
      </c>
      <c r="S826" s="7">
        <v>578.44000000000005</v>
      </c>
      <c r="T826" s="5" t="s">
        <v>46</v>
      </c>
      <c r="U826" s="5" t="s">
        <v>47</v>
      </c>
      <c r="V826" s="5" t="s">
        <v>47</v>
      </c>
      <c r="W826" s="5" t="s">
        <v>47</v>
      </c>
      <c r="X826" s="5" t="s">
        <v>47</v>
      </c>
    </row>
    <row r="827" spans="1:24" x14ac:dyDescent="0.25">
      <c r="A827" s="5" t="s">
        <v>34</v>
      </c>
      <c r="B827" s="5" t="s">
        <v>225</v>
      </c>
      <c r="C827" s="5" t="s">
        <v>226</v>
      </c>
      <c r="D827" s="5" t="s">
        <v>37</v>
      </c>
      <c r="E827" s="5" t="s">
        <v>72</v>
      </c>
      <c r="F827" s="5" t="s">
        <v>73</v>
      </c>
      <c r="G827" s="5" t="s">
        <v>40</v>
      </c>
      <c r="H827" s="6">
        <v>45961</v>
      </c>
      <c r="I827" s="6">
        <v>45961</v>
      </c>
      <c r="J827" s="6">
        <v>45964</v>
      </c>
      <c r="K827" s="5" t="s">
        <v>167</v>
      </c>
      <c r="L827" s="5" t="s">
        <v>168</v>
      </c>
      <c r="M827" s="5" t="s">
        <v>43</v>
      </c>
      <c r="N827" s="5" t="s">
        <v>169</v>
      </c>
      <c r="O827" s="7">
        <v>292.27999999999997</v>
      </c>
      <c r="P827" s="5" t="s">
        <v>45</v>
      </c>
      <c r="Q827" s="7">
        <v>292.27999999999997</v>
      </c>
      <c r="R827" s="5" t="s">
        <v>45</v>
      </c>
      <c r="S827" s="7">
        <v>86.02</v>
      </c>
      <c r="T827" s="5" t="s">
        <v>46</v>
      </c>
      <c r="U827" s="5" t="s">
        <v>47</v>
      </c>
      <c r="V827" s="5" t="s">
        <v>47</v>
      </c>
      <c r="W827" s="5" t="s">
        <v>47</v>
      </c>
      <c r="X827" s="5" t="s">
        <v>47</v>
      </c>
    </row>
    <row r="828" spans="1:24" x14ac:dyDescent="0.25">
      <c r="A828" s="5" t="s">
        <v>34</v>
      </c>
      <c r="B828" s="5" t="s">
        <v>225</v>
      </c>
      <c r="C828" s="5" t="s">
        <v>226</v>
      </c>
      <c r="D828" s="5" t="s">
        <v>37</v>
      </c>
      <c r="E828" s="5" t="s">
        <v>54</v>
      </c>
      <c r="F828" s="5" t="s">
        <v>55</v>
      </c>
      <c r="G828" s="5" t="s">
        <v>40</v>
      </c>
      <c r="H828" s="6">
        <v>45961</v>
      </c>
      <c r="I828" s="6">
        <v>45961</v>
      </c>
      <c r="J828" s="6">
        <v>45964</v>
      </c>
      <c r="K828" s="5" t="s">
        <v>167</v>
      </c>
      <c r="L828" s="5" t="s">
        <v>168</v>
      </c>
      <c r="M828" s="5" t="s">
        <v>43</v>
      </c>
      <c r="N828" s="5" t="s">
        <v>169</v>
      </c>
      <c r="O828" s="7">
        <v>379.26</v>
      </c>
      <c r="P828" s="5" t="s">
        <v>45</v>
      </c>
      <c r="Q828" s="7">
        <v>379.26</v>
      </c>
      <c r="R828" s="5" t="s">
        <v>45</v>
      </c>
      <c r="S828" s="7">
        <v>111.61</v>
      </c>
      <c r="T828" s="5" t="s">
        <v>46</v>
      </c>
      <c r="U828" s="5" t="s">
        <v>47</v>
      </c>
      <c r="V828" s="5" t="s">
        <v>47</v>
      </c>
      <c r="W828" s="5" t="s">
        <v>47</v>
      </c>
      <c r="X828" s="5" t="s">
        <v>47</v>
      </c>
    </row>
    <row r="829" spans="1:24" x14ac:dyDescent="0.25">
      <c r="A829" s="5" t="s">
        <v>34</v>
      </c>
      <c r="B829" s="5" t="s">
        <v>225</v>
      </c>
      <c r="C829" s="5" t="s">
        <v>226</v>
      </c>
      <c r="D829" s="5" t="s">
        <v>37</v>
      </c>
      <c r="E829" s="5" t="s">
        <v>112</v>
      </c>
      <c r="F829" s="5" t="s">
        <v>113</v>
      </c>
      <c r="G829" s="5" t="s">
        <v>40</v>
      </c>
      <c r="H829" s="6">
        <v>45961</v>
      </c>
      <c r="I829" s="6">
        <v>45961</v>
      </c>
      <c r="J829" s="6">
        <v>45964</v>
      </c>
      <c r="K829" s="5" t="s">
        <v>167</v>
      </c>
      <c r="L829" s="5" t="s">
        <v>168</v>
      </c>
      <c r="M829" s="5" t="s">
        <v>43</v>
      </c>
      <c r="N829" s="5" t="s">
        <v>169</v>
      </c>
      <c r="O829" s="7">
        <v>226.56</v>
      </c>
      <c r="P829" s="5" t="s">
        <v>45</v>
      </c>
      <c r="Q829" s="7">
        <v>226.56</v>
      </c>
      <c r="R829" s="5" t="s">
        <v>45</v>
      </c>
      <c r="S829" s="7">
        <v>66.67</v>
      </c>
      <c r="T829" s="5" t="s">
        <v>46</v>
      </c>
      <c r="U829" s="5" t="s">
        <v>47</v>
      </c>
      <c r="V829" s="5" t="s">
        <v>47</v>
      </c>
      <c r="W829" s="5" t="s">
        <v>47</v>
      </c>
      <c r="X829" s="5" t="s">
        <v>47</v>
      </c>
    </row>
    <row r="830" spans="1:24" x14ac:dyDescent="0.25">
      <c r="A830" s="5" t="s">
        <v>34</v>
      </c>
      <c r="B830" s="5" t="s">
        <v>225</v>
      </c>
      <c r="C830" s="5" t="s">
        <v>226</v>
      </c>
      <c r="D830" s="5" t="s">
        <v>37</v>
      </c>
      <c r="E830" s="5" t="s">
        <v>76</v>
      </c>
      <c r="F830" s="5" t="s">
        <v>77</v>
      </c>
      <c r="G830" s="5" t="s">
        <v>40</v>
      </c>
      <c r="H830" s="6">
        <v>45961</v>
      </c>
      <c r="I830" s="6">
        <v>45961</v>
      </c>
      <c r="J830" s="6">
        <v>45964</v>
      </c>
      <c r="K830" s="5" t="s">
        <v>167</v>
      </c>
      <c r="L830" s="5" t="s">
        <v>168</v>
      </c>
      <c r="M830" s="5" t="s">
        <v>43</v>
      </c>
      <c r="N830" s="5" t="s">
        <v>169</v>
      </c>
      <c r="O830" s="7">
        <v>249.01</v>
      </c>
      <c r="P830" s="5" t="s">
        <v>45</v>
      </c>
      <c r="Q830" s="7">
        <v>249.01</v>
      </c>
      <c r="R830" s="5" t="s">
        <v>45</v>
      </c>
      <c r="S830" s="7">
        <v>73.28</v>
      </c>
      <c r="T830" s="5" t="s">
        <v>46</v>
      </c>
      <c r="U830" s="5" t="s">
        <v>47</v>
      </c>
      <c r="V830" s="5" t="s">
        <v>47</v>
      </c>
      <c r="W830" s="5" t="s">
        <v>47</v>
      </c>
      <c r="X830" s="5" t="s">
        <v>47</v>
      </c>
    </row>
    <row r="831" spans="1:24" x14ac:dyDescent="0.25">
      <c r="A831" s="5" t="s">
        <v>34</v>
      </c>
      <c r="B831" s="5" t="s">
        <v>225</v>
      </c>
      <c r="C831" s="5" t="s">
        <v>226</v>
      </c>
      <c r="D831" s="5" t="s">
        <v>37</v>
      </c>
      <c r="E831" s="5" t="s">
        <v>96</v>
      </c>
      <c r="F831" s="5" t="s">
        <v>97</v>
      </c>
      <c r="G831" s="5" t="s">
        <v>40</v>
      </c>
      <c r="H831" s="6">
        <v>45961</v>
      </c>
      <c r="I831" s="6">
        <v>45961</v>
      </c>
      <c r="J831" s="6">
        <v>45964</v>
      </c>
      <c r="K831" s="5" t="s">
        <v>167</v>
      </c>
      <c r="L831" s="5" t="s">
        <v>168</v>
      </c>
      <c r="M831" s="5" t="s">
        <v>43</v>
      </c>
      <c r="N831" s="5" t="s">
        <v>169</v>
      </c>
      <c r="O831" s="7">
        <v>2658.51</v>
      </c>
      <c r="P831" s="5" t="s">
        <v>45</v>
      </c>
      <c r="Q831" s="7">
        <v>2658.51</v>
      </c>
      <c r="R831" s="5" t="s">
        <v>45</v>
      </c>
      <c r="S831" s="7">
        <v>782.37</v>
      </c>
      <c r="T831" s="5" t="s">
        <v>46</v>
      </c>
      <c r="U831" s="5" t="s">
        <v>47</v>
      </c>
      <c r="V831" s="5" t="s">
        <v>47</v>
      </c>
      <c r="W831" s="5" t="s">
        <v>47</v>
      </c>
      <c r="X831" s="5" t="s">
        <v>47</v>
      </c>
    </row>
    <row r="832" spans="1:24" x14ac:dyDescent="0.25">
      <c r="A832" s="5" t="s">
        <v>34</v>
      </c>
      <c r="B832" s="5" t="s">
        <v>225</v>
      </c>
      <c r="C832" s="5" t="s">
        <v>226</v>
      </c>
      <c r="D832" s="5" t="s">
        <v>37</v>
      </c>
      <c r="E832" s="5" t="s">
        <v>58</v>
      </c>
      <c r="F832" s="5" t="s">
        <v>59</v>
      </c>
      <c r="G832" s="5" t="s">
        <v>40</v>
      </c>
      <c r="H832" s="6">
        <v>45961</v>
      </c>
      <c r="I832" s="6">
        <v>45961</v>
      </c>
      <c r="J832" s="6">
        <v>45964</v>
      </c>
      <c r="K832" s="5" t="s">
        <v>167</v>
      </c>
      <c r="L832" s="5" t="s">
        <v>168</v>
      </c>
      <c r="M832" s="5" t="s">
        <v>43</v>
      </c>
      <c r="N832" s="5" t="s">
        <v>169</v>
      </c>
      <c r="O832" s="7">
        <v>2650.59</v>
      </c>
      <c r="P832" s="5" t="s">
        <v>45</v>
      </c>
      <c r="Q832" s="7">
        <v>2650.59</v>
      </c>
      <c r="R832" s="5" t="s">
        <v>45</v>
      </c>
      <c r="S832" s="7">
        <v>780.04</v>
      </c>
      <c r="T832" s="5" t="s">
        <v>46</v>
      </c>
      <c r="U832" s="5" t="s">
        <v>47</v>
      </c>
      <c r="V832" s="5" t="s">
        <v>47</v>
      </c>
      <c r="W832" s="5" t="s">
        <v>47</v>
      </c>
      <c r="X832" s="5" t="s">
        <v>47</v>
      </c>
    </row>
    <row r="833" spans="1:24" x14ac:dyDescent="0.25">
      <c r="A833" s="5" t="s">
        <v>34</v>
      </c>
      <c r="B833" s="5" t="s">
        <v>225</v>
      </c>
      <c r="C833" s="5" t="s">
        <v>226</v>
      </c>
      <c r="D833" s="5" t="s">
        <v>37</v>
      </c>
      <c r="E833" s="5" t="s">
        <v>80</v>
      </c>
      <c r="F833" s="5" t="s">
        <v>81</v>
      </c>
      <c r="G833" s="5" t="s">
        <v>40</v>
      </c>
      <c r="H833" s="6">
        <v>45961</v>
      </c>
      <c r="I833" s="6">
        <v>45961</v>
      </c>
      <c r="J833" s="6">
        <v>45964</v>
      </c>
      <c r="K833" s="5" t="s">
        <v>167</v>
      </c>
      <c r="L833" s="5" t="s">
        <v>168</v>
      </c>
      <c r="M833" s="5" t="s">
        <v>43</v>
      </c>
      <c r="N833" s="5" t="s">
        <v>169</v>
      </c>
      <c r="O833" s="7">
        <v>547.47</v>
      </c>
      <c r="P833" s="5" t="s">
        <v>45</v>
      </c>
      <c r="Q833" s="7">
        <v>547.47</v>
      </c>
      <c r="R833" s="5" t="s">
        <v>45</v>
      </c>
      <c r="S833" s="7">
        <v>161.12</v>
      </c>
      <c r="T833" s="5" t="s">
        <v>46</v>
      </c>
      <c r="U833" s="5" t="s">
        <v>47</v>
      </c>
      <c r="V833" s="5" t="s">
        <v>47</v>
      </c>
      <c r="W833" s="5" t="s">
        <v>47</v>
      </c>
      <c r="X833" s="5" t="s">
        <v>47</v>
      </c>
    </row>
    <row r="834" spans="1:24" x14ac:dyDescent="0.25">
      <c r="A834" s="5" t="s">
        <v>34</v>
      </c>
      <c r="B834" s="5" t="s">
        <v>225</v>
      </c>
      <c r="C834" s="5" t="s">
        <v>226</v>
      </c>
      <c r="D834" s="5" t="s">
        <v>37</v>
      </c>
      <c r="E834" s="5" t="s">
        <v>82</v>
      </c>
      <c r="F834" s="5" t="s">
        <v>83</v>
      </c>
      <c r="G834" s="5" t="s">
        <v>40</v>
      </c>
      <c r="H834" s="6">
        <v>45961</v>
      </c>
      <c r="I834" s="6">
        <v>45961</v>
      </c>
      <c r="J834" s="6">
        <v>45964</v>
      </c>
      <c r="K834" s="5" t="s">
        <v>167</v>
      </c>
      <c r="L834" s="5" t="s">
        <v>168</v>
      </c>
      <c r="M834" s="5" t="s">
        <v>43</v>
      </c>
      <c r="N834" s="5" t="s">
        <v>169</v>
      </c>
      <c r="O834" s="7">
        <v>555.42999999999995</v>
      </c>
      <c r="P834" s="5" t="s">
        <v>45</v>
      </c>
      <c r="Q834" s="7">
        <v>555.42999999999995</v>
      </c>
      <c r="R834" s="5" t="s">
        <v>45</v>
      </c>
      <c r="S834" s="7">
        <v>163.46</v>
      </c>
      <c r="T834" s="5" t="s">
        <v>46</v>
      </c>
      <c r="U834" s="5" t="s">
        <v>47</v>
      </c>
      <c r="V834" s="5" t="s">
        <v>47</v>
      </c>
      <c r="W834" s="5" t="s">
        <v>47</v>
      </c>
      <c r="X834" s="5" t="s">
        <v>47</v>
      </c>
    </row>
    <row r="835" spans="1:24" x14ac:dyDescent="0.25">
      <c r="A835" s="5" t="s">
        <v>34</v>
      </c>
      <c r="B835" s="5" t="s">
        <v>225</v>
      </c>
      <c r="C835" s="5" t="s">
        <v>226</v>
      </c>
      <c r="D835" s="5" t="s">
        <v>37</v>
      </c>
      <c r="E835" s="5" t="s">
        <v>100</v>
      </c>
      <c r="F835" s="5" t="s">
        <v>101</v>
      </c>
      <c r="G835" s="5" t="s">
        <v>40</v>
      </c>
      <c r="H835" s="6">
        <v>45961</v>
      </c>
      <c r="I835" s="6">
        <v>45961</v>
      </c>
      <c r="J835" s="6">
        <v>45964</v>
      </c>
      <c r="K835" s="5" t="s">
        <v>167</v>
      </c>
      <c r="L835" s="5" t="s">
        <v>168</v>
      </c>
      <c r="M835" s="5" t="s">
        <v>43</v>
      </c>
      <c r="N835" s="5" t="s">
        <v>169</v>
      </c>
      <c r="O835" s="7">
        <v>797.31</v>
      </c>
      <c r="P835" s="5" t="s">
        <v>45</v>
      </c>
      <c r="Q835" s="7">
        <v>797.31</v>
      </c>
      <c r="R835" s="5" t="s">
        <v>45</v>
      </c>
      <c r="S835" s="7">
        <v>234.64</v>
      </c>
      <c r="T835" s="5" t="s">
        <v>46</v>
      </c>
      <c r="U835" s="5" t="s">
        <v>47</v>
      </c>
      <c r="V835" s="5" t="s">
        <v>47</v>
      </c>
      <c r="W835" s="5" t="s">
        <v>47</v>
      </c>
      <c r="X835" s="5" t="s">
        <v>47</v>
      </c>
    </row>
    <row r="836" spans="1:24" x14ac:dyDescent="0.25">
      <c r="A836" s="5" t="s">
        <v>34</v>
      </c>
      <c r="B836" s="5" t="s">
        <v>225</v>
      </c>
      <c r="C836" s="5" t="s">
        <v>226</v>
      </c>
      <c r="D836" s="5" t="s">
        <v>37</v>
      </c>
      <c r="E836" s="5" t="s">
        <v>94</v>
      </c>
      <c r="F836" s="5" t="s">
        <v>95</v>
      </c>
      <c r="G836" s="5" t="s">
        <v>40</v>
      </c>
      <c r="H836" s="6">
        <v>45961</v>
      </c>
      <c r="I836" s="6">
        <v>45961</v>
      </c>
      <c r="J836" s="6">
        <v>45964</v>
      </c>
      <c r="K836" s="5" t="s">
        <v>167</v>
      </c>
      <c r="L836" s="5" t="s">
        <v>168</v>
      </c>
      <c r="M836" s="5" t="s">
        <v>43</v>
      </c>
      <c r="N836" s="5" t="s">
        <v>169</v>
      </c>
      <c r="O836" s="7">
        <v>4304.66</v>
      </c>
      <c r="P836" s="5" t="s">
        <v>45</v>
      </c>
      <c r="Q836" s="7">
        <v>4304.66</v>
      </c>
      <c r="R836" s="5" t="s">
        <v>45</v>
      </c>
      <c r="S836" s="7">
        <v>1266.82</v>
      </c>
      <c r="T836" s="5" t="s">
        <v>46</v>
      </c>
      <c r="U836" s="5" t="s">
        <v>47</v>
      </c>
      <c r="V836" s="5" t="s">
        <v>47</v>
      </c>
      <c r="W836" s="5" t="s">
        <v>47</v>
      </c>
      <c r="X836" s="5" t="s">
        <v>47</v>
      </c>
    </row>
    <row r="837" spans="1:24" x14ac:dyDescent="0.25">
      <c r="A837" s="5" t="s">
        <v>34</v>
      </c>
      <c r="B837" s="5" t="s">
        <v>225</v>
      </c>
      <c r="C837" s="5" t="s">
        <v>226</v>
      </c>
      <c r="D837" s="5" t="s">
        <v>37</v>
      </c>
      <c r="E837" s="5" t="s">
        <v>60</v>
      </c>
      <c r="F837" s="5" t="s">
        <v>61</v>
      </c>
      <c r="G837" s="5" t="s">
        <v>40</v>
      </c>
      <c r="H837" s="6">
        <v>45961</v>
      </c>
      <c r="I837" s="6">
        <v>45961</v>
      </c>
      <c r="J837" s="6">
        <v>45964</v>
      </c>
      <c r="K837" s="5" t="s">
        <v>167</v>
      </c>
      <c r="L837" s="5" t="s">
        <v>168</v>
      </c>
      <c r="M837" s="5" t="s">
        <v>43</v>
      </c>
      <c r="N837" s="5" t="s">
        <v>169</v>
      </c>
      <c r="O837" s="7">
        <v>3542.66</v>
      </c>
      <c r="P837" s="5" t="s">
        <v>45</v>
      </c>
      <c r="Q837" s="7">
        <v>3542.66</v>
      </c>
      <c r="R837" s="5" t="s">
        <v>45</v>
      </c>
      <c r="S837" s="7">
        <v>1042.57</v>
      </c>
      <c r="T837" s="5" t="s">
        <v>46</v>
      </c>
      <c r="U837" s="5" t="s">
        <v>47</v>
      </c>
      <c r="V837" s="5" t="s">
        <v>47</v>
      </c>
      <c r="W837" s="5" t="s">
        <v>47</v>
      </c>
      <c r="X837" s="5" t="s">
        <v>47</v>
      </c>
    </row>
    <row r="838" spans="1:24" x14ac:dyDescent="0.25">
      <c r="A838" s="5" t="s">
        <v>34</v>
      </c>
      <c r="B838" s="5" t="s">
        <v>225</v>
      </c>
      <c r="C838" s="5" t="s">
        <v>226</v>
      </c>
      <c r="D838" s="5" t="s">
        <v>37</v>
      </c>
      <c r="E838" s="5" t="s">
        <v>68</v>
      </c>
      <c r="F838" s="5" t="s">
        <v>69</v>
      </c>
      <c r="G838" s="5" t="s">
        <v>40</v>
      </c>
      <c r="H838" s="6">
        <v>45961</v>
      </c>
      <c r="I838" s="6">
        <v>45961</v>
      </c>
      <c r="J838" s="6">
        <v>45964</v>
      </c>
      <c r="K838" s="5" t="s">
        <v>167</v>
      </c>
      <c r="L838" s="5" t="s">
        <v>168</v>
      </c>
      <c r="M838" s="5" t="s">
        <v>43</v>
      </c>
      <c r="N838" s="5" t="s">
        <v>169</v>
      </c>
      <c r="O838" s="7">
        <v>319.10000000000002</v>
      </c>
      <c r="P838" s="5" t="s">
        <v>45</v>
      </c>
      <c r="Q838" s="7">
        <v>319.10000000000002</v>
      </c>
      <c r="R838" s="5" t="s">
        <v>45</v>
      </c>
      <c r="S838" s="7">
        <v>93.91</v>
      </c>
      <c r="T838" s="5" t="s">
        <v>46</v>
      </c>
      <c r="U838" s="5" t="s">
        <v>47</v>
      </c>
      <c r="V838" s="5" t="s">
        <v>47</v>
      </c>
      <c r="W838" s="5" t="s">
        <v>47</v>
      </c>
      <c r="X838" s="5" t="s">
        <v>47</v>
      </c>
    </row>
    <row r="839" spans="1:24" x14ac:dyDescent="0.25">
      <c r="A839" s="5" t="s">
        <v>34</v>
      </c>
      <c r="B839" s="5" t="s">
        <v>225</v>
      </c>
      <c r="C839" s="5" t="s">
        <v>226</v>
      </c>
      <c r="D839" s="5" t="s">
        <v>37</v>
      </c>
      <c r="E839" s="5" t="s">
        <v>90</v>
      </c>
      <c r="F839" s="5" t="s">
        <v>91</v>
      </c>
      <c r="G839" s="5" t="s">
        <v>40</v>
      </c>
      <c r="H839" s="6">
        <v>45961</v>
      </c>
      <c r="I839" s="6">
        <v>45961</v>
      </c>
      <c r="J839" s="6">
        <v>45964</v>
      </c>
      <c r="K839" s="5" t="s">
        <v>167</v>
      </c>
      <c r="L839" s="5" t="s">
        <v>168</v>
      </c>
      <c r="M839" s="5" t="s">
        <v>43</v>
      </c>
      <c r="N839" s="5" t="s">
        <v>169</v>
      </c>
      <c r="O839" s="7">
        <v>472.42</v>
      </c>
      <c r="P839" s="5" t="s">
        <v>45</v>
      </c>
      <c r="Q839" s="7">
        <v>472.42</v>
      </c>
      <c r="R839" s="5" t="s">
        <v>45</v>
      </c>
      <c r="S839" s="7">
        <v>139.03</v>
      </c>
      <c r="T839" s="5" t="s">
        <v>46</v>
      </c>
      <c r="U839" s="5" t="s">
        <v>47</v>
      </c>
      <c r="V839" s="5" t="s">
        <v>47</v>
      </c>
      <c r="W839" s="5" t="s">
        <v>47</v>
      </c>
      <c r="X839" s="5" t="s">
        <v>47</v>
      </c>
    </row>
    <row r="840" spans="1:24" x14ac:dyDescent="0.25">
      <c r="A840" s="5" t="s">
        <v>34</v>
      </c>
      <c r="B840" s="5" t="s">
        <v>225</v>
      </c>
      <c r="C840" s="5" t="s">
        <v>226</v>
      </c>
      <c r="D840" s="5" t="s">
        <v>37</v>
      </c>
      <c r="E840" s="5" t="s">
        <v>38</v>
      </c>
      <c r="F840" s="5" t="s">
        <v>39</v>
      </c>
      <c r="G840" s="5" t="s">
        <v>40</v>
      </c>
      <c r="H840" s="6">
        <v>45961</v>
      </c>
      <c r="I840" s="6">
        <v>45961</v>
      </c>
      <c r="J840" s="6">
        <v>45964</v>
      </c>
      <c r="K840" s="5" t="s">
        <v>167</v>
      </c>
      <c r="L840" s="5" t="s">
        <v>168</v>
      </c>
      <c r="M840" s="5" t="s">
        <v>43</v>
      </c>
      <c r="N840" s="5" t="s">
        <v>169</v>
      </c>
      <c r="O840" s="7">
        <v>254.37</v>
      </c>
      <c r="P840" s="5" t="s">
        <v>45</v>
      </c>
      <c r="Q840" s="7">
        <v>254.37</v>
      </c>
      <c r="R840" s="5" t="s">
        <v>45</v>
      </c>
      <c r="S840" s="7">
        <v>74.86</v>
      </c>
      <c r="T840" s="5" t="s">
        <v>46</v>
      </c>
      <c r="U840" s="5" t="s">
        <v>47</v>
      </c>
      <c r="V840" s="5" t="s">
        <v>47</v>
      </c>
      <c r="W840" s="5" t="s">
        <v>47</v>
      </c>
      <c r="X840" s="5" t="s">
        <v>47</v>
      </c>
    </row>
    <row r="841" spans="1:24" x14ac:dyDescent="0.25">
      <c r="A841" s="5" t="s">
        <v>34</v>
      </c>
      <c r="B841" s="5" t="s">
        <v>225</v>
      </c>
      <c r="C841" s="5" t="s">
        <v>226</v>
      </c>
      <c r="D841" s="5" t="s">
        <v>37</v>
      </c>
      <c r="E841" s="5" t="s">
        <v>52</v>
      </c>
      <c r="F841" s="5" t="s">
        <v>53</v>
      </c>
      <c r="G841" s="5" t="s">
        <v>40</v>
      </c>
      <c r="H841" s="6">
        <v>45961</v>
      </c>
      <c r="I841" s="6">
        <v>45961</v>
      </c>
      <c r="J841" s="6">
        <v>45964</v>
      </c>
      <c r="K841" s="5" t="s">
        <v>167</v>
      </c>
      <c r="L841" s="5" t="s">
        <v>168</v>
      </c>
      <c r="M841" s="5" t="s">
        <v>43</v>
      </c>
      <c r="N841" s="5" t="s">
        <v>169</v>
      </c>
      <c r="O841" s="7">
        <v>159.36000000000001</v>
      </c>
      <c r="P841" s="5" t="s">
        <v>45</v>
      </c>
      <c r="Q841" s="7">
        <v>159.36000000000001</v>
      </c>
      <c r="R841" s="5" t="s">
        <v>45</v>
      </c>
      <c r="S841" s="7">
        <v>46.9</v>
      </c>
      <c r="T841" s="5" t="s">
        <v>46</v>
      </c>
      <c r="U841" s="5" t="s">
        <v>47</v>
      </c>
      <c r="V841" s="5" t="s">
        <v>47</v>
      </c>
      <c r="W841" s="5" t="s">
        <v>47</v>
      </c>
      <c r="X841" s="5" t="s">
        <v>47</v>
      </c>
    </row>
    <row r="842" spans="1:24" x14ac:dyDescent="0.25">
      <c r="A842" s="5" t="s">
        <v>34</v>
      </c>
      <c r="B842" s="5" t="s">
        <v>225</v>
      </c>
      <c r="C842" s="5" t="s">
        <v>226</v>
      </c>
      <c r="D842" s="5" t="s">
        <v>37</v>
      </c>
      <c r="E842" s="5" t="s">
        <v>88</v>
      </c>
      <c r="F842" s="5" t="s">
        <v>89</v>
      </c>
      <c r="G842" s="5" t="s">
        <v>40</v>
      </c>
      <c r="H842" s="6">
        <v>45961</v>
      </c>
      <c r="I842" s="6">
        <v>45961</v>
      </c>
      <c r="J842" s="6">
        <v>45964</v>
      </c>
      <c r="K842" s="5" t="s">
        <v>167</v>
      </c>
      <c r="L842" s="5" t="s">
        <v>168</v>
      </c>
      <c r="M842" s="5" t="s">
        <v>43</v>
      </c>
      <c r="N842" s="5" t="s">
        <v>169</v>
      </c>
      <c r="O842" s="7">
        <v>359.17</v>
      </c>
      <c r="P842" s="5" t="s">
        <v>45</v>
      </c>
      <c r="Q842" s="7">
        <v>359.17</v>
      </c>
      <c r="R842" s="5" t="s">
        <v>45</v>
      </c>
      <c r="S842" s="7">
        <v>105.7</v>
      </c>
      <c r="T842" s="5" t="s">
        <v>46</v>
      </c>
      <c r="U842" s="5" t="s">
        <v>47</v>
      </c>
      <c r="V842" s="5" t="s">
        <v>47</v>
      </c>
      <c r="W842" s="5" t="s">
        <v>47</v>
      </c>
      <c r="X842" s="5" t="s">
        <v>47</v>
      </c>
    </row>
    <row r="843" spans="1:24" x14ac:dyDescent="0.25">
      <c r="A843" s="5" t="s">
        <v>34</v>
      </c>
      <c r="B843" s="5" t="s">
        <v>225</v>
      </c>
      <c r="C843" s="5" t="s">
        <v>226</v>
      </c>
      <c r="D843" s="5" t="s">
        <v>37</v>
      </c>
      <c r="E843" s="5" t="s">
        <v>78</v>
      </c>
      <c r="F843" s="5" t="s">
        <v>79</v>
      </c>
      <c r="G843" s="5" t="s">
        <v>40</v>
      </c>
      <c r="H843" s="6">
        <v>45961</v>
      </c>
      <c r="I843" s="6">
        <v>45961</v>
      </c>
      <c r="J843" s="6">
        <v>45964</v>
      </c>
      <c r="K843" s="5" t="s">
        <v>167</v>
      </c>
      <c r="L843" s="5" t="s">
        <v>168</v>
      </c>
      <c r="M843" s="5" t="s">
        <v>43</v>
      </c>
      <c r="N843" s="5" t="s">
        <v>169</v>
      </c>
      <c r="O843" s="7">
        <v>232.9</v>
      </c>
      <c r="P843" s="5" t="s">
        <v>45</v>
      </c>
      <c r="Q843" s="7">
        <v>232.9</v>
      </c>
      <c r="R843" s="5" t="s">
        <v>45</v>
      </c>
      <c r="S843" s="7">
        <v>68.540000000000006</v>
      </c>
      <c r="T843" s="5" t="s">
        <v>46</v>
      </c>
      <c r="U843" s="5" t="s">
        <v>47</v>
      </c>
      <c r="V843" s="5" t="s">
        <v>47</v>
      </c>
      <c r="W843" s="5" t="s">
        <v>47</v>
      </c>
      <c r="X843" s="5" t="s">
        <v>47</v>
      </c>
    </row>
    <row r="844" spans="1:24" x14ac:dyDescent="0.25">
      <c r="A844" s="5" t="s">
        <v>34</v>
      </c>
      <c r="B844" s="5" t="s">
        <v>225</v>
      </c>
      <c r="C844" s="5" t="s">
        <v>226</v>
      </c>
      <c r="D844" s="5" t="s">
        <v>37</v>
      </c>
      <c r="E844" s="5" t="s">
        <v>74</v>
      </c>
      <c r="F844" s="5" t="s">
        <v>75</v>
      </c>
      <c r="G844" s="5" t="s">
        <v>40</v>
      </c>
      <c r="H844" s="6">
        <v>45961</v>
      </c>
      <c r="I844" s="6">
        <v>45961</v>
      </c>
      <c r="J844" s="6">
        <v>45964</v>
      </c>
      <c r="K844" s="5" t="s">
        <v>167</v>
      </c>
      <c r="L844" s="5" t="s">
        <v>168</v>
      </c>
      <c r="M844" s="5" t="s">
        <v>43</v>
      </c>
      <c r="N844" s="5" t="s">
        <v>169</v>
      </c>
      <c r="O844" s="7">
        <v>1831.21</v>
      </c>
      <c r="P844" s="5" t="s">
        <v>45</v>
      </c>
      <c r="Q844" s="7">
        <v>1831.21</v>
      </c>
      <c r="R844" s="5" t="s">
        <v>45</v>
      </c>
      <c r="S844" s="7">
        <v>538.91</v>
      </c>
      <c r="T844" s="5" t="s">
        <v>46</v>
      </c>
      <c r="U844" s="5" t="s">
        <v>47</v>
      </c>
      <c r="V844" s="5" t="s">
        <v>47</v>
      </c>
      <c r="W844" s="5" t="s">
        <v>47</v>
      </c>
      <c r="X844" s="5" t="s">
        <v>47</v>
      </c>
    </row>
    <row r="845" spans="1:24" x14ac:dyDescent="0.25">
      <c r="A845" s="5" t="s">
        <v>34</v>
      </c>
      <c r="B845" s="5" t="s">
        <v>225</v>
      </c>
      <c r="C845" s="5" t="s">
        <v>226</v>
      </c>
      <c r="D845" s="5" t="s">
        <v>37</v>
      </c>
      <c r="E845" s="5" t="s">
        <v>64</v>
      </c>
      <c r="F845" s="5" t="s">
        <v>65</v>
      </c>
      <c r="G845" s="5" t="s">
        <v>40</v>
      </c>
      <c r="H845" s="6">
        <v>45961</v>
      </c>
      <c r="I845" s="6">
        <v>45961</v>
      </c>
      <c r="J845" s="6">
        <v>45964</v>
      </c>
      <c r="K845" s="5" t="s">
        <v>167</v>
      </c>
      <c r="L845" s="5" t="s">
        <v>168</v>
      </c>
      <c r="M845" s="5" t="s">
        <v>43</v>
      </c>
      <c r="N845" s="5" t="s">
        <v>169</v>
      </c>
      <c r="O845" s="7">
        <v>228.73</v>
      </c>
      <c r="P845" s="5" t="s">
        <v>45</v>
      </c>
      <c r="Q845" s="7">
        <v>228.73</v>
      </c>
      <c r="R845" s="5" t="s">
        <v>45</v>
      </c>
      <c r="S845" s="7">
        <v>67.31</v>
      </c>
      <c r="T845" s="5" t="s">
        <v>46</v>
      </c>
      <c r="U845" s="5" t="s">
        <v>47</v>
      </c>
      <c r="V845" s="5" t="s">
        <v>47</v>
      </c>
      <c r="W845" s="5" t="s">
        <v>47</v>
      </c>
      <c r="X845" s="5" t="s">
        <v>47</v>
      </c>
    </row>
    <row r="846" spans="1:24" x14ac:dyDescent="0.25">
      <c r="A846" s="5" t="s">
        <v>34</v>
      </c>
      <c r="B846" s="5" t="s">
        <v>225</v>
      </c>
      <c r="C846" s="5" t="s">
        <v>226</v>
      </c>
      <c r="D846" s="5" t="s">
        <v>37</v>
      </c>
      <c r="E846" s="5" t="s">
        <v>84</v>
      </c>
      <c r="F846" s="5" t="s">
        <v>85</v>
      </c>
      <c r="G846" s="5" t="s">
        <v>40</v>
      </c>
      <c r="H846" s="6">
        <v>45961</v>
      </c>
      <c r="I846" s="6">
        <v>45961</v>
      </c>
      <c r="J846" s="6">
        <v>45964</v>
      </c>
      <c r="K846" s="5" t="s">
        <v>167</v>
      </c>
      <c r="L846" s="5" t="s">
        <v>168</v>
      </c>
      <c r="M846" s="5" t="s">
        <v>43</v>
      </c>
      <c r="N846" s="5" t="s">
        <v>169</v>
      </c>
      <c r="O846" s="7">
        <v>1502.36</v>
      </c>
      <c r="P846" s="5" t="s">
        <v>45</v>
      </c>
      <c r="Q846" s="7">
        <v>1502.36</v>
      </c>
      <c r="R846" s="5" t="s">
        <v>45</v>
      </c>
      <c r="S846" s="7">
        <v>442.13</v>
      </c>
      <c r="T846" s="5" t="s">
        <v>46</v>
      </c>
      <c r="U846" s="5" t="s">
        <v>47</v>
      </c>
      <c r="V846" s="5" t="s">
        <v>47</v>
      </c>
      <c r="W846" s="5" t="s">
        <v>47</v>
      </c>
      <c r="X846" s="5" t="s">
        <v>47</v>
      </c>
    </row>
    <row r="847" spans="1:24" x14ac:dyDescent="0.25">
      <c r="A847" s="5" t="s">
        <v>34</v>
      </c>
      <c r="B847" s="5" t="s">
        <v>225</v>
      </c>
      <c r="C847" s="5" t="s">
        <v>226</v>
      </c>
      <c r="D847" s="5" t="s">
        <v>37</v>
      </c>
      <c r="E847" s="5" t="s">
        <v>62</v>
      </c>
      <c r="F847" s="5" t="s">
        <v>63</v>
      </c>
      <c r="G847" s="5" t="s">
        <v>40</v>
      </c>
      <c r="H847" s="6">
        <v>45961</v>
      </c>
      <c r="I847" s="6">
        <v>45961</v>
      </c>
      <c r="J847" s="6">
        <v>45964</v>
      </c>
      <c r="K847" s="5" t="s">
        <v>167</v>
      </c>
      <c r="L847" s="5" t="s">
        <v>168</v>
      </c>
      <c r="M847" s="5" t="s">
        <v>43</v>
      </c>
      <c r="N847" s="5" t="s">
        <v>169</v>
      </c>
      <c r="O847" s="7">
        <v>314.68</v>
      </c>
      <c r="P847" s="5" t="s">
        <v>45</v>
      </c>
      <c r="Q847" s="7">
        <v>314.68</v>
      </c>
      <c r="R847" s="5" t="s">
        <v>45</v>
      </c>
      <c r="S847" s="7">
        <v>92.61</v>
      </c>
      <c r="T847" s="5" t="s">
        <v>46</v>
      </c>
      <c r="U847" s="5" t="s">
        <v>47</v>
      </c>
      <c r="V847" s="5" t="s">
        <v>47</v>
      </c>
      <c r="W847" s="5" t="s">
        <v>47</v>
      </c>
      <c r="X847" s="5" t="s">
        <v>47</v>
      </c>
    </row>
    <row r="848" spans="1:24" x14ac:dyDescent="0.25">
      <c r="A848" s="5" t="s">
        <v>34</v>
      </c>
      <c r="B848" s="5" t="s">
        <v>225</v>
      </c>
      <c r="C848" s="5" t="s">
        <v>226</v>
      </c>
      <c r="D848" s="5" t="s">
        <v>37</v>
      </c>
      <c r="E848" s="5" t="s">
        <v>86</v>
      </c>
      <c r="F848" s="5" t="s">
        <v>87</v>
      </c>
      <c r="G848" s="5" t="s">
        <v>40</v>
      </c>
      <c r="H848" s="6">
        <v>45961</v>
      </c>
      <c r="I848" s="6">
        <v>45961</v>
      </c>
      <c r="J848" s="6">
        <v>45964</v>
      </c>
      <c r="K848" s="5" t="s">
        <v>167</v>
      </c>
      <c r="L848" s="5" t="s">
        <v>168</v>
      </c>
      <c r="M848" s="5" t="s">
        <v>43</v>
      </c>
      <c r="N848" s="5" t="s">
        <v>169</v>
      </c>
      <c r="O848" s="7">
        <v>644.91999999999996</v>
      </c>
      <c r="P848" s="5" t="s">
        <v>45</v>
      </c>
      <c r="Q848" s="7">
        <v>644.91999999999996</v>
      </c>
      <c r="R848" s="5" t="s">
        <v>45</v>
      </c>
      <c r="S848" s="7">
        <v>189.79</v>
      </c>
      <c r="T848" s="5" t="s">
        <v>46</v>
      </c>
      <c r="U848" s="5" t="s">
        <v>47</v>
      </c>
      <c r="V848" s="5" t="s">
        <v>47</v>
      </c>
      <c r="W848" s="5" t="s">
        <v>47</v>
      </c>
      <c r="X848" s="5" t="s">
        <v>47</v>
      </c>
    </row>
    <row r="849" spans="1:24" x14ac:dyDescent="0.25">
      <c r="A849" s="5" t="s">
        <v>34</v>
      </c>
      <c r="B849" s="5" t="s">
        <v>225</v>
      </c>
      <c r="C849" s="5" t="s">
        <v>226</v>
      </c>
      <c r="D849" s="5" t="s">
        <v>37</v>
      </c>
      <c r="E849" s="5" t="s">
        <v>48</v>
      </c>
      <c r="F849" s="5" t="s">
        <v>49</v>
      </c>
      <c r="G849" s="5" t="s">
        <v>40</v>
      </c>
      <c r="H849" s="6">
        <v>45961</v>
      </c>
      <c r="I849" s="6">
        <v>45961</v>
      </c>
      <c r="J849" s="6">
        <v>45964</v>
      </c>
      <c r="K849" s="5" t="s">
        <v>167</v>
      </c>
      <c r="L849" s="5" t="s">
        <v>168</v>
      </c>
      <c r="M849" s="5" t="s">
        <v>43</v>
      </c>
      <c r="N849" s="5" t="s">
        <v>169</v>
      </c>
      <c r="O849" s="7">
        <v>624.28</v>
      </c>
      <c r="P849" s="5" t="s">
        <v>45</v>
      </c>
      <c r="Q849" s="7">
        <v>624.28</v>
      </c>
      <c r="R849" s="5" t="s">
        <v>45</v>
      </c>
      <c r="S849" s="7">
        <v>183.72</v>
      </c>
      <c r="T849" s="5" t="s">
        <v>46</v>
      </c>
      <c r="U849" s="5" t="s">
        <v>47</v>
      </c>
      <c r="V849" s="5" t="s">
        <v>47</v>
      </c>
      <c r="W849" s="5" t="s">
        <v>47</v>
      </c>
      <c r="X849" s="5" t="s">
        <v>47</v>
      </c>
    </row>
    <row r="850" spans="1:24" x14ac:dyDescent="0.25">
      <c r="A850" s="5" t="s">
        <v>34</v>
      </c>
      <c r="B850" s="5" t="s">
        <v>225</v>
      </c>
      <c r="C850" s="5" t="s">
        <v>226</v>
      </c>
      <c r="D850" s="5" t="s">
        <v>37</v>
      </c>
      <c r="E850" s="5" t="s">
        <v>98</v>
      </c>
      <c r="F850" s="5" t="s">
        <v>99</v>
      </c>
      <c r="G850" s="5" t="s">
        <v>40</v>
      </c>
      <c r="H850" s="6">
        <v>45961</v>
      </c>
      <c r="I850" s="6">
        <v>45961</v>
      </c>
      <c r="J850" s="6">
        <v>45964</v>
      </c>
      <c r="K850" s="5" t="s">
        <v>167</v>
      </c>
      <c r="L850" s="5" t="s">
        <v>168</v>
      </c>
      <c r="M850" s="5" t="s">
        <v>43</v>
      </c>
      <c r="N850" s="5" t="s">
        <v>169</v>
      </c>
      <c r="O850" s="7">
        <v>1570.53</v>
      </c>
      <c r="P850" s="5" t="s">
        <v>45</v>
      </c>
      <c r="Q850" s="7">
        <v>1570.53</v>
      </c>
      <c r="R850" s="5" t="s">
        <v>45</v>
      </c>
      <c r="S850" s="7">
        <v>462.19</v>
      </c>
      <c r="T850" s="5" t="s">
        <v>46</v>
      </c>
      <c r="U850" s="5" t="s">
        <v>47</v>
      </c>
      <c r="V850" s="5" t="s">
        <v>47</v>
      </c>
      <c r="W850" s="5" t="s">
        <v>47</v>
      </c>
      <c r="X850" s="5" t="s">
        <v>47</v>
      </c>
    </row>
    <row r="851" spans="1:24" x14ac:dyDescent="0.25">
      <c r="A851" s="5" t="s">
        <v>34</v>
      </c>
      <c r="B851" s="5" t="s">
        <v>225</v>
      </c>
      <c r="C851" s="5" t="s">
        <v>226</v>
      </c>
      <c r="D851" s="5" t="s">
        <v>37</v>
      </c>
      <c r="E851" s="5" t="s">
        <v>106</v>
      </c>
      <c r="F851" s="5" t="s">
        <v>107</v>
      </c>
      <c r="G851" s="5" t="s">
        <v>40</v>
      </c>
      <c r="H851" s="6">
        <v>45961</v>
      </c>
      <c r="I851" s="6">
        <v>45961</v>
      </c>
      <c r="J851" s="6">
        <v>45964</v>
      </c>
      <c r="K851" s="5" t="s">
        <v>167</v>
      </c>
      <c r="L851" s="5" t="s">
        <v>168</v>
      </c>
      <c r="M851" s="5" t="s">
        <v>43</v>
      </c>
      <c r="N851" s="5" t="s">
        <v>169</v>
      </c>
      <c r="O851" s="7">
        <v>547.36</v>
      </c>
      <c r="P851" s="5" t="s">
        <v>45</v>
      </c>
      <c r="Q851" s="7">
        <v>547.36</v>
      </c>
      <c r="R851" s="5" t="s">
        <v>45</v>
      </c>
      <c r="S851" s="7">
        <v>161.08000000000001</v>
      </c>
      <c r="T851" s="5" t="s">
        <v>46</v>
      </c>
      <c r="U851" s="5" t="s">
        <v>47</v>
      </c>
      <c r="V851" s="5" t="s">
        <v>47</v>
      </c>
      <c r="W851" s="5" t="s">
        <v>47</v>
      </c>
      <c r="X851" s="5" t="s">
        <v>47</v>
      </c>
    </row>
    <row r="852" spans="1:24" x14ac:dyDescent="0.25">
      <c r="A852" s="5" t="s">
        <v>34</v>
      </c>
      <c r="B852" s="5" t="s">
        <v>225</v>
      </c>
      <c r="C852" s="5" t="s">
        <v>226</v>
      </c>
      <c r="D852" s="5" t="s">
        <v>37</v>
      </c>
      <c r="E852" s="5" t="s">
        <v>110</v>
      </c>
      <c r="F852" s="5" t="s">
        <v>111</v>
      </c>
      <c r="G852" s="5" t="s">
        <v>40</v>
      </c>
      <c r="H852" s="6">
        <v>45961</v>
      </c>
      <c r="I852" s="6">
        <v>45961</v>
      </c>
      <c r="J852" s="6">
        <v>45964</v>
      </c>
      <c r="K852" s="5" t="s">
        <v>167</v>
      </c>
      <c r="L852" s="5" t="s">
        <v>168</v>
      </c>
      <c r="M852" s="5" t="s">
        <v>43</v>
      </c>
      <c r="N852" s="5" t="s">
        <v>169</v>
      </c>
      <c r="O852" s="7">
        <v>573.94000000000005</v>
      </c>
      <c r="P852" s="5" t="s">
        <v>45</v>
      </c>
      <c r="Q852" s="7">
        <v>573.94000000000005</v>
      </c>
      <c r="R852" s="5" t="s">
        <v>45</v>
      </c>
      <c r="S852" s="7">
        <v>168.91</v>
      </c>
      <c r="T852" s="5" t="s">
        <v>46</v>
      </c>
      <c r="U852" s="5" t="s">
        <v>47</v>
      </c>
      <c r="V852" s="5" t="s">
        <v>47</v>
      </c>
      <c r="W852" s="5" t="s">
        <v>47</v>
      </c>
      <c r="X852" s="5" t="s">
        <v>47</v>
      </c>
    </row>
    <row r="853" spans="1:24" x14ac:dyDescent="0.25">
      <c r="A853" s="5" t="s">
        <v>34</v>
      </c>
      <c r="B853" s="5" t="s">
        <v>225</v>
      </c>
      <c r="C853" s="5" t="s">
        <v>226</v>
      </c>
      <c r="D853" s="5" t="s">
        <v>37</v>
      </c>
      <c r="E853" s="5" t="s">
        <v>56</v>
      </c>
      <c r="F853" s="5" t="s">
        <v>57</v>
      </c>
      <c r="G853" s="5" t="s">
        <v>40</v>
      </c>
      <c r="H853" s="6">
        <v>45961</v>
      </c>
      <c r="I853" s="6">
        <v>45961</v>
      </c>
      <c r="J853" s="6">
        <v>45964</v>
      </c>
      <c r="K853" s="5" t="s">
        <v>167</v>
      </c>
      <c r="L853" s="5" t="s">
        <v>168</v>
      </c>
      <c r="M853" s="5" t="s">
        <v>43</v>
      </c>
      <c r="N853" s="5" t="s">
        <v>169</v>
      </c>
      <c r="O853" s="7">
        <v>2913.71</v>
      </c>
      <c r="P853" s="5" t="s">
        <v>45</v>
      </c>
      <c r="Q853" s="7">
        <v>2913.71</v>
      </c>
      <c r="R853" s="5" t="s">
        <v>45</v>
      </c>
      <c r="S853" s="7">
        <v>857.48</v>
      </c>
      <c r="T853" s="5" t="s">
        <v>46</v>
      </c>
      <c r="U853" s="5" t="s">
        <v>47</v>
      </c>
      <c r="V853" s="5" t="s">
        <v>47</v>
      </c>
      <c r="W853" s="5" t="s">
        <v>47</v>
      </c>
      <c r="X853" s="5" t="s">
        <v>47</v>
      </c>
    </row>
    <row r="854" spans="1:24" x14ac:dyDescent="0.25">
      <c r="A854" s="5" t="s">
        <v>34</v>
      </c>
      <c r="B854" s="5" t="s">
        <v>225</v>
      </c>
      <c r="C854" s="5" t="s">
        <v>226</v>
      </c>
      <c r="D854" s="5" t="s">
        <v>37</v>
      </c>
      <c r="E854" s="5" t="s">
        <v>104</v>
      </c>
      <c r="F854" s="5" t="s">
        <v>105</v>
      </c>
      <c r="G854" s="5" t="s">
        <v>40</v>
      </c>
      <c r="H854" s="6">
        <v>45961</v>
      </c>
      <c r="I854" s="6">
        <v>45961</v>
      </c>
      <c r="J854" s="6">
        <v>45964</v>
      </c>
      <c r="K854" s="5" t="s">
        <v>167</v>
      </c>
      <c r="L854" s="5" t="s">
        <v>168</v>
      </c>
      <c r="M854" s="5" t="s">
        <v>43</v>
      </c>
      <c r="N854" s="5" t="s">
        <v>169</v>
      </c>
      <c r="O854" s="7">
        <v>1510.05</v>
      </c>
      <c r="P854" s="5" t="s">
        <v>45</v>
      </c>
      <c r="Q854" s="7">
        <v>1510.05</v>
      </c>
      <c r="R854" s="5" t="s">
        <v>45</v>
      </c>
      <c r="S854" s="7">
        <v>444.39</v>
      </c>
      <c r="T854" s="5" t="s">
        <v>46</v>
      </c>
      <c r="U854" s="5" t="s">
        <v>47</v>
      </c>
      <c r="V854" s="5" t="s">
        <v>47</v>
      </c>
      <c r="W854" s="5" t="s">
        <v>47</v>
      </c>
      <c r="X854" s="5" t="s">
        <v>47</v>
      </c>
    </row>
    <row r="855" spans="1:24" x14ac:dyDescent="0.25">
      <c r="A855" s="5" t="s">
        <v>34</v>
      </c>
      <c r="B855" s="5" t="s">
        <v>225</v>
      </c>
      <c r="C855" s="5" t="s">
        <v>226</v>
      </c>
      <c r="D855" s="5" t="s">
        <v>37</v>
      </c>
      <c r="E855" s="5" t="s">
        <v>102</v>
      </c>
      <c r="F855" s="5" t="s">
        <v>103</v>
      </c>
      <c r="G855" s="5" t="s">
        <v>40</v>
      </c>
      <c r="H855" s="6">
        <v>45961</v>
      </c>
      <c r="I855" s="6">
        <v>45961</v>
      </c>
      <c r="J855" s="6">
        <v>45964</v>
      </c>
      <c r="K855" s="5" t="s">
        <v>167</v>
      </c>
      <c r="L855" s="5" t="s">
        <v>168</v>
      </c>
      <c r="M855" s="5" t="s">
        <v>43</v>
      </c>
      <c r="N855" s="5" t="s">
        <v>169</v>
      </c>
      <c r="O855" s="7">
        <v>810.16</v>
      </c>
      <c r="P855" s="5" t="s">
        <v>45</v>
      </c>
      <c r="Q855" s="7">
        <v>810.16</v>
      </c>
      <c r="R855" s="5" t="s">
        <v>45</v>
      </c>
      <c r="S855" s="7">
        <v>238.42</v>
      </c>
      <c r="T855" s="5" t="s">
        <v>46</v>
      </c>
      <c r="U855" s="5" t="s">
        <v>47</v>
      </c>
      <c r="V855" s="5" t="s">
        <v>47</v>
      </c>
      <c r="W855" s="5" t="s">
        <v>47</v>
      </c>
      <c r="X855" s="5" t="s">
        <v>47</v>
      </c>
    </row>
    <row r="856" spans="1:24" x14ac:dyDescent="0.25">
      <c r="A856" s="5" t="s">
        <v>34</v>
      </c>
      <c r="B856" s="5" t="s">
        <v>225</v>
      </c>
      <c r="C856" s="5" t="s">
        <v>226</v>
      </c>
      <c r="D856" s="5" t="s">
        <v>37</v>
      </c>
      <c r="E856" s="5" t="s">
        <v>118</v>
      </c>
      <c r="F856" s="5" t="s">
        <v>119</v>
      </c>
      <c r="G856" s="5" t="s">
        <v>40</v>
      </c>
      <c r="H856" s="6">
        <v>45961</v>
      </c>
      <c r="I856" s="6">
        <v>45961</v>
      </c>
      <c r="J856" s="6">
        <v>45964</v>
      </c>
      <c r="K856" s="5" t="s">
        <v>167</v>
      </c>
      <c r="L856" s="5" t="s">
        <v>168</v>
      </c>
      <c r="M856" s="5" t="s">
        <v>43</v>
      </c>
      <c r="N856" s="5" t="s">
        <v>169</v>
      </c>
      <c r="O856" s="7">
        <v>248.49</v>
      </c>
      <c r="P856" s="5" t="s">
        <v>45</v>
      </c>
      <c r="Q856" s="7">
        <v>248.49</v>
      </c>
      <c r="R856" s="5" t="s">
        <v>45</v>
      </c>
      <c r="S856" s="7">
        <v>73.13</v>
      </c>
      <c r="T856" s="5" t="s">
        <v>46</v>
      </c>
      <c r="U856" s="5" t="s">
        <v>47</v>
      </c>
      <c r="V856" s="5" t="s">
        <v>47</v>
      </c>
      <c r="W856" s="5" t="s">
        <v>47</v>
      </c>
      <c r="X856" s="5" t="s">
        <v>47</v>
      </c>
    </row>
    <row r="857" spans="1:24" x14ac:dyDescent="0.25">
      <c r="A857" s="5" t="s">
        <v>34</v>
      </c>
      <c r="B857" s="5" t="s">
        <v>225</v>
      </c>
      <c r="C857" s="5" t="s">
        <v>226</v>
      </c>
      <c r="D857" s="5" t="s">
        <v>37</v>
      </c>
      <c r="E857" s="5" t="s">
        <v>70</v>
      </c>
      <c r="F857" s="5" t="s">
        <v>71</v>
      </c>
      <c r="G857" s="5" t="s">
        <v>40</v>
      </c>
      <c r="H857" s="6">
        <v>45961</v>
      </c>
      <c r="I857" s="6">
        <v>45961</v>
      </c>
      <c r="J857" s="6">
        <v>45964</v>
      </c>
      <c r="K857" s="5" t="s">
        <v>167</v>
      </c>
      <c r="L857" s="5" t="s">
        <v>168</v>
      </c>
      <c r="M857" s="5" t="s">
        <v>43</v>
      </c>
      <c r="N857" s="5" t="s">
        <v>169</v>
      </c>
      <c r="O857" s="7">
        <v>586.73</v>
      </c>
      <c r="P857" s="5" t="s">
        <v>45</v>
      </c>
      <c r="Q857" s="7">
        <v>586.73</v>
      </c>
      <c r="R857" s="5" t="s">
        <v>45</v>
      </c>
      <c r="S857" s="7">
        <v>172.67</v>
      </c>
      <c r="T857" s="5" t="s">
        <v>46</v>
      </c>
      <c r="U857" s="5" t="s">
        <v>47</v>
      </c>
      <c r="V857" s="5" t="s">
        <v>47</v>
      </c>
      <c r="W857" s="5" t="s">
        <v>47</v>
      </c>
      <c r="X857" s="5" t="s">
        <v>47</v>
      </c>
    </row>
    <row r="858" spans="1:24" x14ac:dyDescent="0.25">
      <c r="A858" s="5" t="s">
        <v>34</v>
      </c>
      <c r="B858" s="5" t="s">
        <v>225</v>
      </c>
      <c r="C858" s="5" t="s">
        <v>226</v>
      </c>
      <c r="D858" s="5" t="s">
        <v>37</v>
      </c>
      <c r="E858" s="5" t="s">
        <v>116</v>
      </c>
      <c r="F858" s="5" t="s">
        <v>117</v>
      </c>
      <c r="G858" s="5" t="s">
        <v>40</v>
      </c>
      <c r="H858" s="6">
        <v>45961</v>
      </c>
      <c r="I858" s="6">
        <v>45961</v>
      </c>
      <c r="J858" s="6">
        <v>45964</v>
      </c>
      <c r="K858" s="5" t="s">
        <v>167</v>
      </c>
      <c r="L858" s="5" t="s">
        <v>168</v>
      </c>
      <c r="M858" s="5" t="s">
        <v>43</v>
      </c>
      <c r="N858" s="5" t="s">
        <v>169</v>
      </c>
      <c r="O858" s="7">
        <v>635.36</v>
      </c>
      <c r="P858" s="5" t="s">
        <v>45</v>
      </c>
      <c r="Q858" s="7">
        <v>635.36</v>
      </c>
      <c r="R858" s="5" t="s">
        <v>45</v>
      </c>
      <c r="S858" s="7">
        <v>186.98</v>
      </c>
      <c r="T858" s="5" t="s">
        <v>46</v>
      </c>
      <c r="U858" s="5" t="s">
        <v>47</v>
      </c>
      <c r="V858" s="5" t="s">
        <v>47</v>
      </c>
      <c r="W858" s="5" t="s">
        <v>47</v>
      </c>
      <c r="X858" s="5" t="s">
        <v>47</v>
      </c>
    </row>
    <row r="859" spans="1:24" x14ac:dyDescent="0.25">
      <c r="A859" s="5" t="s">
        <v>34</v>
      </c>
      <c r="B859" s="5" t="s">
        <v>225</v>
      </c>
      <c r="C859" s="5" t="s">
        <v>226</v>
      </c>
      <c r="D859" s="5" t="s">
        <v>37</v>
      </c>
      <c r="E859" s="5" t="s">
        <v>66</v>
      </c>
      <c r="F859" s="5" t="s">
        <v>67</v>
      </c>
      <c r="G859" s="5" t="s">
        <v>40</v>
      </c>
      <c r="H859" s="6">
        <v>45961</v>
      </c>
      <c r="I859" s="6">
        <v>45961</v>
      </c>
      <c r="J859" s="6">
        <v>45964</v>
      </c>
      <c r="K859" s="5" t="s">
        <v>167</v>
      </c>
      <c r="L859" s="5" t="s">
        <v>168</v>
      </c>
      <c r="M859" s="5" t="s">
        <v>43</v>
      </c>
      <c r="N859" s="5" t="s">
        <v>169</v>
      </c>
      <c r="O859" s="7">
        <v>1576.03</v>
      </c>
      <c r="P859" s="5" t="s">
        <v>45</v>
      </c>
      <c r="Q859" s="7">
        <v>1576.03</v>
      </c>
      <c r="R859" s="5" t="s">
        <v>45</v>
      </c>
      <c r="S859" s="7">
        <v>463.81</v>
      </c>
      <c r="T859" s="5" t="s">
        <v>46</v>
      </c>
      <c r="U859" s="5" t="s">
        <v>47</v>
      </c>
      <c r="V859" s="5" t="s">
        <v>47</v>
      </c>
      <c r="W859" s="5" t="s">
        <v>47</v>
      </c>
      <c r="X859" s="5" t="s">
        <v>47</v>
      </c>
    </row>
    <row r="860" spans="1:24" x14ac:dyDescent="0.25">
      <c r="A860" s="5" t="s">
        <v>34</v>
      </c>
      <c r="B860" s="5" t="s">
        <v>225</v>
      </c>
      <c r="C860" s="5" t="s">
        <v>226</v>
      </c>
      <c r="D860" s="5" t="s">
        <v>37</v>
      </c>
      <c r="E860" s="5" t="s">
        <v>108</v>
      </c>
      <c r="F860" s="5" t="s">
        <v>109</v>
      </c>
      <c r="G860" s="5" t="s">
        <v>40</v>
      </c>
      <c r="H860" s="6">
        <v>45961</v>
      </c>
      <c r="I860" s="6">
        <v>45961</v>
      </c>
      <c r="J860" s="6">
        <v>45964</v>
      </c>
      <c r="K860" s="5" t="s">
        <v>167</v>
      </c>
      <c r="L860" s="5" t="s">
        <v>168</v>
      </c>
      <c r="M860" s="5" t="s">
        <v>43</v>
      </c>
      <c r="N860" s="5" t="s">
        <v>169</v>
      </c>
      <c r="O860" s="7">
        <v>576.62</v>
      </c>
      <c r="P860" s="5" t="s">
        <v>45</v>
      </c>
      <c r="Q860" s="7">
        <v>576.62</v>
      </c>
      <c r="R860" s="5" t="s">
        <v>45</v>
      </c>
      <c r="S860" s="7">
        <v>169.69</v>
      </c>
      <c r="T860" s="5" t="s">
        <v>46</v>
      </c>
      <c r="U860" s="5" t="s">
        <v>47</v>
      </c>
      <c r="V860" s="5" t="s">
        <v>47</v>
      </c>
      <c r="W860" s="5" t="s">
        <v>47</v>
      </c>
      <c r="X860" s="5" t="s">
        <v>47</v>
      </c>
    </row>
    <row r="861" spans="1:24" x14ac:dyDescent="0.25">
      <c r="A861" s="5" t="s">
        <v>34</v>
      </c>
      <c r="B861" s="5" t="s">
        <v>225</v>
      </c>
      <c r="C861" s="5" t="s">
        <v>226</v>
      </c>
      <c r="D861" s="5" t="s">
        <v>37</v>
      </c>
      <c r="E861" s="5" t="s">
        <v>92</v>
      </c>
      <c r="F861" s="5" t="s">
        <v>93</v>
      </c>
      <c r="G861" s="5" t="s">
        <v>40</v>
      </c>
      <c r="H861" s="6">
        <v>45961</v>
      </c>
      <c r="I861" s="6">
        <v>45961</v>
      </c>
      <c r="J861" s="6">
        <v>45964</v>
      </c>
      <c r="K861" s="5" t="s">
        <v>167</v>
      </c>
      <c r="L861" s="5" t="s">
        <v>168</v>
      </c>
      <c r="M861" s="5" t="s">
        <v>43</v>
      </c>
      <c r="N861" s="5" t="s">
        <v>169</v>
      </c>
      <c r="O861" s="7">
        <v>593.04999999999995</v>
      </c>
      <c r="P861" s="5" t="s">
        <v>45</v>
      </c>
      <c r="Q861" s="7">
        <v>593.04999999999995</v>
      </c>
      <c r="R861" s="5" t="s">
        <v>45</v>
      </c>
      <c r="S861" s="7">
        <v>174.53</v>
      </c>
      <c r="T861" s="5" t="s">
        <v>46</v>
      </c>
      <c r="U861" s="5" t="s">
        <v>47</v>
      </c>
      <c r="V861" s="5" t="s">
        <v>47</v>
      </c>
      <c r="W861" s="5" t="s">
        <v>47</v>
      </c>
      <c r="X861" s="5" t="s">
        <v>47</v>
      </c>
    </row>
    <row r="862" spans="1:24" x14ac:dyDescent="0.25">
      <c r="A862" s="5" t="s">
        <v>34</v>
      </c>
      <c r="B862" s="5" t="s">
        <v>225</v>
      </c>
      <c r="C862" s="5" t="s">
        <v>226</v>
      </c>
      <c r="D862" s="5" t="s">
        <v>37</v>
      </c>
      <c r="E862" s="5" t="s">
        <v>50</v>
      </c>
      <c r="F862" s="5" t="s">
        <v>51</v>
      </c>
      <c r="G862" s="5" t="s">
        <v>40</v>
      </c>
      <c r="H862" s="6">
        <v>45961</v>
      </c>
      <c r="I862" s="6">
        <v>45961</v>
      </c>
      <c r="J862" s="6">
        <v>45964</v>
      </c>
      <c r="K862" s="5" t="s">
        <v>167</v>
      </c>
      <c r="L862" s="5" t="s">
        <v>168</v>
      </c>
      <c r="M862" s="5" t="s">
        <v>43</v>
      </c>
      <c r="N862" s="5" t="s">
        <v>169</v>
      </c>
      <c r="O862" s="7">
        <v>536.88</v>
      </c>
      <c r="P862" s="5" t="s">
        <v>45</v>
      </c>
      <c r="Q862" s="7">
        <v>536.88</v>
      </c>
      <c r="R862" s="5" t="s">
        <v>45</v>
      </c>
      <c r="S862" s="7">
        <v>158</v>
      </c>
      <c r="T862" s="5" t="s">
        <v>46</v>
      </c>
      <c r="U862" s="5" t="s">
        <v>47</v>
      </c>
      <c r="V862" s="5" t="s">
        <v>47</v>
      </c>
      <c r="W862" s="5" t="s">
        <v>47</v>
      </c>
      <c r="X862" s="5" t="s">
        <v>47</v>
      </c>
    </row>
    <row r="863" spans="1:24" x14ac:dyDescent="0.25">
      <c r="A863" s="5" t="s">
        <v>34</v>
      </c>
      <c r="B863" s="5" t="s">
        <v>225</v>
      </c>
      <c r="C863" s="5" t="s">
        <v>226</v>
      </c>
      <c r="D863" s="5" t="s">
        <v>37</v>
      </c>
      <c r="E863" s="5" t="s">
        <v>122</v>
      </c>
      <c r="F863" s="5" t="s">
        <v>123</v>
      </c>
      <c r="G863" s="5" t="s">
        <v>40</v>
      </c>
      <c r="H863" s="6">
        <v>45961</v>
      </c>
      <c r="I863" s="6">
        <v>45961</v>
      </c>
      <c r="J863" s="6">
        <v>45964</v>
      </c>
      <c r="K863" s="5" t="s">
        <v>167</v>
      </c>
      <c r="L863" s="5" t="s">
        <v>168</v>
      </c>
      <c r="M863" s="5" t="s">
        <v>43</v>
      </c>
      <c r="N863" s="5" t="s">
        <v>169</v>
      </c>
      <c r="O863" s="7">
        <v>298.89</v>
      </c>
      <c r="P863" s="5" t="s">
        <v>45</v>
      </c>
      <c r="Q863" s="7">
        <v>298.89</v>
      </c>
      <c r="R863" s="5" t="s">
        <v>45</v>
      </c>
      <c r="S863" s="7">
        <v>87.96</v>
      </c>
      <c r="T863" s="5" t="s">
        <v>46</v>
      </c>
      <c r="U863" s="5" t="s">
        <v>47</v>
      </c>
      <c r="V863" s="5" t="s">
        <v>47</v>
      </c>
      <c r="W863" s="5" t="s">
        <v>47</v>
      </c>
      <c r="X863" s="5" t="s">
        <v>47</v>
      </c>
    </row>
    <row r="864" spans="1:24" x14ac:dyDescent="0.25">
      <c r="A864" s="5" t="s">
        <v>34</v>
      </c>
      <c r="B864" s="5" t="s">
        <v>227</v>
      </c>
      <c r="C864" s="5" t="s">
        <v>228</v>
      </c>
      <c r="D864" s="5" t="s">
        <v>37</v>
      </c>
      <c r="E864" s="5" t="s">
        <v>116</v>
      </c>
      <c r="F864" s="5" t="s">
        <v>117</v>
      </c>
      <c r="G864" s="5" t="s">
        <v>40</v>
      </c>
      <c r="H864" s="6">
        <v>45961</v>
      </c>
      <c r="I864" s="6">
        <v>45961</v>
      </c>
      <c r="J864" s="6">
        <v>45964</v>
      </c>
      <c r="K864" s="5" t="s">
        <v>172</v>
      </c>
      <c r="L864" s="5" t="s">
        <v>173</v>
      </c>
      <c r="M864" s="5" t="s">
        <v>43</v>
      </c>
      <c r="N864" s="5" t="s">
        <v>174</v>
      </c>
      <c r="O864" s="7">
        <v>4292.7700000000004</v>
      </c>
      <c r="P864" s="5" t="s">
        <v>45</v>
      </c>
      <c r="Q864" s="7">
        <v>4292.7700000000004</v>
      </c>
      <c r="R864" s="5" t="s">
        <v>45</v>
      </c>
      <c r="S864" s="7">
        <v>1263.32</v>
      </c>
      <c r="T864" s="5" t="s">
        <v>46</v>
      </c>
      <c r="U864" s="5" t="s">
        <v>47</v>
      </c>
      <c r="V864" s="5" t="s">
        <v>47</v>
      </c>
      <c r="W864" s="5" t="s">
        <v>47</v>
      </c>
      <c r="X864" s="5" t="s">
        <v>47</v>
      </c>
    </row>
    <row r="865" spans="1:24" x14ac:dyDescent="0.25">
      <c r="A865" s="5" t="s">
        <v>34</v>
      </c>
      <c r="B865" s="5" t="s">
        <v>227</v>
      </c>
      <c r="C865" s="5" t="s">
        <v>228</v>
      </c>
      <c r="D865" s="5" t="s">
        <v>37</v>
      </c>
      <c r="E865" s="5" t="s">
        <v>74</v>
      </c>
      <c r="F865" s="5" t="s">
        <v>75</v>
      </c>
      <c r="G865" s="5" t="s">
        <v>40</v>
      </c>
      <c r="H865" s="6">
        <v>45961</v>
      </c>
      <c r="I865" s="6">
        <v>45961</v>
      </c>
      <c r="J865" s="6">
        <v>45964</v>
      </c>
      <c r="K865" s="5" t="s">
        <v>172</v>
      </c>
      <c r="L865" s="5" t="s">
        <v>173</v>
      </c>
      <c r="M865" s="5" t="s">
        <v>43</v>
      </c>
      <c r="N865" s="5" t="s">
        <v>174</v>
      </c>
      <c r="O865" s="7">
        <v>58382.97</v>
      </c>
      <c r="P865" s="5" t="s">
        <v>45</v>
      </c>
      <c r="Q865" s="7">
        <v>58382.97</v>
      </c>
      <c r="R865" s="5" t="s">
        <v>45</v>
      </c>
      <c r="S865" s="7">
        <v>17181.57</v>
      </c>
      <c r="T865" s="5" t="s">
        <v>46</v>
      </c>
      <c r="U865" s="5" t="s">
        <v>47</v>
      </c>
      <c r="V865" s="5" t="s">
        <v>47</v>
      </c>
      <c r="W865" s="5" t="s">
        <v>47</v>
      </c>
      <c r="X865" s="5" t="s">
        <v>47</v>
      </c>
    </row>
    <row r="866" spans="1:24" x14ac:dyDescent="0.25">
      <c r="A866" s="5" t="s">
        <v>34</v>
      </c>
      <c r="B866" s="5" t="s">
        <v>227</v>
      </c>
      <c r="C866" s="5" t="s">
        <v>228</v>
      </c>
      <c r="D866" s="5" t="s">
        <v>37</v>
      </c>
      <c r="E866" s="5" t="s">
        <v>68</v>
      </c>
      <c r="F866" s="5" t="s">
        <v>69</v>
      </c>
      <c r="G866" s="5" t="s">
        <v>40</v>
      </c>
      <c r="H866" s="6">
        <v>45961</v>
      </c>
      <c r="I866" s="6">
        <v>45961</v>
      </c>
      <c r="J866" s="6">
        <v>45964</v>
      </c>
      <c r="K866" s="5" t="s">
        <v>172</v>
      </c>
      <c r="L866" s="5" t="s">
        <v>173</v>
      </c>
      <c r="M866" s="5" t="s">
        <v>43</v>
      </c>
      <c r="N866" s="5" t="s">
        <v>174</v>
      </c>
      <c r="O866" s="7">
        <v>3790.4</v>
      </c>
      <c r="P866" s="5" t="s">
        <v>45</v>
      </c>
      <c r="Q866" s="7">
        <v>3790.4</v>
      </c>
      <c r="R866" s="5" t="s">
        <v>45</v>
      </c>
      <c r="S866" s="7">
        <v>1115.48</v>
      </c>
      <c r="T866" s="5" t="s">
        <v>46</v>
      </c>
      <c r="U866" s="5" t="s">
        <v>47</v>
      </c>
      <c r="V866" s="5" t="s">
        <v>47</v>
      </c>
      <c r="W866" s="5" t="s">
        <v>47</v>
      </c>
      <c r="X866" s="5" t="s">
        <v>47</v>
      </c>
    </row>
    <row r="867" spans="1:24" x14ac:dyDescent="0.25">
      <c r="A867" s="5" t="s">
        <v>34</v>
      </c>
      <c r="B867" s="5" t="s">
        <v>227</v>
      </c>
      <c r="C867" s="5" t="s">
        <v>228</v>
      </c>
      <c r="D867" s="5" t="s">
        <v>37</v>
      </c>
      <c r="E867" s="5" t="s">
        <v>84</v>
      </c>
      <c r="F867" s="5" t="s">
        <v>85</v>
      </c>
      <c r="G867" s="5" t="s">
        <v>40</v>
      </c>
      <c r="H867" s="6">
        <v>45961</v>
      </c>
      <c r="I867" s="6">
        <v>45961</v>
      </c>
      <c r="J867" s="6">
        <v>45964</v>
      </c>
      <c r="K867" s="5" t="s">
        <v>172</v>
      </c>
      <c r="L867" s="5" t="s">
        <v>173</v>
      </c>
      <c r="M867" s="5" t="s">
        <v>43</v>
      </c>
      <c r="N867" s="5" t="s">
        <v>174</v>
      </c>
      <c r="O867" s="7">
        <v>1745.42</v>
      </c>
      <c r="P867" s="5" t="s">
        <v>45</v>
      </c>
      <c r="Q867" s="7">
        <v>1745.42</v>
      </c>
      <c r="R867" s="5" t="s">
        <v>45</v>
      </c>
      <c r="S867" s="7">
        <v>513.66</v>
      </c>
      <c r="T867" s="5" t="s">
        <v>46</v>
      </c>
      <c r="U867" s="5" t="s">
        <v>47</v>
      </c>
      <c r="V867" s="5" t="s">
        <v>47</v>
      </c>
      <c r="W867" s="5" t="s">
        <v>47</v>
      </c>
      <c r="X867" s="5" t="s">
        <v>47</v>
      </c>
    </row>
    <row r="868" spans="1:24" x14ac:dyDescent="0.25">
      <c r="A868" s="5" t="s">
        <v>34</v>
      </c>
      <c r="B868" s="5" t="s">
        <v>227</v>
      </c>
      <c r="C868" s="5" t="s">
        <v>228</v>
      </c>
      <c r="D868" s="5" t="s">
        <v>37</v>
      </c>
      <c r="E868" s="5" t="s">
        <v>58</v>
      </c>
      <c r="F868" s="5" t="s">
        <v>59</v>
      </c>
      <c r="G868" s="5" t="s">
        <v>40</v>
      </c>
      <c r="H868" s="6">
        <v>45961</v>
      </c>
      <c r="I868" s="6">
        <v>45961</v>
      </c>
      <c r="J868" s="6">
        <v>45964</v>
      </c>
      <c r="K868" s="5" t="s">
        <v>172</v>
      </c>
      <c r="L868" s="5" t="s">
        <v>173</v>
      </c>
      <c r="M868" s="5" t="s">
        <v>43</v>
      </c>
      <c r="N868" s="5" t="s">
        <v>174</v>
      </c>
      <c r="O868" s="7">
        <v>445.16</v>
      </c>
      <c r="P868" s="5" t="s">
        <v>45</v>
      </c>
      <c r="Q868" s="7">
        <v>445.16</v>
      </c>
      <c r="R868" s="5" t="s">
        <v>45</v>
      </c>
      <c r="S868" s="7">
        <v>131.01</v>
      </c>
      <c r="T868" s="5" t="s">
        <v>46</v>
      </c>
      <c r="U868" s="5" t="s">
        <v>47</v>
      </c>
      <c r="V868" s="5" t="s">
        <v>47</v>
      </c>
      <c r="W868" s="5" t="s">
        <v>47</v>
      </c>
      <c r="X868" s="5" t="s">
        <v>47</v>
      </c>
    </row>
    <row r="869" spans="1:24" x14ac:dyDescent="0.25">
      <c r="A869" s="5" t="s">
        <v>34</v>
      </c>
      <c r="B869" s="5" t="s">
        <v>227</v>
      </c>
      <c r="C869" s="5" t="s">
        <v>228</v>
      </c>
      <c r="D869" s="5" t="s">
        <v>37</v>
      </c>
      <c r="E869" s="5" t="s">
        <v>48</v>
      </c>
      <c r="F869" s="5" t="s">
        <v>49</v>
      </c>
      <c r="G869" s="5" t="s">
        <v>40</v>
      </c>
      <c r="H869" s="6">
        <v>45961</v>
      </c>
      <c r="I869" s="6">
        <v>45961</v>
      </c>
      <c r="J869" s="6">
        <v>45964</v>
      </c>
      <c r="K869" s="5" t="s">
        <v>172</v>
      </c>
      <c r="L869" s="5" t="s">
        <v>173</v>
      </c>
      <c r="M869" s="5" t="s">
        <v>43</v>
      </c>
      <c r="N869" s="5" t="s">
        <v>174</v>
      </c>
      <c r="O869" s="7">
        <v>9781.01</v>
      </c>
      <c r="P869" s="5" t="s">
        <v>45</v>
      </c>
      <c r="Q869" s="7">
        <v>9781.01</v>
      </c>
      <c r="R869" s="5" t="s">
        <v>45</v>
      </c>
      <c r="S869" s="7">
        <v>2878.46</v>
      </c>
      <c r="T869" s="5" t="s">
        <v>46</v>
      </c>
      <c r="U869" s="5" t="s">
        <v>47</v>
      </c>
      <c r="V869" s="5" t="s">
        <v>47</v>
      </c>
      <c r="W869" s="5" t="s">
        <v>47</v>
      </c>
      <c r="X869" s="5" t="s">
        <v>47</v>
      </c>
    </row>
    <row r="870" spans="1:24" x14ac:dyDescent="0.25">
      <c r="A870" s="5" t="s">
        <v>34</v>
      </c>
      <c r="B870" s="5" t="s">
        <v>227</v>
      </c>
      <c r="C870" s="5" t="s">
        <v>228</v>
      </c>
      <c r="D870" s="5" t="s">
        <v>37</v>
      </c>
      <c r="E870" s="5" t="s">
        <v>122</v>
      </c>
      <c r="F870" s="5" t="s">
        <v>123</v>
      </c>
      <c r="G870" s="5" t="s">
        <v>40</v>
      </c>
      <c r="H870" s="6">
        <v>45961</v>
      </c>
      <c r="I870" s="6">
        <v>45961</v>
      </c>
      <c r="J870" s="6">
        <v>45964</v>
      </c>
      <c r="K870" s="5" t="s">
        <v>172</v>
      </c>
      <c r="L870" s="5" t="s">
        <v>173</v>
      </c>
      <c r="M870" s="5" t="s">
        <v>43</v>
      </c>
      <c r="N870" s="5" t="s">
        <v>174</v>
      </c>
      <c r="O870" s="7">
        <v>82.02</v>
      </c>
      <c r="P870" s="5" t="s">
        <v>45</v>
      </c>
      <c r="Q870" s="7">
        <v>82.02</v>
      </c>
      <c r="R870" s="5" t="s">
        <v>45</v>
      </c>
      <c r="S870" s="7">
        <v>24.14</v>
      </c>
      <c r="T870" s="5" t="s">
        <v>46</v>
      </c>
      <c r="U870" s="5" t="s">
        <v>47</v>
      </c>
      <c r="V870" s="5" t="s">
        <v>47</v>
      </c>
      <c r="W870" s="5" t="s">
        <v>47</v>
      </c>
      <c r="X870" s="5" t="s">
        <v>47</v>
      </c>
    </row>
    <row r="871" spans="1:24" x14ac:dyDescent="0.25">
      <c r="A871" s="5" t="s">
        <v>34</v>
      </c>
      <c r="B871" s="5" t="s">
        <v>227</v>
      </c>
      <c r="C871" s="5" t="s">
        <v>228</v>
      </c>
      <c r="D871" s="5" t="s">
        <v>37</v>
      </c>
      <c r="E871" s="5" t="s">
        <v>64</v>
      </c>
      <c r="F871" s="5" t="s">
        <v>65</v>
      </c>
      <c r="G871" s="5" t="s">
        <v>40</v>
      </c>
      <c r="H871" s="6">
        <v>45961</v>
      </c>
      <c r="I871" s="6">
        <v>45961</v>
      </c>
      <c r="J871" s="6">
        <v>45964</v>
      </c>
      <c r="K871" s="5" t="s">
        <v>172</v>
      </c>
      <c r="L871" s="5" t="s">
        <v>173</v>
      </c>
      <c r="M871" s="5" t="s">
        <v>43</v>
      </c>
      <c r="N871" s="5" t="s">
        <v>174</v>
      </c>
      <c r="O871" s="7">
        <v>5134.66</v>
      </c>
      <c r="P871" s="5" t="s">
        <v>45</v>
      </c>
      <c r="Q871" s="7">
        <v>5134.66</v>
      </c>
      <c r="R871" s="5" t="s">
        <v>45</v>
      </c>
      <c r="S871" s="7">
        <v>1511.08</v>
      </c>
      <c r="T871" s="5" t="s">
        <v>46</v>
      </c>
      <c r="U871" s="5" t="s">
        <v>47</v>
      </c>
      <c r="V871" s="5" t="s">
        <v>47</v>
      </c>
      <c r="W871" s="5" t="s">
        <v>47</v>
      </c>
      <c r="X871" s="5" t="s">
        <v>47</v>
      </c>
    </row>
    <row r="872" spans="1:24" x14ac:dyDescent="0.25">
      <c r="A872" s="5" t="s">
        <v>34</v>
      </c>
      <c r="B872" s="5" t="s">
        <v>227</v>
      </c>
      <c r="C872" s="5" t="s">
        <v>228</v>
      </c>
      <c r="D872" s="5" t="s">
        <v>37</v>
      </c>
      <c r="E872" s="5" t="s">
        <v>110</v>
      </c>
      <c r="F872" s="5" t="s">
        <v>111</v>
      </c>
      <c r="G872" s="5" t="s">
        <v>40</v>
      </c>
      <c r="H872" s="6">
        <v>45961</v>
      </c>
      <c r="I872" s="6">
        <v>45961</v>
      </c>
      <c r="J872" s="6">
        <v>45964</v>
      </c>
      <c r="K872" s="5" t="s">
        <v>172</v>
      </c>
      <c r="L872" s="5" t="s">
        <v>173</v>
      </c>
      <c r="M872" s="5" t="s">
        <v>43</v>
      </c>
      <c r="N872" s="5" t="s">
        <v>174</v>
      </c>
      <c r="O872" s="7">
        <v>10646.81</v>
      </c>
      <c r="P872" s="5" t="s">
        <v>45</v>
      </c>
      <c r="Q872" s="7">
        <v>10646.81</v>
      </c>
      <c r="R872" s="5" t="s">
        <v>45</v>
      </c>
      <c r="S872" s="7">
        <v>3133.26</v>
      </c>
      <c r="T872" s="5" t="s">
        <v>46</v>
      </c>
      <c r="U872" s="5" t="s">
        <v>47</v>
      </c>
      <c r="V872" s="5" t="s">
        <v>47</v>
      </c>
      <c r="W872" s="5" t="s">
        <v>47</v>
      </c>
      <c r="X872" s="5" t="s">
        <v>47</v>
      </c>
    </row>
    <row r="873" spans="1:24" x14ac:dyDescent="0.25">
      <c r="A873" s="5" t="s">
        <v>34</v>
      </c>
      <c r="B873" s="5" t="s">
        <v>227</v>
      </c>
      <c r="C873" s="5" t="s">
        <v>228</v>
      </c>
      <c r="D873" s="5" t="s">
        <v>37</v>
      </c>
      <c r="E873" s="5" t="s">
        <v>106</v>
      </c>
      <c r="F873" s="5" t="s">
        <v>107</v>
      </c>
      <c r="G873" s="5" t="s">
        <v>40</v>
      </c>
      <c r="H873" s="6">
        <v>45961</v>
      </c>
      <c r="I873" s="6">
        <v>45961</v>
      </c>
      <c r="J873" s="6">
        <v>45964</v>
      </c>
      <c r="K873" s="5" t="s">
        <v>172</v>
      </c>
      <c r="L873" s="5" t="s">
        <v>173</v>
      </c>
      <c r="M873" s="5" t="s">
        <v>43</v>
      </c>
      <c r="N873" s="5" t="s">
        <v>174</v>
      </c>
      <c r="O873" s="7">
        <v>1505.48</v>
      </c>
      <c r="P873" s="5" t="s">
        <v>45</v>
      </c>
      <c r="Q873" s="7">
        <v>1505.48</v>
      </c>
      <c r="R873" s="5" t="s">
        <v>45</v>
      </c>
      <c r="S873" s="7">
        <v>443.05</v>
      </c>
      <c r="T873" s="5" t="s">
        <v>46</v>
      </c>
      <c r="U873" s="5" t="s">
        <v>47</v>
      </c>
      <c r="V873" s="5" t="s">
        <v>47</v>
      </c>
      <c r="W873" s="5" t="s">
        <v>47</v>
      </c>
      <c r="X873" s="5" t="s">
        <v>47</v>
      </c>
    </row>
    <row r="874" spans="1:24" x14ac:dyDescent="0.25">
      <c r="A874" s="5" t="s">
        <v>34</v>
      </c>
      <c r="B874" s="5" t="s">
        <v>227</v>
      </c>
      <c r="C874" s="5" t="s">
        <v>228</v>
      </c>
      <c r="D874" s="5" t="s">
        <v>37</v>
      </c>
      <c r="E874" s="5" t="s">
        <v>118</v>
      </c>
      <c r="F874" s="5" t="s">
        <v>119</v>
      </c>
      <c r="G874" s="5" t="s">
        <v>40</v>
      </c>
      <c r="H874" s="6">
        <v>45961</v>
      </c>
      <c r="I874" s="6">
        <v>45961</v>
      </c>
      <c r="J874" s="6">
        <v>45964</v>
      </c>
      <c r="K874" s="5" t="s">
        <v>172</v>
      </c>
      <c r="L874" s="5" t="s">
        <v>173</v>
      </c>
      <c r="M874" s="5" t="s">
        <v>43</v>
      </c>
      <c r="N874" s="5" t="s">
        <v>174</v>
      </c>
      <c r="O874" s="7">
        <v>5945.54</v>
      </c>
      <c r="P874" s="5" t="s">
        <v>45</v>
      </c>
      <c r="Q874" s="7">
        <v>5945.54</v>
      </c>
      <c r="R874" s="5" t="s">
        <v>45</v>
      </c>
      <c r="S874" s="7">
        <v>1749.72</v>
      </c>
      <c r="T874" s="5" t="s">
        <v>46</v>
      </c>
      <c r="U874" s="5" t="s">
        <v>47</v>
      </c>
      <c r="V874" s="5" t="s">
        <v>47</v>
      </c>
      <c r="W874" s="5" t="s">
        <v>47</v>
      </c>
      <c r="X874" s="5" t="s">
        <v>47</v>
      </c>
    </row>
    <row r="875" spans="1:24" x14ac:dyDescent="0.25">
      <c r="A875" s="5" t="s">
        <v>34</v>
      </c>
      <c r="B875" s="5" t="s">
        <v>227</v>
      </c>
      <c r="C875" s="5" t="s">
        <v>228</v>
      </c>
      <c r="D875" s="5" t="s">
        <v>37</v>
      </c>
      <c r="E875" s="5" t="s">
        <v>110</v>
      </c>
      <c r="F875" s="5" t="s">
        <v>111</v>
      </c>
      <c r="G875" s="5" t="s">
        <v>40</v>
      </c>
      <c r="H875" s="6">
        <v>45961</v>
      </c>
      <c r="I875" s="6">
        <v>45961</v>
      </c>
      <c r="J875" s="6">
        <v>45960</v>
      </c>
      <c r="K875" s="5" t="s">
        <v>150</v>
      </c>
      <c r="L875" s="5" t="s">
        <v>151</v>
      </c>
      <c r="M875" s="5" t="s">
        <v>43</v>
      </c>
      <c r="N875" s="5" t="s">
        <v>152</v>
      </c>
      <c r="O875" s="7">
        <v>194.07</v>
      </c>
      <c r="P875" s="5" t="s">
        <v>45</v>
      </c>
      <c r="Q875" s="7">
        <v>194.07</v>
      </c>
      <c r="R875" s="5" t="s">
        <v>45</v>
      </c>
      <c r="S875" s="7">
        <v>57.18</v>
      </c>
      <c r="T875" s="5" t="s">
        <v>46</v>
      </c>
      <c r="U875" s="5" t="s">
        <v>47</v>
      </c>
      <c r="V875" s="5" t="s">
        <v>47</v>
      </c>
      <c r="W875" s="5" t="s">
        <v>47</v>
      </c>
      <c r="X875" s="5" t="s">
        <v>47</v>
      </c>
    </row>
    <row r="876" spans="1:24" x14ac:dyDescent="0.25">
      <c r="A876" s="5" t="s">
        <v>34</v>
      </c>
      <c r="B876" s="5" t="s">
        <v>227</v>
      </c>
      <c r="C876" s="5" t="s">
        <v>228</v>
      </c>
      <c r="D876" s="5" t="s">
        <v>37</v>
      </c>
      <c r="E876" s="5" t="s">
        <v>64</v>
      </c>
      <c r="F876" s="5" t="s">
        <v>65</v>
      </c>
      <c r="G876" s="5" t="s">
        <v>40</v>
      </c>
      <c r="H876" s="6">
        <v>45961</v>
      </c>
      <c r="I876" s="6">
        <v>45961</v>
      </c>
      <c r="J876" s="6">
        <v>45950</v>
      </c>
      <c r="K876" s="5" t="s">
        <v>132</v>
      </c>
      <c r="L876" s="5" t="s">
        <v>133</v>
      </c>
      <c r="M876" s="5" t="s">
        <v>43</v>
      </c>
      <c r="N876" s="5" t="s">
        <v>134</v>
      </c>
      <c r="O876" s="7">
        <v>5.93</v>
      </c>
      <c r="P876" s="5" t="s">
        <v>45</v>
      </c>
      <c r="Q876" s="7">
        <v>5.93</v>
      </c>
      <c r="R876" s="5" t="s">
        <v>45</v>
      </c>
      <c r="S876" s="7">
        <v>1.75</v>
      </c>
      <c r="T876" s="5" t="s">
        <v>46</v>
      </c>
      <c r="U876" s="5" t="s">
        <v>47</v>
      </c>
      <c r="V876" s="5" t="s">
        <v>47</v>
      </c>
      <c r="W876" s="5" t="s">
        <v>47</v>
      </c>
      <c r="X876" s="5" t="s">
        <v>47</v>
      </c>
    </row>
    <row r="877" spans="1:24" x14ac:dyDescent="0.25">
      <c r="A877" s="5" t="s">
        <v>34</v>
      </c>
      <c r="B877" s="5" t="s">
        <v>227</v>
      </c>
      <c r="C877" s="5" t="s">
        <v>228</v>
      </c>
      <c r="D877" s="5" t="s">
        <v>37</v>
      </c>
      <c r="E877" s="5" t="s">
        <v>72</v>
      </c>
      <c r="F877" s="5" t="s">
        <v>73</v>
      </c>
      <c r="G877" s="5" t="s">
        <v>40</v>
      </c>
      <c r="H877" s="6">
        <v>45961</v>
      </c>
      <c r="I877" s="6">
        <v>45961</v>
      </c>
      <c r="J877" s="6">
        <v>45964</v>
      </c>
      <c r="K877" s="5" t="s">
        <v>172</v>
      </c>
      <c r="L877" s="5" t="s">
        <v>173</v>
      </c>
      <c r="M877" s="5" t="s">
        <v>43</v>
      </c>
      <c r="N877" s="5" t="s">
        <v>174</v>
      </c>
      <c r="O877" s="7">
        <v>969.6</v>
      </c>
      <c r="P877" s="5" t="s">
        <v>45</v>
      </c>
      <c r="Q877" s="7">
        <v>969.6</v>
      </c>
      <c r="R877" s="5" t="s">
        <v>45</v>
      </c>
      <c r="S877" s="7">
        <v>285.33999999999997</v>
      </c>
      <c r="T877" s="5" t="s">
        <v>46</v>
      </c>
      <c r="U877" s="5" t="s">
        <v>47</v>
      </c>
      <c r="V877" s="5" t="s">
        <v>47</v>
      </c>
      <c r="W877" s="5" t="s">
        <v>47</v>
      </c>
      <c r="X877" s="5" t="s">
        <v>47</v>
      </c>
    </row>
    <row r="878" spans="1:24" x14ac:dyDescent="0.25">
      <c r="A878" s="5" t="s">
        <v>34</v>
      </c>
      <c r="B878" s="5" t="s">
        <v>227</v>
      </c>
      <c r="C878" s="5" t="s">
        <v>228</v>
      </c>
      <c r="D878" s="5" t="s">
        <v>37</v>
      </c>
      <c r="E878" s="5" t="s">
        <v>50</v>
      </c>
      <c r="F878" s="5" t="s">
        <v>51</v>
      </c>
      <c r="G878" s="5" t="s">
        <v>40</v>
      </c>
      <c r="H878" s="6">
        <v>45961</v>
      </c>
      <c r="I878" s="6">
        <v>45961</v>
      </c>
      <c r="J878" s="6">
        <v>45964</v>
      </c>
      <c r="K878" s="5" t="s">
        <v>172</v>
      </c>
      <c r="L878" s="5" t="s">
        <v>173</v>
      </c>
      <c r="M878" s="5" t="s">
        <v>43</v>
      </c>
      <c r="N878" s="5" t="s">
        <v>174</v>
      </c>
      <c r="O878" s="7">
        <v>7357.2</v>
      </c>
      <c r="P878" s="5" t="s">
        <v>45</v>
      </c>
      <c r="Q878" s="7">
        <v>7357.2</v>
      </c>
      <c r="R878" s="5" t="s">
        <v>45</v>
      </c>
      <c r="S878" s="7">
        <v>2165.16</v>
      </c>
      <c r="T878" s="5" t="s">
        <v>46</v>
      </c>
      <c r="U878" s="5" t="s">
        <v>47</v>
      </c>
      <c r="V878" s="5" t="s">
        <v>47</v>
      </c>
      <c r="W878" s="5" t="s">
        <v>47</v>
      </c>
      <c r="X878" s="5" t="s">
        <v>47</v>
      </c>
    </row>
    <row r="879" spans="1:24" x14ac:dyDescent="0.25">
      <c r="A879" s="5" t="s">
        <v>34</v>
      </c>
      <c r="B879" s="5" t="s">
        <v>227</v>
      </c>
      <c r="C879" s="5" t="s">
        <v>228</v>
      </c>
      <c r="D879" s="5" t="s">
        <v>37</v>
      </c>
      <c r="E879" s="5" t="s">
        <v>86</v>
      </c>
      <c r="F879" s="5" t="s">
        <v>87</v>
      </c>
      <c r="G879" s="5" t="s">
        <v>40</v>
      </c>
      <c r="H879" s="6">
        <v>45961</v>
      </c>
      <c r="I879" s="6">
        <v>45961</v>
      </c>
      <c r="J879" s="6">
        <v>45964</v>
      </c>
      <c r="K879" s="5" t="s">
        <v>172</v>
      </c>
      <c r="L879" s="5" t="s">
        <v>173</v>
      </c>
      <c r="M879" s="5" t="s">
        <v>43</v>
      </c>
      <c r="N879" s="5" t="s">
        <v>174</v>
      </c>
      <c r="O879" s="7">
        <v>13760.97</v>
      </c>
      <c r="P879" s="5" t="s">
        <v>45</v>
      </c>
      <c r="Q879" s="7">
        <v>13760.97</v>
      </c>
      <c r="R879" s="5" t="s">
        <v>45</v>
      </c>
      <c r="S879" s="7">
        <v>4049.73</v>
      </c>
      <c r="T879" s="5" t="s">
        <v>46</v>
      </c>
      <c r="U879" s="5" t="s">
        <v>47</v>
      </c>
      <c r="V879" s="5" t="s">
        <v>47</v>
      </c>
      <c r="W879" s="5" t="s">
        <v>47</v>
      </c>
      <c r="X879" s="5" t="s">
        <v>47</v>
      </c>
    </row>
    <row r="880" spans="1:24" x14ac:dyDescent="0.25">
      <c r="A880" s="5" t="s">
        <v>34</v>
      </c>
      <c r="B880" s="5" t="s">
        <v>227</v>
      </c>
      <c r="C880" s="5" t="s">
        <v>228</v>
      </c>
      <c r="D880" s="5" t="s">
        <v>37</v>
      </c>
      <c r="E880" s="5" t="s">
        <v>52</v>
      </c>
      <c r="F880" s="5" t="s">
        <v>53</v>
      </c>
      <c r="G880" s="5" t="s">
        <v>40</v>
      </c>
      <c r="H880" s="6">
        <v>45961</v>
      </c>
      <c r="I880" s="6">
        <v>45961</v>
      </c>
      <c r="J880" s="6">
        <v>45964</v>
      </c>
      <c r="K880" s="5" t="s">
        <v>172</v>
      </c>
      <c r="L880" s="5" t="s">
        <v>173</v>
      </c>
      <c r="M880" s="5" t="s">
        <v>43</v>
      </c>
      <c r="N880" s="5" t="s">
        <v>174</v>
      </c>
      <c r="O880" s="7">
        <v>490.87</v>
      </c>
      <c r="P880" s="5" t="s">
        <v>45</v>
      </c>
      <c r="Q880" s="7">
        <v>490.87</v>
      </c>
      <c r="R880" s="5" t="s">
        <v>45</v>
      </c>
      <c r="S880" s="7">
        <v>144.46</v>
      </c>
      <c r="T880" s="5" t="s">
        <v>46</v>
      </c>
      <c r="U880" s="5" t="s">
        <v>47</v>
      </c>
      <c r="V880" s="5" t="s">
        <v>47</v>
      </c>
      <c r="W880" s="5" t="s">
        <v>47</v>
      </c>
      <c r="X880" s="5" t="s">
        <v>47</v>
      </c>
    </row>
    <row r="881" spans="1:24" x14ac:dyDescent="0.25">
      <c r="A881" s="5" t="s">
        <v>34</v>
      </c>
      <c r="B881" s="5" t="s">
        <v>227</v>
      </c>
      <c r="C881" s="5" t="s">
        <v>228</v>
      </c>
      <c r="D881" s="5" t="s">
        <v>37</v>
      </c>
      <c r="E881" s="5" t="s">
        <v>104</v>
      </c>
      <c r="F881" s="5" t="s">
        <v>105</v>
      </c>
      <c r="G881" s="5" t="s">
        <v>40</v>
      </c>
      <c r="H881" s="6">
        <v>45961</v>
      </c>
      <c r="I881" s="6">
        <v>45961</v>
      </c>
      <c r="J881" s="6">
        <v>45964</v>
      </c>
      <c r="K881" s="5" t="s">
        <v>172</v>
      </c>
      <c r="L881" s="5" t="s">
        <v>173</v>
      </c>
      <c r="M881" s="5" t="s">
        <v>43</v>
      </c>
      <c r="N881" s="5" t="s">
        <v>174</v>
      </c>
      <c r="O881" s="7">
        <v>4942.88</v>
      </c>
      <c r="P881" s="5" t="s">
        <v>45</v>
      </c>
      <c r="Q881" s="7">
        <v>4942.88</v>
      </c>
      <c r="R881" s="5" t="s">
        <v>45</v>
      </c>
      <c r="S881" s="7">
        <v>1454.64</v>
      </c>
      <c r="T881" s="5" t="s">
        <v>46</v>
      </c>
      <c r="U881" s="5" t="s">
        <v>47</v>
      </c>
      <c r="V881" s="5" t="s">
        <v>47</v>
      </c>
      <c r="W881" s="5" t="s">
        <v>47</v>
      </c>
      <c r="X881" s="5" t="s">
        <v>47</v>
      </c>
    </row>
    <row r="882" spans="1:24" x14ac:dyDescent="0.25">
      <c r="A882" s="5" t="s">
        <v>34</v>
      </c>
      <c r="B882" s="5" t="s">
        <v>227</v>
      </c>
      <c r="C882" s="5" t="s">
        <v>228</v>
      </c>
      <c r="D882" s="5" t="s">
        <v>37</v>
      </c>
      <c r="E882" s="5" t="s">
        <v>54</v>
      </c>
      <c r="F882" s="5" t="s">
        <v>55</v>
      </c>
      <c r="G882" s="5" t="s">
        <v>40</v>
      </c>
      <c r="H882" s="6">
        <v>45961</v>
      </c>
      <c r="I882" s="6">
        <v>45961</v>
      </c>
      <c r="J882" s="6">
        <v>45964</v>
      </c>
      <c r="K882" s="5" t="s">
        <v>172</v>
      </c>
      <c r="L882" s="5" t="s">
        <v>173</v>
      </c>
      <c r="M882" s="5" t="s">
        <v>43</v>
      </c>
      <c r="N882" s="5" t="s">
        <v>174</v>
      </c>
      <c r="O882" s="7">
        <v>1272.79</v>
      </c>
      <c r="P882" s="5" t="s">
        <v>45</v>
      </c>
      <c r="Q882" s="7">
        <v>1272.79</v>
      </c>
      <c r="R882" s="5" t="s">
        <v>45</v>
      </c>
      <c r="S882" s="7">
        <v>374.57</v>
      </c>
      <c r="T882" s="5" t="s">
        <v>46</v>
      </c>
      <c r="U882" s="5" t="s">
        <v>47</v>
      </c>
      <c r="V882" s="5" t="s">
        <v>47</v>
      </c>
      <c r="W882" s="5" t="s">
        <v>47</v>
      </c>
      <c r="X882" s="5" t="s">
        <v>47</v>
      </c>
    </row>
    <row r="883" spans="1:24" x14ac:dyDescent="0.25">
      <c r="A883" s="5" t="s">
        <v>34</v>
      </c>
      <c r="B883" s="5" t="s">
        <v>227</v>
      </c>
      <c r="C883" s="5" t="s">
        <v>228</v>
      </c>
      <c r="D883" s="5" t="s">
        <v>37</v>
      </c>
      <c r="E883" s="5" t="s">
        <v>62</v>
      </c>
      <c r="F883" s="5" t="s">
        <v>63</v>
      </c>
      <c r="G883" s="5" t="s">
        <v>40</v>
      </c>
      <c r="H883" s="6">
        <v>45961</v>
      </c>
      <c r="I883" s="6">
        <v>45961</v>
      </c>
      <c r="J883" s="6">
        <v>45964</v>
      </c>
      <c r="K883" s="5" t="s">
        <v>172</v>
      </c>
      <c r="L883" s="5" t="s">
        <v>173</v>
      </c>
      <c r="M883" s="5" t="s">
        <v>43</v>
      </c>
      <c r="N883" s="5" t="s">
        <v>174</v>
      </c>
      <c r="O883" s="7">
        <v>6712.07</v>
      </c>
      <c r="P883" s="5" t="s">
        <v>45</v>
      </c>
      <c r="Q883" s="7">
        <v>6712.07</v>
      </c>
      <c r="R883" s="5" t="s">
        <v>45</v>
      </c>
      <c r="S883" s="7">
        <v>1975.3</v>
      </c>
      <c r="T883" s="5" t="s">
        <v>46</v>
      </c>
      <c r="U883" s="5" t="s">
        <v>47</v>
      </c>
      <c r="V883" s="5" t="s">
        <v>47</v>
      </c>
      <c r="W883" s="5" t="s">
        <v>47</v>
      </c>
      <c r="X883" s="5" t="s">
        <v>47</v>
      </c>
    </row>
    <row r="884" spans="1:24" x14ac:dyDescent="0.25">
      <c r="A884" s="5" t="s">
        <v>34</v>
      </c>
      <c r="B884" s="5" t="s">
        <v>227</v>
      </c>
      <c r="C884" s="5" t="s">
        <v>228</v>
      </c>
      <c r="D884" s="5" t="s">
        <v>37</v>
      </c>
      <c r="E884" s="5" t="s">
        <v>80</v>
      </c>
      <c r="F884" s="5" t="s">
        <v>81</v>
      </c>
      <c r="G884" s="5" t="s">
        <v>40</v>
      </c>
      <c r="H884" s="6">
        <v>45961</v>
      </c>
      <c r="I884" s="6">
        <v>45961</v>
      </c>
      <c r="J884" s="6">
        <v>45964</v>
      </c>
      <c r="K884" s="5" t="s">
        <v>172</v>
      </c>
      <c r="L884" s="5" t="s">
        <v>173</v>
      </c>
      <c r="M884" s="5" t="s">
        <v>43</v>
      </c>
      <c r="N884" s="5" t="s">
        <v>174</v>
      </c>
      <c r="O884" s="7">
        <v>2241.17</v>
      </c>
      <c r="P884" s="5" t="s">
        <v>45</v>
      </c>
      <c r="Q884" s="7">
        <v>2241.17</v>
      </c>
      <c r="R884" s="5" t="s">
        <v>45</v>
      </c>
      <c r="S884" s="7">
        <v>659.56</v>
      </c>
      <c r="T884" s="5" t="s">
        <v>46</v>
      </c>
      <c r="U884" s="5" t="s">
        <v>47</v>
      </c>
      <c r="V884" s="5" t="s">
        <v>47</v>
      </c>
      <c r="W884" s="5" t="s">
        <v>47</v>
      </c>
      <c r="X884" s="5" t="s">
        <v>47</v>
      </c>
    </row>
    <row r="885" spans="1:24" x14ac:dyDescent="0.25">
      <c r="A885" s="5" t="s">
        <v>34</v>
      </c>
      <c r="B885" s="5" t="s">
        <v>227</v>
      </c>
      <c r="C885" s="5" t="s">
        <v>228</v>
      </c>
      <c r="D885" s="5" t="s">
        <v>37</v>
      </c>
      <c r="E885" s="5" t="s">
        <v>96</v>
      </c>
      <c r="F885" s="5" t="s">
        <v>97</v>
      </c>
      <c r="G885" s="5" t="s">
        <v>40</v>
      </c>
      <c r="H885" s="6">
        <v>45961</v>
      </c>
      <c r="I885" s="6">
        <v>45961</v>
      </c>
      <c r="J885" s="6">
        <v>45964</v>
      </c>
      <c r="K885" s="5" t="s">
        <v>172</v>
      </c>
      <c r="L885" s="5" t="s">
        <v>173</v>
      </c>
      <c r="M885" s="5" t="s">
        <v>43</v>
      </c>
      <c r="N885" s="5" t="s">
        <v>174</v>
      </c>
      <c r="O885" s="7">
        <v>34449.08</v>
      </c>
      <c r="P885" s="5" t="s">
        <v>45</v>
      </c>
      <c r="Q885" s="7">
        <v>34449.08</v>
      </c>
      <c r="R885" s="5" t="s">
        <v>45</v>
      </c>
      <c r="S885" s="7">
        <v>10138.049999999999</v>
      </c>
      <c r="T885" s="5" t="s">
        <v>46</v>
      </c>
      <c r="U885" s="5" t="s">
        <v>47</v>
      </c>
      <c r="V885" s="5" t="s">
        <v>47</v>
      </c>
      <c r="W885" s="5" t="s">
        <v>47</v>
      </c>
      <c r="X885" s="5" t="s">
        <v>47</v>
      </c>
    </row>
    <row r="886" spans="1:24" x14ac:dyDescent="0.25">
      <c r="A886" s="5" t="s">
        <v>34</v>
      </c>
      <c r="B886" s="5" t="s">
        <v>227</v>
      </c>
      <c r="C886" s="5" t="s">
        <v>228</v>
      </c>
      <c r="D886" s="5" t="s">
        <v>37</v>
      </c>
      <c r="E886" s="5" t="s">
        <v>142</v>
      </c>
      <c r="F886" s="5" t="s">
        <v>143</v>
      </c>
      <c r="G886" s="5" t="s">
        <v>40</v>
      </c>
      <c r="H886" s="6">
        <v>45961</v>
      </c>
      <c r="I886" s="6">
        <v>45961</v>
      </c>
      <c r="J886" s="6">
        <v>45961</v>
      </c>
      <c r="K886" s="5" t="s">
        <v>144</v>
      </c>
      <c r="L886" s="5" t="s">
        <v>145</v>
      </c>
      <c r="M886" s="5" t="s">
        <v>43</v>
      </c>
      <c r="N886" s="5" t="s">
        <v>146</v>
      </c>
      <c r="O886" s="7">
        <v>181.33</v>
      </c>
      <c r="P886" s="5" t="s">
        <v>45</v>
      </c>
      <c r="Q886" s="7">
        <v>181.33</v>
      </c>
      <c r="R886" s="5" t="s">
        <v>45</v>
      </c>
      <c r="S886" s="7">
        <v>53.36</v>
      </c>
      <c r="T886" s="5" t="s">
        <v>46</v>
      </c>
      <c r="U886" s="5" t="s">
        <v>47</v>
      </c>
      <c r="V886" s="5" t="s">
        <v>47</v>
      </c>
      <c r="W886" s="5" t="s">
        <v>47</v>
      </c>
      <c r="X886" s="5" t="s">
        <v>47</v>
      </c>
    </row>
    <row r="887" spans="1:24" x14ac:dyDescent="0.25">
      <c r="A887" s="5" t="s">
        <v>34</v>
      </c>
      <c r="B887" s="5" t="s">
        <v>227</v>
      </c>
      <c r="C887" s="5" t="s">
        <v>228</v>
      </c>
      <c r="D887" s="5" t="s">
        <v>37</v>
      </c>
      <c r="E887" s="5" t="s">
        <v>92</v>
      </c>
      <c r="F887" s="5" t="s">
        <v>93</v>
      </c>
      <c r="G887" s="5" t="s">
        <v>40</v>
      </c>
      <c r="H887" s="6">
        <v>45961</v>
      </c>
      <c r="I887" s="6">
        <v>45961</v>
      </c>
      <c r="J887" s="6">
        <v>45964</v>
      </c>
      <c r="K887" s="5" t="s">
        <v>172</v>
      </c>
      <c r="L887" s="5" t="s">
        <v>173</v>
      </c>
      <c r="M887" s="5" t="s">
        <v>43</v>
      </c>
      <c r="N887" s="5" t="s">
        <v>174</v>
      </c>
      <c r="O887" s="7">
        <v>777.95</v>
      </c>
      <c r="P887" s="5" t="s">
        <v>45</v>
      </c>
      <c r="Q887" s="7">
        <v>777.95</v>
      </c>
      <c r="R887" s="5" t="s">
        <v>45</v>
      </c>
      <c r="S887" s="7">
        <v>228.94</v>
      </c>
      <c r="T887" s="5" t="s">
        <v>46</v>
      </c>
      <c r="U887" s="5" t="s">
        <v>47</v>
      </c>
      <c r="V887" s="5" t="s">
        <v>47</v>
      </c>
      <c r="W887" s="5" t="s">
        <v>47</v>
      </c>
      <c r="X887" s="5" t="s">
        <v>47</v>
      </c>
    </row>
    <row r="888" spans="1:24" x14ac:dyDescent="0.25">
      <c r="A888" s="5" t="s">
        <v>34</v>
      </c>
      <c r="B888" s="5" t="s">
        <v>227</v>
      </c>
      <c r="C888" s="5" t="s">
        <v>228</v>
      </c>
      <c r="D888" s="5" t="s">
        <v>37</v>
      </c>
      <c r="E888" s="5" t="s">
        <v>60</v>
      </c>
      <c r="F888" s="5" t="s">
        <v>61</v>
      </c>
      <c r="G888" s="5" t="s">
        <v>40</v>
      </c>
      <c r="H888" s="6">
        <v>45961</v>
      </c>
      <c r="I888" s="6">
        <v>45961</v>
      </c>
      <c r="J888" s="6">
        <v>45964</v>
      </c>
      <c r="K888" s="5" t="s">
        <v>172</v>
      </c>
      <c r="L888" s="5" t="s">
        <v>173</v>
      </c>
      <c r="M888" s="5" t="s">
        <v>43</v>
      </c>
      <c r="N888" s="5" t="s">
        <v>174</v>
      </c>
      <c r="O888" s="7">
        <v>12010.52</v>
      </c>
      <c r="P888" s="5" t="s">
        <v>45</v>
      </c>
      <c r="Q888" s="7">
        <v>12010.52</v>
      </c>
      <c r="R888" s="5" t="s">
        <v>45</v>
      </c>
      <c r="S888" s="7">
        <v>3534.59</v>
      </c>
      <c r="T888" s="5" t="s">
        <v>46</v>
      </c>
      <c r="U888" s="5" t="s">
        <v>47</v>
      </c>
      <c r="V888" s="5" t="s">
        <v>47</v>
      </c>
      <c r="W888" s="5" t="s">
        <v>47</v>
      </c>
      <c r="X888" s="5" t="s">
        <v>47</v>
      </c>
    </row>
    <row r="889" spans="1:24" x14ac:dyDescent="0.25">
      <c r="A889" s="5" t="s">
        <v>34</v>
      </c>
      <c r="B889" s="5" t="s">
        <v>227</v>
      </c>
      <c r="C889" s="5" t="s">
        <v>228</v>
      </c>
      <c r="D889" s="5" t="s">
        <v>37</v>
      </c>
      <c r="E889" s="5" t="s">
        <v>70</v>
      </c>
      <c r="F889" s="5" t="s">
        <v>71</v>
      </c>
      <c r="G889" s="5" t="s">
        <v>40</v>
      </c>
      <c r="H889" s="6">
        <v>45961</v>
      </c>
      <c r="I889" s="6">
        <v>45961</v>
      </c>
      <c r="J889" s="6">
        <v>45964</v>
      </c>
      <c r="K889" s="5" t="s">
        <v>172</v>
      </c>
      <c r="L889" s="5" t="s">
        <v>173</v>
      </c>
      <c r="M889" s="5" t="s">
        <v>43</v>
      </c>
      <c r="N889" s="5" t="s">
        <v>174</v>
      </c>
      <c r="O889" s="7">
        <v>1258.3399999999999</v>
      </c>
      <c r="P889" s="5" t="s">
        <v>45</v>
      </c>
      <c r="Q889" s="7">
        <v>1258.3399999999999</v>
      </c>
      <c r="R889" s="5" t="s">
        <v>45</v>
      </c>
      <c r="S889" s="7">
        <v>370.32</v>
      </c>
      <c r="T889" s="5" t="s">
        <v>46</v>
      </c>
      <c r="U889" s="5" t="s">
        <v>47</v>
      </c>
      <c r="V889" s="5" t="s">
        <v>47</v>
      </c>
      <c r="W889" s="5" t="s">
        <v>47</v>
      </c>
      <c r="X889" s="5" t="s">
        <v>47</v>
      </c>
    </row>
    <row r="890" spans="1:24" x14ac:dyDescent="0.25">
      <c r="A890" s="5" t="s">
        <v>34</v>
      </c>
      <c r="B890" s="5" t="s">
        <v>227</v>
      </c>
      <c r="C890" s="5" t="s">
        <v>228</v>
      </c>
      <c r="D890" s="5" t="s">
        <v>37</v>
      </c>
      <c r="E890" s="5" t="s">
        <v>102</v>
      </c>
      <c r="F890" s="5" t="s">
        <v>103</v>
      </c>
      <c r="G890" s="5" t="s">
        <v>40</v>
      </c>
      <c r="H890" s="6">
        <v>45961</v>
      </c>
      <c r="I890" s="6">
        <v>45961</v>
      </c>
      <c r="J890" s="6">
        <v>45964</v>
      </c>
      <c r="K890" s="5" t="s">
        <v>172</v>
      </c>
      <c r="L890" s="5" t="s">
        <v>173</v>
      </c>
      <c r="M890" s="5" t="s">
        <v>43</v>
      </c>
      <c r="N890" s="5" t="s">
        <v>174</v>
      </c>
      <c r="O890" s="7">
        <v>14671.72</v>
      </c>
      <c r="P890" s="5" t="s">
        <v>45</v>
      </c>
      <c r="Q890" s="7">
        <v>14671.72</v>
      </c>
      <c r="R890" s="5" t="s">
        <v>45</v>
      </c>
      <c r="S890" s="7">
        <v>4317.75</v>
      </c>
      <c r="T890" s="5" t="s">
        <v>46</v>
      </c>
      <c r="U890" s="5" t="s">
        <v>47</v>
      </c>
      <c r="V890" s="5" t="s">
        <v>47</v>
      </c>
      <c r="W890" s="5" t="s">
        <v>47</v>
      </c>
      <c r="X890" s="5" t="s">
        <v>47</v>
      </c>
    </row>
    <row r="891" spans="1:24" x14ac:dyDescent="0.25">
      <c r="A891" s="5" t="s">
        <v>34</v>
      </c>
      <c r="B891" s="5" t="s">
        <v>227</v>
      </c>
      <c r="C891" s="5" t="s">
        <v>228</v>
      </c>
      <c r="D891" s="5" t="s">
        <v>37</v>
      </c>
      <c r="E891" s="5" t="s">
        <v>142</v>
      </c>
      <c r="F891" s="5" t="s">
        <v>143</v>
      </c>
      <c r="G891" s="5" t="s">
        <v>40</v>
      </c>
      <c r="H891" s="6">
        <v>45961</v>
      </c>
      <c r="I891" s="6">
        <v>45961</v>
      </c>
      <c r="J891" s="6">
        <v>45964</v>
      </c>
      <c r="K891" s="5" t="s">
        <v>172</v>
      </c>
      <c r="L891" s="5" t="s">
        <v>173</v>
      </c>
      <c r="M891" s="5" t="s">
        <v>43</v>
      </c>
      <c r="N891" s="5" t="s">
        <v>174</v>
      </c>
      <c r="O891" s="7">
        <v>194.46</v>
      </c>
      <c r="P891" s="5" t="s">
        <v>45</v>
      </c>
      <c r="Q891" s="7">
        <v>194.46</v>
      </c>
      <c r="R891" s="5" t="s">
        <v>45</v>
      </c>
      <c r="S891" s="7">
        <v>57.23</v>
      </c>
      <c r="T891" s="5" t="s">
        <v>46</v>
      </c>
      <c r="U891" s="5" t="s">
        <v>47</v>
      </c>
      <c r="V891" s="5" t="s">
        <v>47</v>
      </c>
      <c r="W891" s="5" t="s">
        <v>47</v>
      </c>
      <c r="X891" s="5" t="s">
        <v>47</v>
      </c>
    </row>
    <row r="892" spans="1:24" x14ac:dyDescent="0.25">
      <c r="A892" s="5" t="s">
        <v>34</v>
      </c>
      <c r="B892" s="5" t="s">
        <v>227</v>
      </c>
      <c r="C892" s="5" t="s">
        <v>228</v>
      </c>
      <c r="D892" s="5" t="s">
        <v>37</v>
      </c>
      <c r="E892" s="5" t="s">
        <v>98</v>
      </c>
      <c r="F892" s="5" t="s">
        <v>99</v>
      </c>
      <c r="G892" s="5" t="s">
        <v>40</v>
      </c>
      <c r="H892" s="6">
        <v>45961</v>
      </c>
      <c r="I892" s="6">
        <v>45961</v>
      </c>
      <c r="J892" s="6">
        <v>45964</v>
      </c>
      <c r="K892" s="5" t="s">
        <v>172</v>
      </c>
      <c r="L892" s="5" t="s">
        <v>173</v>
      </c>
      <c r="M892" s="5" t="s">
        <v>43</v>
      </c>
      <c r="N892" s="5" t="s">
        <v>174</v>
      </c>
      <c r="O892" s="7">
        <v>446.13</v>
      </c>
      <c r="P892" s="5" t="s">
        <v>45</v>
      </c>
      <c r="Q892" s="7">
        <v>446.13</v>
      </c>
      <c r="R892" s="5" t="s">
        <v>45</v>
      </c>
      <c r="S892" s="7">
        <v>131.29</v>
      </c>
      <c r="T892" s="5" t="s">
        <v>46</v>
      </c>
      <c r="U892" s="5" t="s">
        <v>47</v>
      </c>
      <c r="V892" s="5" t="s">
        <v>47</v>
      </c>
      <c r="W892" s="5" t="s">
        <v>47</v>
      </c>
      <c r="X892" s="5" t="s">
        <v>47</v>
      </c>
    </row>
    <row r="893" spans="1:24" x14ac:dyDescent="0.25">
      <c r="A893" s="5" t="s">
        <v>34</v>
      </c>
      <c r="B893" s="5" t="s">
        <v>227</v>
      </c>
      <c r="C893" s="5" t="s">
        <v>228</v>
      </c>
      <c r="D893" s="5" t="s">
        <v>37</v>
      </c>
      <c r="E893" s="5" t="s">
        <v>82</v>
      </c>
      <c r="F893" s="5" t="s">
        <v>83</v>
      </c>
      <c r="G893" s="5" t="s">
        <v>40</v>
      </c>
      <c r="H893" s="6">
        <v>45961</v>
      </c>
      <c r="I893" s="6">
        <v>45961</v>
      </c>
      <c r="J893" s="6">
        <v>45964</v>
      </c>
      <c r="K893" s="5" t="s">
        <v>172</v>
      </c>
      <c r="L893" s="5" t="s">
        <v>173</v>
      </c>
      <c r="M893" s="5" t="s">
        <v>43</v>
      </c>
      <c r="N893" s="5" t="s">
        <v>174</v>
      </c>
      <c r="O893" s="7">
        <v>8749.26</v>
      </c>
      <c r="P893" s="5" t="s">
        <v>45</v>
      </c>
      <c r="Q893" s="7">
        <v>8749.26</v>
      </c>
      <c r="R893" s="5" t="s">
        <v>45</v>
      </c>
      <c r="S893" s="7">
        <v>2574.83</v>
      </c>
      <c r="T893" s="5" t="s">
        <v>46</v>
      </c>
      <c r="U893" s="5" t="s">
        <v>47</v>
      </c>
      <c r="V893" s="5" t="s">
        <v>47</v>
      </c>
      <c r="W893" s="5" t="s">
        <v>47</v>
      </c>
      <c r="X893" s="5" t="s">
        <v>47</v>
      </c>
    </row>
    <row r="894" spans="1:24" x14ac:dyDescent="0.25">
      <c r="A894" s="5" t="s">
        <v>34</v>
      </c>
      <c r="B894" s="5" t="s">
        <v>227</v>
      </c>
      <c r="C894" s="5" t="s">
        <v>228</v>
      </c>
      <c r="D894" s="5" t="s">
        <v>37</v>
      </c>
      <c r="E894" s="5" t="s">
        <v>138</v>
      </c>
      <c r="F894" s="5" t="s">
        <v>139</v>
      </c>
      <c r="G894" s="5" t="s">
        <v>40</v>
      </c>
      <c r="H894" s="6">
        <v>45961</v>
      </c>
      <c r="I894" s="6">
        <v>45961</v>
      </c>
      <c r="J894" s="6">
        <v>45964</v>
      </c>
      <c r="K894" s="5" t="s">
        <v>172</v>
      </c>
      <c r="L894" s="5" t="s">
        <v>173</v>
      </c>
      <c r="M894" s="5" t="s">
        <v>43</v>
      </c>
      <c r="N894" s="5" t="s">
        <v>174</v>
      </c>
      <c r="O894" s="7">
        <v>2964.71</v>
      </c>
      <c r="P894" s="5" t="s">
        <v>45</v>
      </c>
      <c r="Q894" s="7">
        <v>2964.71</v>
      </c>
      <c r="R894" s="5" t="s">
        <v>45</v>
      </c>
      <c r="S894" s="7">
        <v>872.49</v>
      </c>
      <c r="T894" s="5" t="s">
        <v>46</v>
      </c>
      <c r="U894" s="5" t="s">
        <v>47</v>
      </c>
      <c r="V894" s="5" t="s">
        <v>47</v>
      </c>
      <c r="W894" s="5" t="s">
        <v>47</v>
      </c>
      <c r="X894" s="5" t="s">
        <v>47</v>
      </c>
    </row>
    <row r="895" spans="1:24" x14ac:dyDescent="0.25">
      <c r="A895" s="5" t="s">
        <v>34</v>
      </c>
      <c r="B895" s="5" t="s">
        <v>227</v>
      </c>
      <c r="C895" s="5" t="s">
        <v>228</v>
      </c>
      <c r="D895" s="5" t="s">
        <v>37</v>
      </c>
      <c r="E895" s="5" t="s">
        <v>78</v>
      </c>
      <c r="F895" s="5" t="s">
        <v>79</v>
      </c>
      <c r="G895" s="5" t="s">
        <v>40</v>
      </c>
      <c r="H895" s="6">
        <v>45961</v>
      </c>
      <c r="I895" s="6">
        <v>45961</v>
      </c>
      <c r="J895" s="6">
        <v>45964</v>
      </c>
      <c r="K895" s="5" t="s">
        <v>172</v>
      </c>
      <c r="L895" s="5" t="s">
        <v>173</v>
      </c>
      <c r="M895" s="5" t="s">
        <v>43</v>
      </c>
      <c r="N895" s="5" t="s">
        <v>174</v>
      </c>
      <c r="O895" s="7">
        <v>15319.19</v>
      </c>
      <c r="P895" s="5" t="s">
        <v>45</v>
      </c>
      <c r="Q895" s="7">
        <v>15319.19</v>
      </c>
      <c r="R895" s="5" t="s">
        <v>45</v>
      </c>
      <c r="S895" s="7">
        <v>4508.3</v>
      </c>
      <c r="T895" s="5" t="s">
        <v>46</v>
      </c>
      <c r="U895" s="5" t="s">
        <v>47</v>
      </c>
      <c r="V895" s="5" t="s">
        <v>47</v>
      </c>
      <c r="W895" s="5" t="s">
        <v>47</v>
      </c>
      <c r="X895" s="5" t="s">
        <v>47</v>
      </c>
    </row>
    <row r="896" spans="1:24" x14ac:dyDescent="0.25">
      <c r="A896" s="5" t="s">
        <v>34</v>
      </c>
      <c r="B896" s="5" t="s">
        <v>227</v>
      </c>
      <c r="C896" s="5" t="s">
        <v>228</v>
      </c>
      <c r="D896" s="5" t="s">
        <v>37</v>
      </c>
      <c r="E896" s="5" t="s">
        <v>38</v>
      </c>
      <c r="F896" s="5" t="s">
        <v>39</v>
      </c>
      <c r="G896" s="5" t="s">
        <v>40</v>
      </c>
      <c r="H896" s="6">
        <v>45961</v>
      </c>
      <c r="I896" s="6">
        <v>45961</v>
      </c>
      <c r="J896" s="6">
        <v>45964</v>
      </c>
      <c r="K896" s="5" t="s">
        <v>172</v>
      </c>
      <c r="L896" s="5" t="s">
        <v>173</v>
      </c>
      <c r="M896" s="5" t="s">
        <v>43</v>
      </c>
      <c r="N896" s="5" t="s">
        <v>174</v>
      </c>
      <c r="O896" s="7">
        <v>4787.1499999999996</v>
      </c>
      <c r="P896" s="5" t="s">
        <v>45</v>
      </c>
      <c r="Q896" s="7">
        <v>4787.1499999999996</v>
      </c>
      <c r="R896" s="5" t="s">
        <v>45</v>
      </c>
      <c r="S896" s="7">
        <v>1408.81</v>
      </c>
      <c r="T896" s="5" t="s">
        <v>46</v>
      </c>
      <c r="U896" s="5" t="s">
        <v>47</v>
      </c>
      <c r="V896" s="5" t="s">
        <v>47</v>
      </c>
      <c r="W896" s="5" t="s">
        <v>47</v>
      </c>
      <c r="X896" s="5" t="s">
        <v>47</v>
      </c>
    </row>
    <row r="897" spans="1:24" x14ac:dyDescent="0.25">
      <c r="A897" s="5" t="s">
        <v>34</v>
      </c>
      <c r="B897" s="5" t="s">
        <v>227</v>
      </c>
      <c r="C897" s="5" t="s">
        <v>228</v>
      </c>
      <c r="D897" s="5" t="s">
        <v>37</v>
      </c>
      <c r="E897" s="5" t="s">
        <v>96</v>
      </c>
      <c r="F897" s="5" t="s">
        <v>97</v>
      </c>
      <c r="G897" s="5" t="s">
        <v>40</v>
      </c>
      <c r="H897" s="6">
        <v>45961</v>
      </c>
      <c r="I897" s="6">
        <v>45961</v>
      </c>
      <c r="J897" s="6">
        <v>45964</v>
      </c>
      <c r="K897" s="5" t="s">
        <v>147</v>
      </c>
      <c r="L897" s="5" t="s">
        <v>148</v>
      </c>
      <c r="M897" s="5" t="s">
        <v>43</v>
      </c>
      <c r="N897" s="5" t="s">
        <v>149</v>
      </c>
      <c r="O897" s="7">
        <v>141.22999999999999</v>
      </c>
      <c r="P897" s="5" t="s">
        <v>45</v>
      </c>
      <c r="Q897" s="7">
        <v>141.22999999999999</v>
      </c>
      <c r="R897" s="5" t="s">
        <v>45</v>
      </c>
      <c r="S897" s="7">
        <v>41.56</v>
      </c>
      <c r="T897" s="5" t="s">
        <v>46</v>
      </c>
      <c r="U897" s="5" t="s">
        <v>47</v>
      </c>
      <c r="V897" s="5" t="s">
        <v>47</v>
      </c>
      <c r="W897" s="5" t="s">
        <v>47</v>
      </c>
      <c r="X897" s="5" t="s">
        <v>47</v>
      </c>
    </row>
    <row r="898" spans="1:24" x14ac:dyDescent="0.25">
      <c r="A898" s="5" t="s">
        <v>34</v>
      </c>
      <c r="B898" s="5" t="s">
        <v>227</v>
      </c>
      <c r="C898" s="5" t="s">
        <v>228</v>
      </c>
      <c r="D898" s="5" t="s">
        <v>37</v>
      </c>
      <c r="E898" s="5" t="s">
        <v>100</v>
      </c>
      <c r="F898" s="5" t="s">
        <v>101</v>
      </c>
      <c r="G898" s="5" t="s">
        <v>40</v>
      </c>
      <c r="H898" s="6">
        <v>45961</v>
      </c>
      <c r="I898" s="6">
        <v>45961</v>
      </c>
      <c r="J898" s="6">
        <v>45964</v>
      </c>
      <c r="K898" s="5" t="s">
        <v>172</v>
      </c>
      <c r="L898" s="5" t="s">
        <v>173</v>
      </c>
      <c r="M898" s="5" t="s">
        <v>43</v>
      </c>
      <c r="N898" s="5" t="s">
        <v>174</v>
      </c>
      <c r="O898" s="7">
        <v>3798.6</v>
      </c>
      <c r="P898" s="5" t="s">
        <v>45</v>
      </c>
      <c r="Q898" s="7">
        <v>3798.6</v>
      </c>
      <c r="R898" s="5" t="s">
        <v>45</v>
      </c>
      <c r="S898" s="7">
        <v>1117.8900000000001</v>
      </c>
      <c r="T898" s="5" t="s">
        <v>46</v>
      </c>
      <c r="U898" s="5" t="s">
        <v>47</v>
      </c>
      <c r="V898" s="5" t="s">
        <v>47</v>
      </c>
      <c r="W898" s="5" t="s">
        <v>47</v>
      </c>
      <c r="X898" s="5" t="s">
        <v>47</v>
      </c>
    </row>
    <row r="899" spans="1:24" x14ac:dyDescent="0.25">
      <c r="O899" s="8">
        <f>SUM(O2:O898)</f>
        <v>7446174.5300000003</v>
      </c>
      <c r="Q899" s="8">
        <f>SUM(Q2:Q898)</f>
        <v>7446174.5300000003</v>
      </c>
    </row>
    <row r="905" spans="1:24" ht="60" x14ac:dyDescent="0.25">
      <c r="A905" s="3" t="s">
        <v>10</v>
      </c>
      <c r="B905" s="3" t="s">
        <v>11</v>
      </c>
      <c r="C905" s="3" t="s">
        <v>12</v>
      </c>
      <c r="D905" s="4" t="s">
        <v>13</v>
      </c>
      <c r="E905" s="3" t="s">
        <v>14</v>
      </c>
      <c r="F905" s="3" t="s">
        <v>15</v>
      </c>
      <c r="G905" s="4" t="s">
        <v>16</v>
      </c>
      <c r="H905" s="3" t="s">
        <v>17</v>
      </c>
      <c r="I905" s="3" t="s">
        <v>18</v>
      </c>
      <c r="J905" s="3" t="s">
        <v>19</v>
      </c>
      <c r="K905" s="3" t="s">
        <v>20</v>
      </c>
      <c r="L905" s="3" t="s">
        <v>21</v>
      </c>
      <c r="M905" s="3" t="s">
        <v>22</v>
      </c>
      <c r="N905" s="3" t="s">
        <v>23</v>
      </c>
      <c r="O905" s="4" t="s">
        <v>24</v>
      </c>
      <c r="P905" s="4" t="s">
        <v>25</v>
      </c>
      <c r="Q905" s="4" t="s">
        <v>26</v>
      </c>
      <c r="R905" s="4" t="s">
        <v>27</v>
      </c>
      <c r="S905" s="4" t="s">
        <v>28</v>
      </c>
      <c r="T905" s="4" t="s">
        <v>29</v>
      </c>
      <c r="U905" s="3" t="s">
        <v>30</v>
      </c>
      <c r="V905" s="3" t="s">
        <v>31</v>
      </c>
      <c r="W905" s="3" t="s">
        <v>32</v>
      </c>
      <c r="X905" s="3" t="s">
        <v>33</v>
      </c>
    </row>
    <row r="906" spans="1:24" x14ac:dyDescent="0.25">
      <c r="A906" s="5" t="s">
        <v>34</v>
      </c>
      <c r="B906" s="5" t="s">
        <v>229</v>
      </c>
      <c r="C906" s="5" t="s">
        <v>230</v>
      </c>
      <c r="D906" s="5" t="s">
        <v>37</v>
      </c>
      <c r="E906" s="5" t="s">
        <v>110</v>
      </c>
      <c r="F906" s="5" t="s">
        <v>111</v>
      </c>
      <c r="G906" s="5" t="s">
        <v>40</v>
      </c>
      <c r="H906" s="6">
        <v>45961</v>
      </c>
      <c r="I906" s="6">
        <v>45961</v>
      </c>
      <c r="J906" s="6">
        <v>45960</v>
      </c>
      <c r="K906" s="5" t="s">
        <v>150</v>
      </c>
      <c r="L906" s="5" t="s">
        <v>151</v>
      </c>
      <c r="M906" s="5" t="s">
        <v>43</v>
      </c>
      <c r="N906" s="5" t="s">
        <v>152</v>
      </c>
      <c r="O906" s="7">
        <v>25805</v>
      </c>
      <c r="P906" s="5" t="s">
        <v>45</v>
      </c>
      <c r="Q906" s="7">
        <v>25805</v>
      </c>
      <c r="R906" s="5" t="s">
        <v>45</v>
      </c>
      <c r="S906" s="7">
        <v>7603.12</v>
      </c>
      <c r="T906" s="5" t="s">
        <v>46</v>
      </c>
      <c r="U906" s="5" t="s">
        <v>47</v>
      </c>
      <c r="V906" s="5" t="s">
        <v>47</v>
      </c>
      <c r="W906" s="5" t="s">
        <v>47</v>
      </c>
      <c r="X906" s="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8AED-FA71-4344-B9B5-ECADB47FF92B}">
  <dimension ref="A1:F1223"/>
  <sheetViews>
    <sheetView topLeftCell="A1187" workbookViewId="0">
      <selection activeCell="B2" sqref="B2:B1222"/>
    </sheetView>
  </sheetViews>
  <sheetFormatPr baseColWidth="10" defaultRowHeight="15" x14ac:dyDescent="0.25"/>
  <cols>
    <col min="1" max="1" width="7.140625" style="5" customWidth="1"/>
    <col min="2" max="2" width="12.7109375" style="5" customWidth="1"/>
    <col min="3" max="3" width="11" style="5" bestFit="1" customWidth="1"/>
    <col min="4" max="4" width="20.42578125" style="5" bestFit="1" customWidth="1"/>
    <col min="5" max="5" width="10.42578125" style="5" bestFit="1" customWidth="1"/>
    <col min="6" max="6" width="24.42578125" style="5" bestFit="1" customWidth="1"/>
    <col min="7" max="7" width="10.5703125" style="5" bestFit="1" customWidth="1"/>
    <col min="8" max="8" width="13.140625" style="5" bestFit="1" customWidth="1"/>
    <col min="9" max="16384" width="11.42578125" style="5"/>
  </cols>
  <sheetData>
    <row r="1" spans="1:6" s="9" customFormat="1" ht="39.950000000000003" customHeight="1" x14ac:dyDescent="0.25">
      <c r="A1" s="9" t="s">
        <v>235</v>
      </c>
      <c r="B1" s="9" t="s">
        <v>236</v>
      </c>
      <c r="C1" s="9" t="s">
        <v>237</v>
      </c>
      <c r="D1" s="9" t="s">
        <v>238</v>
      </c>
      <c r="E1" s="9" t="s">
        <v>239</v>
      </c>
      <c r="F1" s="9" t="s">
        <v>240</v>
      </c>
    </row>
    <row r="2" spans="1:6" x14ac:dyDescent="0.25">
      <c r="A2" s="5">
        <v>3131</v>
      </c>
      <c r="B2" s="10">
        <v>2900</v>
      </c>
      <c r="C2" s="11" t="s">
        <v>88</v>
      </c>
      <c r="D2" s="5" t="s">
        <v>241</v>
      </c>
      <c r="E2" s="5" t="s">
        <v>187</v>
      </c>
      <c r="F2" s="5" t="s">
        <v>188</v>
      </c>
    </row>
    <row r="3" spans="1:6" x14ac:dyDescent="0.25">
      <c r="A3" s="5">
        <v>3391</v>
      </c>
      <c r="B3" s="10">
        <v>2900</v>
      </c>
      <c r="C3" s="11" t="s">
        <v>96</v>
      </c>
      <c r="D3" s="5" t="s">
        <v>242</v>
      </c>
      <c r="E3" s="5" t="s">
        <v>187</v>
      </c>
      <c r="F3" s="5" t="s">
        <v>188</v>
      </c>
    </row>
    <row r="4" spans="1:6" x14ac:dyDescent="0.25">
      <c r="A4" s="5">
        <v>5581</v>
      </c>
      <c r="B4" s="10">
        <v>2900</v>
      </c>
      <c r="C4" s="11" t="s">
        <v>100</v>
      </c>
      <c r="D4" s="5" t="s">
        <v>101</v>
      </c>
      <c r="E4" s="5" t="s">
        <v>187</v>
      </c>
      <c r="F4" s="5" t="s">
        <v>188</v>
      </c>
    </row>
    <row r="5" spans="1:6" x14ac:dyDescent="0.25">
      <c r="A5" s="5">
        <v>7018</v>
      </c>
      <c r="B5" s="10">
        <v>2900</v>
      </c>
      <c r="C5" s="11" t="s">
        <v>102</v>
      </c>
      <c r="D5" s="5" t="s">
        <v>103</v>
      </c>
      <c r="E5" s="5" t="s">
        <v>187</v>
      </c>
      <c r="F5" s="5" t="s">
        <v>188</v>
      </c>
    </row>
    <row r="6" spans="1:6" x14ac:dyDescent="0.25">
      <c r="A6" s="5">
        <v>7106</v>
      </c>
      <c r="B6" s="10">
        <v>2900</v>
      </c>
      <c r="C6" s="11" t="s">
        <v>62</v>
      </c>
      <c r="D6" s="5" t="s">
        <v>63</v>
      </c>
      <c r="E6" s="5" t="s">
        <v>187</v>
      </c>
      <c r="F6" s="5" t="s">
        <v>188</v>
      </c>
    </row>
    <row r="7" spans="1:6" x14ac:dyDescent="0.25">
      <c r="A7" s="5">
        <v>7560</v>
      </c>
      <c r="B7" s="10">
        <v>2900</v>
      </c>
      <c r="C7" s="11" t="s">
        <v>74</v>
      </c>
      <c r="D7" s="5" t="s">
        <v>243</v>
      </c>
      <c r="E7" s="5" t="s">
        <v>187</v>
      </c>
      <c r="F7" s="5" t="s">
        <v>188</v>
      </c>
    </row>
    <row r="8" spans="1:6" x14ac:dyDescent="0.25">
      <c r="A8" s="5">
        <v>7643</v>
      </c>
      <c r="B8" s="10">
        <v>2900</v>
      </c>
      <c r="C8" s="11" t="s">
        <v>58</v>
      </c>
      <c r="D8" s="5" t="s">
        <v>59</v>
      </c>
      <c r="E8" s="5" t="s">
        <v>187</v>
      </c>
      <c r="F8" s="5" t="s">
        <v>188</v>
      </c>
    </row>
    <row r="9" spans="1:6" x14ac:dyDescent="0.25">
      <c r="A9" s="5">
        <v>7901</v>
      </c>
      <c r="B9" s="10">
        <v>2900</v>
      </c>
      <c r="C9" s="11" t="s">
        <v>110</v>
      </c>
      <c r="D9" s="5" t="s">
        <v>111</v>
      </c>
      <c r="E9" s="5" t="s">
        <v>187</v>
      </c>
      <c r="F9" s="5" t="s">
        <v>188</v>
      </c>
    </row>
    <row r="10" spans="1:6" x14ac:dyDescent="0.25">
      <c r="A10" s="5">
        <v>7939</v>
      </c>
      <c r="B10" s="10">
        <v>2900</v>
      </c>
      <c r="C10" s="11" t="s">
        <v>68</v>
      </c>
      <c r="D10" s="5" t="s">
        <v>69</v>
      </c>
      <c r="E10" s="5" t="s">
        <v>187</v>
      </c>
      <c r="F10" s="5" t="s">
        <v>188</v>
      </c>
    </row>
    <row r="11" spans="1:6" x14ac:dyDescent="0.25">
      <c r="A11" s="5">
        <v>8243</v>
      </c>
      <c r="B11" s="10">
        <v>2900</v>
      </c>
      <c r="C11" s="11" t="s">
        <v>54</v>
      </c>
      <c r="D11" s="5" t="s">
        <v>55</v>
      </c>
      <c r="E11" s="5" t="s">
        <v>187</v>
      </c>
      <c r="F11" s="5" t="s">
        <v>188</v>
      </c>
    </row>
    <row r="12" spans="1:6" x14ac:dyDescent="0.25">
      <c r="A12" s="5">
        <v>9374</v>
      </c>
      <c r="B12" s="10">
        <v>2900</v>
      </c>
      <c r="C12" s="11" t="s">
        <v>94</v>
      </c>
      <c r="D12" s="5" t="s">
        <v>95</v>
      </c>
      <c r="E12" s="5" t="s">
        <v>187</v>
      </c>
      <c r="F12" s="5" t="s">
        <v>188</v>
      </c>
    </row>
    <row r="13" spans="1:6" x14ac:dyDescent="0.25">
      <c r="A13" s="5">
        <v>9516</v>
      </c>
      <c r="B13" s="10">
        <v>2900</v>
      </c>
      <c r="C13" s="11" t="s">
        <v>94</v>
      </c>
      <c r="D13" s="5" t="s">
        <v>95</v>
      </c>
      <c r="E13" s="5" t="s">
        <v>187</v>
      </c>
      <c r="F13" s="5" t="s">
        <v>188</v>
      </c>
    </row>
    <row r="14" spans="1:6" x14ac:dyDescent="0.25">
      <c r="A14" s="5">
        <v>90008</v>
      </c>
      <c r="B14" s="10">
        <v>2900</v>
      </c>
      <c r="C14" s="11" t="s">
        <v>78</v>
      </c>
      <c r="D14" s="5" t="s">
        <v>244</v>
      </c>
      <c r="E14" s="5" t="s">
        <v>187</v>
      </c>
      <c r="F14" s="5" t="s">
        <v>188</v>
      </c>
    </row>
    <row r="15" spans="1:6" x14ac:dyDescent="0.25">
      <c r="A15" s="5">
        <v>90055</v>
      </c>
      <c r="B15" s="10">
        <v>2900</v>
      </c>
      <c r="C15" s="11" t="s">
        <v>100</v>
      </c>
      <c r="D15" s="5" t="s">
        <v>101</v>
      </c>
      <c r="E15" s="5" t="s">
        <v>187</v>
      </c>
      <c r="F15" s="5" t="s">
        <v>188</v>
      </c>
    </row>
    <row r="16" spans="1:6" x14ac:dyDescent="0.25">
      <c r="A16" s="5">
        <v>90334</v>
      </c>
      <c r="B16" s="10">
        <v>2900</v>
      </c>
      <c r="C16" s="11" t="s">
        <v>94</v>
      </c>
      <c r="D16" s="5" t="s">
        <v>95</v>
      </c>
      <c r="E16" s="5" t="s">
        <v>187</v>
      </c>
      <c r="F16" s="5" t="s">
        <v>188</v>
      </c>
    </row>
    <row r="17" spans="1:6" x14ac:dyDescent="0.25">
      <c r="A17" s="5">
        <v>90344</v>
      </c>
      <c r="B17" s="10">
        <v>2900</v>
      </c>
      <c r="C17" s="11" t="s">
        <v>96</v>
      </c>
      <c r="D17" s="5" t="s">
        <v>242</v>
      </c>
      <c r="E17" s="5" t="s">
        <v>187</v>
      </c>
      <c r="F17" s="5" t="s">
        <v>188</v>
      </c>
    </row>
    <row r="18" spans="1:6" x14ac:dyDescent="0.25">
      <c r="A18" s="5">
        <v>90368</v>
      </c>
      <c r="B18" s="10">
        <v>2900</v>
      </c>
      <c r="C18" s="11" t="s">
        <v>60</v>
      </c>
      <c r="D18" s="5" t="s">
        <v>245</v>
      </c>
      <c r="E18" s="5" t="s">
        <v>187</v>
      </c>
      <c r="F18" s="5" t="s">
        <v>188</v>
      </c>
    </row>
    <row r="19" spans="1:6" x14ac:dyDescent="0.25">
      <c r="A19" s="5">
        <v>90414</v>
      </c>
      <c r="B19" s="10">
        <v>2900</v>
      </c>
      <c r="C19" s="11" t="s">
        <v>74</v>
      </c>
      <c r="D19" s="5" t="s">
        <v>243</v>
      </c>
      <c r="E19" s="5" t="s">
        <v>187</v>
      </c>
      <c r="F19" s="5" t="s">
        <v>188</v>
      </c>
    </row>
    <row r="20" spans="1:6" x14ac:dyDescent="0.25">
      <c r="A20" s="5">
        <v>90415</v>
      </c>
      <c r="B20" s="10">
        <v>2900</v>
      </c>
      <c r="C20" s="11" t="s">
        <v>74</v>
      </c>
      <c r="D20" s="5" t="s">
        <v>243</v>
      </c>
      <c r="E20" s="5" t="s">
        <v>187</v>
      </c>
      <c r="F20" s="5" t="s">
        <v>188</v>
      </c>
    </row>
    <row r="21" spans="1:6" x14ac:dyDescent="0.25">
      <c r="A21" s="5">
        <v>90570</v>
      </c>
      <c r="B21" s="10">
        <v>2900</v>
      </c>
      <c r="C21" s="11" t="s">
        <v>74</v>
      </c>
      <c r="D21" s="5" t="s">
        <v>243</v>
      </c>
      <c r="E21" s="5" t="s">
        <v>187</v>
      </c>
      <c r="F21" s="5" t="s">
        <v>188</v>
      </c>
    </row>
    <row r="22" spans="1:6" x14ac:dyDescent="0.25">
      <c r="A22" s="5">
        <v>90727</v>
      </c>
      <c r="B22" s="10">
        <v>2900</v>
      </c>
      <c r="C22" s="11" t="s">
        <v>48</v>
      </c>
      <c r="D22" s="5" t="s">
        <v>49</v>
      </c>
      <c r="E22" s="5" t="s">
        <v>187</v>
      </c>
      <c r="F22" s="5" t="s">
        <v>188</v>
      </c>
    </row>
    <row r="23" spans="1:6" x14ac:dyDescent="0.25">
      <c r="A23" s="5">
        <v>90800</v>
      </c>
      <c r="B23" s="10">
        <v>2900</v>
      </c>
      <c r="C23" s="11" t="s">
        <v>112</v>
      </c>
      <c r="D23" s="5" t="s">
        <v>113</v>
      </c>
      <c r="E23" s="5" t="s">
        <v>187</v>
      </c>
      <c r="F23" s="5" t="s">
        <v>188</v>
      </c>
    </row>
    <row r="24" spans="1:6" x14ac:dyDescent="0.25">
      <c r="A24" s="5">
        <v>90828</v>
      </c>
      <c r="B24" s="10">
        <v>2900</v>
      </c>
      <c r="C24" s="11" t="s">
        <v>38</v>
      </c>
      <c r="D24" s="5" t="s">
        <v>246</v>
      </c>
      <c r="E24" s="5" t="s">
        <v>187</v>
      </c>
      <c r="F24" s="5" t="s">
        <v>188</v>
      </c>
    </row>
    <row r="25" spans="1:6" x14ac:dyDescent="0.25">
      <c r="A25" s="5">
        <v>90844</v>
      </c>
      <c r="B25" s="10">
        <v>2900</v>
      </c>
      <c r="C25" s="11" t="s">
        <v>74</v>
      </c>
      <c r="D25" s="5" t="s">
        <v>243</v>
      </c>
      <c r="E25" s="5" t="s">
        <v>187</v>
      </c>
      <c r="F25" s="5" t="s">
        <v>188</v>
      </c>
    </row>
    <row r="26" spans="1:6" x14ac:dyDescent="0.25">
      <c r="A26" s="5">
        <v>90845</v>
      </c>
      <c r="B26" s="10">
        <v>2900</v>
      </c>
      <c r="C26" s="11" t="s">
        <v>74</v>
      </c>
      <c r="D26" s="5" t="s">
        <v>243</v>
      </c>
      <c r="E26" s="5" t="s">
        <v>187</v>
      </c>
      <c r="F26" s="5" t="s">
        <v>188</v>
      </c>
    </row>
    <row r="27" spans="1:6" x14ac:dyDescent="0.25">
      <c r="A27" s="5">
        <v>90871</v>
      </c>
      <c r="B27" s="10">
        <v>2900</v>
      </c>
      <c r="C27" s="11" t="s">
        <v>102</v>
      </c>
      <c r="D27" s="5" t="s">
        <v>103</v>
      </c>
      <c r="E27" s="5" t="s">
        <v>187</v>
      </c>
      <c r="F27" s="5" t="s">
        <v>188</v>
      </c>
    </row>
    <row r="28" spans="1:6" x14ac:dyDescent="0.25">
      <c r="A28" s="5">
        <v>90875</v>
      </c>
      <c r="B28" s="10">
        <v>2900</v>
      </c>
      <c r="C28" s="11" t="s">
        <v>96</v>
      </c>
      <c r="D28" s="5" t="s">
        <v>242</v>
      </c>
      <c r="E28" s="5" t="s">
        <v>187</v>
      </c>
      <c r="F28" s="5" t="s">
        <v>188</v>
      </c>
    </row>
    <row r="29" spans="1:6" x14ac:dyDescent="0.25">
      <c r="A29" s="5">
        <v>90893</v>
      </c>
      <c r="B29" s="10">
        <v>2900</v>
      </c>
      <c r="C29" s="11" t="s">
        <v>58</v>
      </c>
      <c r="D29" s="5" t="s">
        <v>59</v>
      </c>
      <c r="E29" s="5" t="s">
        <v>187</v>
      </c>
      <c r="F29" s="5" t="s">
        <v>188</v>
      </c>
    </row>
    <row r="30" spans="1:6" x14ac:dyDescent="0.25">
      <c r="A30" s="5">
        <v>90928</v>
      </c>
      <c r="B30" s="10">
        <v>2900</v>
      </c>
      <c r="C30" s="11" t="s">
        <v>48</v>
      </c>
      <c r="D30" s="5" t="s">
        <v>49</v>
      </c>
      <c r="E30" s="5" t="s">
        <v>187</v>
      </c>
      <c r="F30" s="5" t="s">
        <v>188</v>
      </c>
    </row>
    <row r="31" spans="1:6" x14ac:dyDescent="0.25">
      <c r="A31" s="5">
        <v>90942</v>
      </c>
      <c r="B31" s="10">
        <v>2900</v>
      </c>
      <c r="C31" s="11" t="s">
        <v>84</v>
      </c>
      <c r="D31" s="5" t="s">
        <v>247</v>
      </c>
      <c r="E31" s="5" t="s">
        <v>187</v>
      </c>
      <c r="F31" s="5" t="s">
        <v>188</v>
      </c>
    </row>
    <row r="32" spans="1:6" x14ac:dyDescent="0.25">
      <c r="A32" s="5">
        <v>90944</v>
      </c>
      <c r="B32" s="10">
        <v>2900</v>
      </c>
      <c r="C32" s="11" t="s">
        <v>118</v>
      </c>
      <c r="D32" s="5" t="s">
        <v>119</v>
      </c>
      <c r="E32" s="5" t="s">
        <v>187</v>
      </c>
      <c r="F32" s="5" t="s">
        <v>188</v>
      </c>
    </row>
    <row r="33" spans="1:6" x14ac:dyDescent="0.25">
      <c r="A33" s="5">
        <v>90953</v>
      </c>
      <c r="B33" s="10">
        <v>2900</v>
      </c>
      <c r="C33" s="11" t="s">
        <v>56</v>
      </c>
      <c r="D33" s="5" t="s">
        <v>248</v>
      </c>
      <c r="E33" s="5" t="s">
        <v>187</v>
      </c>
      <c r="F33" s="5" t="s">
        <v>188</v>
      </c>
    </row>
    <row r="34" spans="1:6" x14ac:dyDescent="0.25">
      <c r="A34" s="5">
        <v>91013</v>
      </c>
      <c r="B34" s="10">
        <v>2900</v>
      </c>
      <c r="C34" s="11" t="s">
        <v>50</v>
      </c>
      <c r="D34" s="5" t="s">
        <v>51</v>
      </c>
      <c r="E34" s="5" t="s">
        <v>187</v>
      </c>
      <c r="F34" s="5" t="s">
        <v>188</v>
      </c>
    </row>
    <row r="35" spans="1:6" x14ac:dyDescent="0.25">
      <c r="A35" s="5">
        <v>91071</v>
      </c>
      <c r="B35" s="10">
        <v>2900</v>
      </c>
      <c r="C35" s="11" t="s">
        <v>96</v>
      </c>
      <c r="D35" s="5" t="s">
        <v>242</v>
      </c>
      <c r="E35" s="5" t="s">
        <v>187</v>
      </c>
      <c r="F35" s="5" t="s">
        <v>188</v>
      </c>
    </row>
    <row r="36" spans="1:6" x14ac:dyDescent="0.25">
      <c r="A36" s="5">
        <v>91074</v>
      </c>
      <c r="B36" s="10">
        <v>2900</v>
      </c>
      <c r="C36" s="11" t="s">
        <v>86</v>
      </c>
      <c r="D36" s="5" t="s">
        <v>87</v>
      </c>
      <c r="E36" s="5" t="s">
        <v>187</v>
      </c>
      <c r="F36" s="5" t="s">
        <v>188</v>
      </c>
    </row>
    <row r="37" spans="1:6" x14ac:dyDescent="0.25">
      <c r="A37" s="5">
        <v>91177</v>
      </c>
      <c r="B37" s="10">
        <v>2900</v>
      </c>
      <c r="C37" s="11" t="s">
        <v>56</v>
      </c>
      <c r="D37" s="5" t="s">
        <v>248</v>
      </c>
      <c r="E37" s="5" t="s">
        <v>187</v>
      </c>
      <c r="F37" s="5" t="s">
        <v>188</v>
      </c>
    </row>
    <row r="38" spans="1:6" x14ac:dyDescent="0.25">
      <c r="A38" s="5">
        <v>91180</v>
      </c>
      <c r="B38" s="10">
        <v>2900</v>
      </c>
      <c r="C38" s="11" t="s">
        <v>86</v>
      </c>
      <c r="D38" s="5" t="s">
        <v>87</v>
      </c>
      <c r="E38" s="5" t="s">
        <v>187</v>
      </c>
      <c r="F38" s="5" t="s">
        <v>188</v>
      </c>
    </row>
    <row r="39" spans="1:6" x14ac:dyDescent="0.25">
      <c r="A39" s="5">
        <v>91220</v>
      </c>
      <c r="B39" s="10">
        <v>2900</v>
      </c>
      <c r="C39" s="11" t="s">
        <v>116</v>
      </c>
      <c r="D39" s="5" t="s">
        <v>117</v>
      </c>
      <c r="E39" s="5" t="s">
        <v>187</v>
      </c>
      <c r="F39" s="5" t="s">
        <v>188</v>
      </c>
    </row>
    <row r="40" spans="1:6" x14ac:dyDescent="0.25">
      <c r="A40" s="5">
        <v>91250</v>
      </c>
      <c r="B40" s="10">
        <v>2900</v>
      </c>
      <c r="C40" s="11" t="s">
        <v>56</v>
      </c>
      <c r="D40" s="5" t="s">
        <v>248</v>
      </c>
      <c r="E40" s="5" t="s">
        <v>187</v>
      </c>
      <c r="F40" s="5" t="s">
        <v>188</v>
      </c>
    </row>
    <row r="41" spans="1:6" x14ac:dyDescent="0.25">
      <c r="A41" s="5">
        <v>91280</v>
      </c>
      <c r="B41" s="10">
        <v>2900</v>
      </c>
      <c r="C41" s="11" t="s">
        <v>60</v>
      </c>
      <c r="D41" s="5" t="s">
        <v>245</v>
      </c>
      <c r="E41" s="5" t="s">
        <v>187</v>
      </c>
      <c r="F41" s="5" t="s">
        <v>188</v>
      </c>
    </row>
    <row r="42" spans="1:6" x14ac:dyDescent="0.25">
      <c r="A42" s="5">
        <v>91324</v>
      </c>
      <c r="B42" s="10">
        <v>2900</v>
      </c>
      <c r="C42" s="11" t="s">
        <v>122</v>
      </c>
      <c r="D42" s="5" t="s">
        <v>123</v>
      </c>
      <c r="E42" s="5" t="s">
        <v>187</v>
      </c>
      <c r="F42" s="5" t="s">
        <v>188</v>
      </c>
    </row>
    <row r="43" spans="1:6" x14ac:dyDescent="0.25">
      <c r="A43" s="5">
        <v>91468</v>
      </c>
      <c r="B43" s="10">
        <v>2900</v>
      </c>
      <c r="C43" s="11" t="s">
        <v>50</v>
      </c>
      <c r="D43" s="5" t="s">
        <v>51</v>
      </c>
      <c r="E43" s="5" t="s">
        <v>187</v>
      </c>
      <c r="F43" s="5" t="s">
        <v>188</v>
      </c>
    </row>
    <row r="44" spans="1:6" x14ac:dyDescent="0.25">
      <c r="A44" s="5">
        <v>91555</v>
      </c>
      <c r="B44" s="10">
        <v>2900</v>
      </c>
      <c r="C44" s="11" t="s">
        <v>96</v>
      </c>
      <c r="D44" s="5" t="s">
        <v>242</v>
      </c>
      <c r="E44" s="5" t="s">
        <v>187</v>
      </c>
      <c r="F44" s="5" t="s">
        <v>188</v>
      </c>
    </row>
    <row r="45" spans="1:6" x14ac:dyDescent="0.25">
      <c r="A45" s="5">
        <v>91564</v>
      </c>
      <c r="B45" s="10">
        <v>2900</v>
      </c>
      <c r="C45" s="11" t="s">
        <v>96</v>
      </c>
      <c r="D45" s="5" t="s">
        <v>242</v>
      </c>
      <c r="E45" s="5" t="s">
        <v>187</v>
      </c>
      <c r="F45" s="5" t="s">
        <v>188</v>
      </c>
    </row>
    <row r="46" spans="1:6" x14ac:dyDescent="0.25">
      <c r="A46" s="5">
        <v>91660</v>
      </c>
      <c r="B46" s="10">
        <v>2900</v>
      </c>
      <c r="C46" s="11" t="s">
        <v>110</v>
      </c>
      <c r="D46" s="5" t="s">
        <v>111</v>
      </c>
      <c r="E46" s="5" t="s">
        <v>187</v>
      </c>
      <c r="F46" s="5" t="s">
        <v>188</v>
      </c>
    </row>
    <row r="47" spans="1:6" x14ac:dyDescent="0.25">
      <c r="A47" s="5">
        <v>91704</v>
      </c>
      <c r="B47" s="10">
        <v>2900</v>
      </c>
      <c r="C47" s="11" t="s">
        <v>84</v>
      </c>
      <c r="D47" s="5" t="s">
        <v>247</v>
      </c>
      <c r="E47" s="5" t="s">
        <v>187</v>
      </c>
      <c r="F47" s="5" t="s">
        <v>188</v>
      </c>
    </row>
    <row r="48" spans="1:6" x14ac:dyDescent="0.25">
      <c r="A48" s="5">
        <v>91740</v>
      </c>
      <c r="B48" s="10">
        <v>2900</v>
      </c>
      <c r="C48" s="11" t="s">
        <v>116</v>
      </c>
      <c r="D48" s="5" t="s">
        <v>117</v>
      </c>
      <c r="E48" s="5" t="s">
        <v>187</v>
      </c>
      <c r="F48" s="5" t="s">
        <v>188</v>
      </c>
    </row>
    <row r="49" spans="1:6" x14ac:dyDescent="0.25">
      <c r="A49" s="5">
        <v>91954</v>
      </c>
      <c r="B49" s="10">
        <v>2900</v>
      </c>
      <c r="C49" s="11" t="s">
        <v>102</v>
      </c>
      <c r="D49" s="5" t="s">
        <v>103</v>
      </c>
      <c r="E49" s="5" t="s">
        <v>187</v>
      </c>
      <c r="F49" s="5" t="s">
        <v>188</v>
      </c>
    </row>
    <row r="50" spans="1:6" x14ac:dyDescent="0.25">
      <c r="A50" s="5">
        <v>91962</v>
      </c>
      <c r="B50" s="10">
        <v>2900</v>
      </c>
      <c r="C50" s="11" t="s">
        <v>80</v>
      </c>
      <c r="D50" s="5" t="s">
        <v>249</v>
      </c>
      <c r="E50" s="5" t="s">
        <v>187</v>
      </c>
      <c r="F50" s="5" t="s">
        <v>188</v>
      </c>
    </row>
    <row r="51" spans="1:6" x14ac:dyDescent="0.25">
      <c r="A51" s="5">
        <v>91988</v>
      </c>
      <c r="B51" s="10">
        <v>2900</v>
      </c>
      <c r="C51" s="11" t="s">
        <v>100</v>
      </c>
      <c r="D51" s="5" t="s">
        <v>101</v>
      </c>
      <c r="E51" s="5" t="s">
        <v>187</v>
      </c>
      <c r="F51" s="5" t="s">
        <v>188</v>
      </c>
    </row>
    <row r="52" spans="1:6" x14ac:dyDescent="0.25">
      <c r="A52" s="5">
        <v>92015</v>
      </c>
      <c r="B52" s="10">
        <v>2900</v>
      </c>
      <c r="C52" s="11" t="s">
        <v>98</v>
      </c>
      <c r="D52" s="5" t="s">
        <v>250</v>
      </c>
      <c r="E52" s="5" t="s">
        <v>187</v>
      </c>
      <c r="F52" s="5" t="s">
        <v>188</v>
      </c>
    </row>
    <row r="53" spans="1:6" x14ac:dyDescent="0.25">
      <c r="A53" s="5">
        <v>92026</v>
      </c>
      <c r="B53" s="10">
        <v>2900</v>
      </c>
      <c r="C53" s="11" t="s">
        <v>84</v>
      </c>
      <c r="D53" s="5" t="s">
        <v>247</v>
      </c>
      <c r="E53" s="5" t="s">
        <v>187</v>
      </c>
      <c r="F53" s="5" t="s">
        <v>188</v>
      </c>
    </row>
    <row r="54" spans="1:6" x14ac:dyDescent="0.25">
      <c r="A54" s="5">
        <v>92095</v>
      </c>
      <c r="B54" s="10">
        <v>2900</v>
      </c>
      <c r="C54" s="11" t="s">
        <v>90</v>
      </c>
      <c r="D54" s="5" t="s">
        <v>91</v>
      </c>
      <c r="E54" s="5" t="s">
        <v>187</v>
      </c>
      <c r="F54" s="5" t="s">
        <v>188</v>
      </c>
    </row>
    <row r="55" spans="1:6" x14ac:dyDescent="0.25">
      <c r="A55" s="5">
        <v>92125</v>
      </c>
      <c r="B55" s="10">
        <v>2900</v>
      </c>
      <c r="C55" s="11" t="s">
        <v>80</v>
      </c>
      <c r="D55" s="5" t="s">
        <v>249</v>
      </c>
      <c r="E55" s="5" t="s">
        <v>187</v>
      </c>
      <c r="F55" s="5" t="s">
        <v>188</v>
      </c>
    </row>
    <row r="56" spans="1:6" x14ac:dyDescent="0.25">
      <c r="A56" s="5">
        <v>92184</v>
      </c>
      <c r="B56" s="10">
        <v>2900</v>
      </c>
      <c r="C56" s="11" t="s">
        <v>60</v>
      </c>
      <c r="D56" s="5" t="s">
        <v>245</v>
      </c>
      <c r="E56" s="5" t="s">
        <v>187</v>
      </c>
      <c r="F56" s="5" t="s">
        <v>188</v>
      </c>
    </row>
    <row r="57" spans="1:6" x14ac:dyDescent="0.25">
      <c r="A57" s="5">
        <v>92364</v>
      </c>
      <c r="B57" s="10">
        <v>2900</v>
      </c>
      <c r="C57" s="11" t="s">
        <v>90</v>
      </c>
      <c r="D57" s="5" t="s">
        <v>91</v>
      </c>
      <c r="E57" s="5" t="s">
        <v>187</v>
      </c>
      <c r="F57" s="5" t="s">
        <v>188</v>
      </c>
    </row>
    <row r="58" spans="1:6" x14ac:dyDescent="0.25">
      <c r="A58" s="5">
        <v>92575</v>
      </c>
      <c r="B58" s="10">
        <v>2900</v>
      </c>
      <c r="C58" s="11" t="s">
        <v>76</v>
      </c>
      <c r="D58" s="5" t="s">
        <v>77</v>
      </c>
      <c r="E58" s="5" t="s">
        <v>187</v>
      </c>
      <c r="F58" s="5" t="s">
        <v>188</v>
      </c>
    </row>
    <row r="59" spans="1:6" x14ac:dyDescent="0.25">
      <c r="A59" s="5">
        <v>92908</v>
      </c>
      <c r="B59" s="10">
        <v>2900</v>
      </c>
      <c r="C59" s="11" t="s">
        <v>64</v>
      </c>
      <c r="D59" s="5" t="s">
        <v>251</v>
      </c>
      <c r="E59" s="5" t="s">
        <v>187</v>
      </c>
      <c r="F59" s="5" t="s">
        <v>188</v>
      </c>
    </row>
    <row r="60" spans="1:6" x14ac:dyDescent="0.25">
      <c r="A60" s="5">
        <v>93072</v>
      </c>
      <c r="B60" s="10">
        <v>2900</v>
      </c>
      <c r="C60" s="11" t="s">
        <v>52</v>
      </c>
      <c r="D60" s="5" t="s">
        <v>252</v>
      </c>
      <c r="E60" s="5" t="s">
        <v>187</v>
      </c>
      <c r="F60" s="5" t="s">
        <v>188</v>
      </c>
    </row>
    <row r="61" spans="1:6" x14ac:dyDescent="0.25">
      <c r="A61" s="5">
        <v>93160</v>
      </c>
      <c r="B61" s="10">
        <v>2900</v>
      </c>
      <c r="C61" s="11" t="s">
        <v>72</v>
      </c>
      <c r="D61" s="5" t="s">
        <v>73</v>
      </c>
      <c r="E61" s="5" t="s">
        <v>187</v>
      </c>
      <c r="F61" s="5" t="s">
        <v>188</v>
      </c>
    </row>
    <row r="62" spans="1:6" x14ac:dyDescent="0.25">
      <c r="A62" s="5">
        <v>93203</v>
      </c>
      <c r="B62" s="10">
        <v>2900</v>
      </c>
      <c r="C62" s="11" t="s">
        <v>94</v>
      </c>
      <c r="D62" s="5" t="s">
        <v>95</v>
      </c>
      <c r="E62" s="5" t="s">
        <v>187</v>
      </c>
      <c r="F62" s="5" t="s">
        <v>188</v>
      </c>
    </row>
    <row r="63" spans="1:6" x14ac:dyDescent="0.25">
      <c r="A63" s="5">
        <v>93210</v>
      </c>
      <c r="B63" s="10">
        <v>2900</v>
      </c>
      <c r="C63" s="11" t="s">
        <v>96</v>
      </c>
      <c r="D63" s="5" t="s">
        <v>242</v>
      </c>
      <c r="E63" s="5" t="s">
        <v>187</v>
      </c>
      <c r="F63" s="5" t="s">
        <v>188</v>
      </c>
    </row>
    <row r="64" spans="1:6" x14ac:dyDescent="0.25">
      <c r="A64" s="5">
        <v>93456</v>
      </c>
      <c r="B64" s="10">
        <v>2900</v>
      </c>
      <c r="C64" s="11" t="s">
        <v>60</v>
      </c>
      <c r="D64" s="5" t="s">
        <v>245</v>
      </c>
      <c r="E64" s="5" t="s">
        <v>187</v>
      </c>
      <c r="F64" s="5" t="s">
        <v>188</v>
      </c>
    </row>
    <row r="65" spans="1:6" x14ac:dyDescent="0.25">
      <c r="A65" s="5">
        <v>93521</v>
      </c>
      <c r="B65" s="10">
        <v>2900</v>
      </c>
      <c r="C65" s="11" t="s">
        <v>114</v>
      </c>
      <c r="D65" s="5" t="s">
        <v>253</v>
      </c>
      <c r="E65" s="5" t="s">
        <v>187</v>
      </c>
      <c r="F65" s="5" t="s">
        <v>188</v>
      </c>
    </row>
    <row r="66" spans="1:6" x14ac:dyDescent="0.25">
      <c r="A66" s="5">
        <v>93620</v>
      </c>
      <c r="B66" s="10">
        <v>2900</v>
      </c>
      <c r="C66" s="11" t="s">
        <v>114</v>
      </c>
      <c r="D66" s="5" t="s">
        <v>253</v>
      </c>
      <c r="E66" s="5" t="s">
        <v>187</v>
      </c>
      <c r="F66" s="5" t="s">
        <v>188</v>
      </c>
    </row>
    <row r="67" spans="1:6" x14ac:dyDescent="0.25">
      <c r="A67" s="5">
        <v>94102</v>
      </c>
      <c r="B67" s="10">
        <v>2900</v>
      </c>
      <c r="C67" s="11" t="s">
        <v>104</v>
      </c>
      <c r="D67" s="5" t="s">
        <v>254</v>
      </c>
      <c r="E67" s="5" t="s">
        <v>187</v>
      </c>
      <c r="F67" s="5" t="s">
        <v>188</v>
      </c>
    </row>
    <row r="68" spans="1:6" x14ac:dyDescent="0.25">
      <c r="A68" s="5">
        <v>94177</v>
      </c>
      <c r="B68" s="10">
        <v>2900</v>
      </c>
      <c r="C68" s="11" t="s">
        <v>104</v>
      </c>
      <c r="D68" s="5" t="s">
        <v>254</v>
      </c>
      <c r="E68" s="5" t="s">
        <v>187</v>
      </c>
      <c r="F68" s="5" t="s">
        <v>188</v>
      </c>
    </row>
    <row r="69" spans="1:6" x14ac:dyDescent="0.25">
      <c r="A69" s="5">
        <v>94438</v>
      </c>
      <c r="B69" s="10">
        <v>2900</v>
      </c>
      <c r="C69" s="11" t="s">
        <v>60</v>
      </c>
      <c r="D69" s="5" t="s">
        <v>245</v>
      </c>
      <c r="E69" s="5" t="s">
        <v>187</v>
      </c>
      <c r="F69" s="5" t="s">
        <v>188</v>
      </c>
    </row>
    <row r="70" spans="1:6" x14ac:dyDescent="0.25">
      <c r="A70" s="5">
        <v>94546</v>
      </c>
      <c r="B70" s="10">
        <v>2900</v>
      </c>
      <c r="C70" s="11" t="s">
        <v>114</v>
      </c>
      <c r="D70" s="5" t="s">
        <v>253</v>
      </c>
      <c r="E70" s="5" t="s">
        <v>187</v>
      </c>
      <c r="F70" s="5" t="s">
        <v>188</v>
      </c>
    </row>
    <row r="71" spans="1:6" x14ac:dyDescent="0.25">
      <c r="A71" s="5">
        <v>94579</v>
      </c>
      <c r="B71" s="10">
        <v>2900</v>
      </c>
      <c r="C71" s="11" t="s">
        <v>56</v>
      </c>
      <c r="D71" s="5" t="s">
        <v>248</v>
      </c>
      <c r="E71" s="5" t="s">
        <v>187</v>
      </c>
      <c r="F71" s="5" t="s">
        <v>188</v>
      </c>
    </row>
    <row r="72" spans="1:6" x14ac:dyDescent="0.25">
      <c r="A72" s="5">
        <v>94944</v>
      </c>
      <c r="B72" s="10">
        <v>2900</v>
      </c>
      <c r="C72" s="11" t="s">
        <v>96</v>
      </c>
      <c r="D72" s="5" t="s">
        <v>242</v>
      </c>
      <c r="E72" s="5" t="s">
        <v>187</v>
      </c>
      <c r="F72" s="5" t="s">
        <v>188</v>
      </c>
    </row>
    <row r="73" spans="1:6" x14ac:dyDescent="0.25">
      <c r="A73" s="5">
        <v>94946</v>
      </c>
      <c r="B73" s="10">
        <v>2900</v>
      </c>
      <c r="C73" s="11" t="s">
        <v>104</v>
      </c>
      <c r="D73" s="5" t="s">
        <v>254</v>
      </c>
      <c r="E73" s="5" t="s">
        <v>187</v>
      </c>
      <c r="F73" s="5" t="s">
        <v>188</v>
      </c>
    </row>
    <row r="74" spans="1:6" x14ac:dyDescent="0.25">
      <c r="A74" s="5">
        <v>95247</v>
      </c>
      <c r="B74" s="10">
        <v>2900</v>
      </c>
      <c r="C74" s="11" t="s">
        <v>56</v>
      </c>
      <c r="D74" s="5" t="s">
        <v>248</v>
      </c>
      <c r="E74" s="5" t="s">
        <v>187</v>
      </c>
      <c r="F74" s="5" t="s">
        <v>188</v>
      </c>
    </row>
    <row r="75" spans="1:6" x14ac:dyDescent="0.25">
      <c r="A75" s="5">
        <v>95450</v>
      </c>
      <c r="B75" s="10">
        <v>1450</v>
      </c>
      <c r="C75" s="11" t="s">
        <v>60</v>
      </c>
      <c r="D75" s="5" t="s">
        <v>245</v>
      </c>
      <c r="E75" s="5" t="s">
        <v>187</v>
      </c>
      <c r="F75" s="5" t="s">
        <v>188</v>
      </c>
    </row>
    <row r="76" spans="1:6" x14ac:dyDescent="0.25">
      <c r="A76" s="5">
        <v>1298</v>
      </c>
      <c r="B76" s="10">
        <v>2900</v>
      </c>
      <c r="C76" s="11" t="s">
        <v>142</v>
      </c>
      <c r="D76" s="5" t="s">
        <v>255</v>
      </c>
      <c r="E76" s="5" t="s">
        <v>189</v>
      </c>
      <c r="F76" s="5" t="s">
        <v>190</v>
      </c>
    </row>
    <row r="77" spans="1:6" x14ac:dyDescent="0.25">
      <c r="A77" s="5">
        <v>2937</v>
      </c>
      <c r="B77" s="10">
        <v>2900</v>
      </c>
      <c r="C77" s="11" t="s">
        <v>74</v>
      </c>
      <c r="D77" s="5" t="s">
        <v>243</v>
      </c>
      <c r="E77" s="5" t="s">
        <v>189</v>
      </c>
      <c r="F77" s="5" t="s">
        <v>190</v>
      </c>
    </row>
    <row r="78" spans="1:6" x14ac:dyDescent="0.25">
      <c r="A78" s="5">
        <v>3549</v>
      </c>
      <c r="B78" s="10">
        <v>2900</v>
      </c>
      <c r="C78" s="11" t="s">
        <v>50</v>
      </c>
      <c r="D78" s="5" t="s">
        <v>51</v>
      </c>
      <c r="E78" s="5" t="s">
        <v>189</v>
      </c>
      <c r="F78" s="5" t="s">
        <v>190</v>
      </c>
    </row>
    <row r="79" spans="1:6" x14ac:dyDescent="0.25">
      <c r="A79" s="5">
        <v>4096</v>
      </c>
      <c r="B79" s="10">
        <v>2900</v>
      </c>
      <c r="C79" s="11" t="s">
        <v>64</v>
      </c>
      <c r="D79" s="5" t="s">
        <v>251</v>
      </c>
      <c r="E79" s="5" t="s">
        <v>189</v>
      </c>
      <c r="F79" s="5" t="s">
        <v>190</v>
      </c>
    </row>
    <row r="80" spans="1:6" x14ac:dyDescent="0.25">
      <c r="A80" s="5">
        <v>4097</v>
      </c>
      <c r="B80" s="10">
        <v>2900</v>
      </c>
      <c r="C80" s="11" t="s">
        <v>110</v>
      </c>
      <c r="D80" s="5" t="s">
        <v>111</v>
      </c>
      <c r="E80" s="5" t="s">
        <v>189</v>
      </c>
      <c r="F80" s="5" t="s">
        <v>190</v>
      </c>
    </row>
    <row r="81" spans="1:6" x14ac:dyDescent="0.25">
      <c r="A81" s="5">
        <v>4353</v>
      </c>
      <c r="B81" s="10">
        <v>2900</v>
      </c>
      <c r="C81" s="11" t="s">
        <v>82</v>
      </c>
      <c r="D81" s="5" t="s">
        <v>256</v>
      </c>
      <c r="E81" s="5" t="s">
        <v>189</v>
      </c>
      <c r="F81" s="5" t="s">
        <v>190</v>
      </c>
    </row>
    <row r="82" spans="1:6" x14ac:dyDescent="0.25">
      <c r="A82" s="5">
        <v>4479</v>
      </c>
      <c r="B82" s="10">
        <v>2900</v>
      </c>
      <c r="C82" s="11" t="s">
        <v>74</v>
      </c>
      <c r="D82" s="5" t="s">
        <v>243</v>
      </c>
      <c r="E82" s="5" t="s">
        <v>189</v>
      </c>
      <c r="F82" s="5" t="s">
        <v>190</v>
      </c>
    </row>
    <row r="83" spans="1:6" x14ac:dyDescent="0.25">
      <c r="A83" s="5">
        <v>4796</v>
      </c>
      <c r="B83" s="10">
        <v>2900</v>
      </c>
      <c r="C83" s="11" t="s">
        <v>64</v>
      </c>
      <c r="D83" s="5" t="s">
        <v>251</v>
      </c>
      <c r="E83" s="5" t="s">
        <v>189</v>
      </c>
      <c r="F83" s="5" t="s">
        <v>190</v>
      </c>
    </row>
    <row r="84" spans="1:6" x14ac:dyDescent="0.25">
      <c r="A84" s="5">
        <v>4951</v>
      </c>
      <c r="B84" s="10">
        <v>2900</v>
      </c>
      <c r="C84" s="11" t="s">
        <v>74</v>
      </c>
      <c r="D84" s="5" t="s">
        <v>243</v>
      </c>
      <c r="E84" s="5" t="s">
        <v>189</v>
      </c>
      <c r="F84" s="5" t="s">
        <v>190</v>
      </c>
    </row>
    <row r="85" spans="1:6" x14ac:dyDescent="0.25">
      <c r="A85" s="5">
        <v>4953</v>
      </c>
      <c r="B85" s="10">
        <v>2900</v>
      </c>
      <c r="C85" s="11" t="s">
        <v>80</v>
      </c>
      <c r="D85" s="5" t="s">
        <v>249</v>
      </c>
      <c r="E85" s="5" t="s">
        <v>189</v>
      </c>
      <c r="F85" s="5" t="s">
        <v>190</v>
      </c>
    </row>
    <row r="86" spans="1:6" x14ac:dyDescent="0.25">
      <c r="A86" s="5">
        <v>4954</v>
      </c>
      <c r="B86" s="10">
        <v>2900</v>
      </c>
      <c r="C86" s="11" t="s">
        <v>62</v>
      </c>
      <c r="D86" s="5" t="s">
        <v>63</v>
      </c>
      <c r="E86" s="5" t="s">
        <v>189</v>
      </c>
      <c r="F86" s="5" t="s">
        <v>190</v>
      </c>
    </row>
    <row r="87" spans="1:6" x14ac:dyDescent="0.25">
      <c r="A87" s="5">
        <v>7202</v>
      </c>
      <c r="B87" s="10">
        <v>2900</v>
      </c>
      <c r="C87" s="11" t="s">
        <v>50</v>
      </c>
      <c r="D87" s="5" t="s">
        <v>51</v>
      </c>
      <c r="E87" s="5" t="s">
        <v>189</v>
      </c>
      <c r="F87" s="5" t="s">
        <v>190</v>
      </c>
    </row>
    <row r="88" spans="1:6" x14ac:dyDescent="0.25">
      <c r="A88" s="5">
        <v>7210</v>
      </c>
      <c r="B88" s="10">
        <v>2900</v>
      </c>
      <c r="C88" s="11" t="s">
        <v>38</v>
      </c>
      <c r="D88" s="5" t="s">
        <v>246</v>
      </c>
      <c r="E88" s="5" t="s">
        <v>189</v>
      </c>
      <c r="F88" s="5" t="s">
        <v>190</v>
      </c>
    </row>
    <row r="89" spans="1:6" x14ac:dyDescent="0.25">
      <c r="A89" s="5">
        <v>7215</v>
      </c>
      <c r="B89" s="10">
        <v>2900</v>
      </c>
      <c r="C89" s="11" t="s">
        <v>110</v>
      </c>
      <c r="D89" s="5" t="s">
        <v>111</v>
      </c>
      <c r="E89" s="5" t="s">
        <v>189</v>
      </c>
      <c r="F89" s="5" t="s">
        <v>190</v>
      </c>
    </row>
    <row r="90" spans="1:6" x14ac:dyDescent="0.25">
      <c r="A90" s="5">
        <v>7232</v>
      </c>
      <c r="B90" s="10">
        <v>2900</v>
      </c>
      <c r="C90" s="11" t="s">
        <v>62</v>
      </c>
      <c r="D90" s="5" t="s">
        <v>63</v>
      </c>
      <c r="E90" s="5" t="s">
        <v>189</v>
      </c>
      <c r="F90" s="5" t="s">
        <v>190</v>
      </c>
    </row>
    <row r="91" spans="1:6" x14ac:dyDescent="0.25">
      <c r="A91" s="5">
        <v>7242</v>
      </c>
      <c r="B91" s="10">
        <v>2900</v>
      </c>
      <c r="C91" s="11" t="s">
        <v>116</v>
      </c>
      <c r="D91" s="5" t="s">
        <v>117</v>
      </c>
      <c r="E91" s="5" t="s">
        <v>189</v>
      </c>
      <c r="F91" s="5" t="s">
        <v>190</v>
      </c>
    </row>
    <row r="92" spans="1:6" x14ac:dyDescent="0.25">
      <c r="A92" s="5">
        <v>7244</v>
      </c>
      <c r="B92" s="10">
        <v>2900</v>
      </c>
      <c r="C92" s="11" t="s">
        <v>38</v>
      </c>
      <c r="D92" s="5" t="s">
        <v>246</v>
      </c>
      <c r="E92" s="5" t="s">
        <v>189</v>
      </c>
      <c r="F92" s="5" t="s">
        <v>190</v>
      </c>
    </row>
    <row r="93" spans="1:6" x14ac:dyDescent="0.25">
      <c r="A93" s="5">
        <v>7256</v>
      </c>
      <c r="B93" s="10">
        <v>2900</v>
      </c>
      <c r="C93" s="11" t="s">
        <v>38</v>
      </c>
      <c r="D93" s="5" t="s">
        <v>246</v>
      </c>
      <c r="E93" s="5" t="s">
        <v>189</v>
      </c>
      <c r="F93" s="5" t="s">
        <v>190</v>
      </c>
    </row>
    <row r="94" spans="1:6" x14ac:dyDescent="0.25">
      <c r="A94" s="5">
        <v>7284</v>
      </c>
      <c r="B94" s="10">
        <v>2900</v>
      </c>
      <c r="C94" s="11" t="s">
        <v>110</v>
      </c>
      <c r="D94" s="5" t="s">
        <v>111</v>
      </c>
      <c r="E94" s="5" t="s">
        <v>189</v>
      </c>
      <c r="F94" s="5" t="s">
        <v>190</v>
      </c>
    </row>
    <row r="95" spans="1:6" x14ac:dyDescent="0.25">
      <c r="A95" s="5">
        <v>7285</v>
      </c>
      <c r="B95" s="10">
        <v>2900</v>
      </c>
      <c r="C95" s="11" t="s">
        <v>74</v>
      </c>
      <c r="D95" s="5" t="s">
        <v>243</v>
      </c>
      <c r="E95" s="5" t="s">
        <v>189</v>
      </c>
      <c r="F95" s="5" t="s">
        <v>190</v>
      </c>
    </row>
    <row r="96" spans="1:6" x14ac:dyDescent="0.25">
      <c r="A96" s="5">
        <v>7296</v>
      </c>
      <c r="B96" s="10">
        <v>2900</v>
      </c>
      <c r="C96" s="11" t="s">
        <v>60</v>
      </c>
      <c r="D96" s="5" t="s">
        <v>245</v>
      </c>
      <c r="E96" s="5" t="s">
        <v>189</v>
      </c>
      <c r="F96" s="5" t="s">
        <v>190</v>
      </c>
    </row>
    <row r="97" spans="1:6" x14ac:dyDescent="0.25">
      <c r="A97" s="5">
        <v>7305</v>
      </c>
      <c r="B97" s="10">
        <v>2900</v>
      </c>
      <c r="C97" s="11" t="s">
        <v>116</v>
      </c>
      <c r="D97" s="5" t="s">
        <v>117</v>
      </c>
      <c r="E97" s="5" t="s">
        <v>189</v>
      </c>
      <c r="F97" s="5" t="s">
        <v>190</v>
      </c>
    </row>
    <row r="98" spans="1:6" x14ac:dyDescent="0.25">
      <c r="A98" s="5">
        <v>7313</v>
      </c>
      <c r="B98" s="10">
        <v>2900</v>
      </c>
      <c r="C98" s="11" t="s">
        <v>50</v>
      </c>
      <c r="D98" s="5" t="s">
        <v>51</v>
      </c>
      <c r="E98" s="5" t="s">
        <v>189</v>
      </c>
      <c r="F98" s="5" t="s">
        <v>190</v>
      </c>
    </row>
    <row r="99" spans="1:6" x14ac:dyDescent="0.25">
      <c r="A99" s="5">
        <v>7326</v>
      </c>
      <c r="B99" s="10">
        <v>2900</v>
      </c>
      <c r="C99" s="11" t="s">
        <v>60</v>
      </c>
      <c r="D99" s="5" t="s">
        <v>245</v>
      </c>
      <c r="E99" s="5" t="s">
        <v>189</v>
      </c>
      <c r="F99" s="5" t="s">
        <v>190</v>
      </c>
    </row>
    <row r="100" spans="1:6" x14ac:dyDescent="0.25">
      <c r="A100" s="5">
        <v>7336</v>
      </c>
      <c r="B100" s="10">
        <v>2900</v>
      </c>
      <c r="C100" s="11" t="s">
        <v>74</v>
      </c>
      <c r="D100" s="5" t="s">
        <v>243</v>
      </c>
      <c r="E100" s="5" t="s">
        <v>189</v>
      </c>
      <c r="F100" s="5" t="s">
        <v>190</v>
      </c>
    </row>
    <row r="101" spans="1:6" x14ac:dyDescent="0.25">
      <c r="A101" s="5">
        <v>7365</v>
      </c>
      <c r="B101" s="10">
        <v>2900</v>
      </c>
      <c r="C101" s="11" t="s">
        <v>38</v>
      </c>
      <c r="D101" s="5" t="s">
        <v>246</v>
      </c>
      <c r="E101" s="5" t="s">
        <v>189</v>
      </c>
      <c r="F101" s="5" t="s">
        <v>190</v>
      </c>
    </row>
    <row r="102" spans="1:6" x14ac:dyDescent="0.25">
      <c r="A102" s="5">
        <v>7402</v>
      </c>
      <c r="B102" s="10">
        <v>2900</v>
      </c>
      <c r="C102" s="11" t="s">
        <v>110</v>
      </c>
      <c r="D102" s="5" t="s">
        <v>111</v>
      </c>
      <c r="E102" s="5" t="s">
        <v>189</v>
      </c>
      <c r="F102" s="5" t="s">
        <v>190</v>
      </c>
    </row>
    <row r="103" spans="1:6" x14ac:dyDescent="0.25">
      <c r="A103" s="5">
        <v>7469</v>
      </c>
      <c r="B103" s="10">
        <v>2900</v>
      </c>
      <c r="C103" s="11" t="s">
        <v>60</v>
      </c>
      <c r="D103" s="5" t="s">
        <v>245</v>
      </c>
      <c r="E103" s="5" t="s">
        <v>189</v>
      </c>
      <c r="F103" s="5" t="s">
        <v>190</v>
      </c>
    </row>
    <row r="104" spans="1:6" x14ac:dyDescent="0.25">
      <c r="A104" s="5">
        <v>7482</v>
      </c>
      <c r="B104" s="10">
        <v>2900</v>
      </c>
      <c r="C104" s="11" t="s">
        <v>68</v>
      </c>
      <c r="D104" s="5" t="s">
        <v>69</v>
      </c>
      <c r="E104" s="5" t="s">
        <v>189</v>
      </c>
      <c r="F104" s="5" t="s">
        <v>190</v>
      </c>
    </row>
    <row r="105" spans="1:6" x14ac:dyDescent="0.25">
      <c r="A105" s="5">
        <v>7509</v>
      </c>
      <c r="B105" s="10">
        <v>2900</v>
      </c>
      <c r="C105" s="11" t="s">
        <v>50</v>
      </c>
      <c r="D105" s="5" t="s">
        <v>51</v>
      </c>
      <c r="E105" s="5" t="s">
        <v>189</v>
      </c>
      <c r="F105" s="5" t="s">
        <v>190</v>
      </c>
    </row>
    <row r="106" spans="1:6" x14ac:dyDescent="0.25">
      <c r="A106" s="5">
        <v>7519</v>
      </c>
      <c r="B106" s="10">
        <v>2900</v>
      </c>
      <c r="C106" s="11" t="s">
        <v>62</v>
      </c>
      <c r="D106" s="5" t="s">
        <v>63</v>
      </c>
      <c r="E106" s="5" t="s">
        <v>189</v>
      </c>
      <c r="F106" s="5" t="s">
        <v>190</v>
      </c>
    </row>
    <row r="107" spans="1:6" x14ac:dyDescent="0.25">
      <c r="A107" s="5">
        <v>7520</v>
      </c>
      <c r="B107" s="10">
        <v>2900</v>
      </c>
      <c r="C107" s="11" t="s">
        <v>92</v>
      </c>
      <c r="D107" s="5" t="s">
        <v>93</v>
      </c>
      <c r="E107" s="5" t="s">
        <v>189</v>
      </c>
      <c r="F107" s="5" t="s">
        <v>190</v>
      </c>
    </row>
    <row r="108" spans="1:6" x14ac:dyDescent="0.25">
      <c r="A108" s="5">
        <v>7524</v>
      </c>
      <c r="B108" s="10">
        <v>2900</v>
      </c>
      <c r="C108" s="11" t="s">
        <v>62</v>
      </c>
      <c r="D108" s="5" t="s">
        <v>63</v>
      </c>
      <c r="E108" s="5" t="s">
        <v>189</v>
      </c>
      <c r="F108" s="5" t="s">
        <v>190</v>
      </c>
    </row>
    <row r="109" spans="1:6" x14ac:dyDescent="0.25">
      <c r="A109" s="5">
        <v>7525</v>
      </c>
      <c r="B109" s="10">
        <v>2900</v>
      </c>
      <c r="C109" s="11" t="s">
        <v>70</v>
      </c>
      <c r="D109" s="5" t="s">
        <v>257</v>
      </c>
      <c r="E109" s="5" t="s">
        <v>189</v>
      </c>
      <c r="F109" s="5" t="s">
        <v>190</v>
      </c>
    </row>
    <row r="110" spans="1:6" x14ac:dyDescent="0.25">
      <c r="A110" s="5">
        <v>7533</v>
      </c>
      <c r="B110" s="10">
        <v>2900</v>
      </c>
      <c r="C110" s="11" t="s">
        <v>38</v>
      </c>
      <c r="D110" s="5" t="s">
        <v>246</v>
      </c>
      <c r="E110" s="5" t="s">
        <v>189</v>
      </c>
      <c r="F110" s="5" t="s">
        <v>190</v>
      </c>
    </row>
    <row r="111" spans="1:6" x14ac:dyDescent="0.25">
      <c r="A111" s="5">
        <v>7542</v>
      </c>
      <c r="B111" s="10">
        <v>2900</v>
      </c>
      <c r="C111" s="11" t="s">
        <v>110</v>
      </c>
      <c r="D111" s="5" t="s">
        <v>111</v>
      </c>
      <c r="E111" s="5" t="s">
        <v>189</v>
      </c>
      <c r="F111" s="5" t="s">
        <v>190</v>
      </c>
    </row>
    <row r="112" spans="1:6" x14ac:dyDescent="0.25">
      <c r="A112" s="5">
        <v>7549</v>
      </c>
      <c r="B112" s="10">
        <v>2900</v>
      </c>
      <c r="C112" s="11" t="s">
        <v>74</v>
      </c>
      <c r="D112" s="5" t="s">
        <v>243</v>
      </c>
      <c r="E112" s="5" t="s">
        <v>189</v>
      </c>
      <c r="F112" s="5" t="s">
        <v>190</v>
      </c>
    </row>
    <row r="113" spans="1:6" x14ac:dyDescent="0.25">
      <c r="A113" s="5">
        <v>7550</v>
      </c>
      <c r="B113" s="10">
        <v>2900</v>
      </c>
      <c r="C113" s="11" t="s">
        <v>110</v>
      </c>
      <c r="D113" s="5" t="s">
        <v>111</v>
      </c>
      <c r="E113" s="5" t="s">
        <v>189</v>
      </c>
      <c r="F113" s="5" t="s">
        <v>190</v>
      </c>
    </row>
    <row r="114" spans="1:6" x14ac:dyDescent="0.25">
      <c r="A114" s="5">
        <v>7584</v>
      </c>
      <c r="B114" s="10">
        <v>2900</v>
      </c>
      <c r="C114" s="11" t="s">
        <v>110</v>
      </c>
      <c r="D114" s="5" t="s">
        <v>111</v>
      </c>
      <c r="E114" s="5" t="s">
        <v>189</v>
      </c>
      <c r="F114" s="5" t="s">
        <v>190</v>
      </c>
    </row>
    <row r="115" spans="1:6" x14ac:dyDescent="0.25">
      <c r="A115" s="5">
        <v>7636</v>
      </c>
      <c r="B115" s="10">
        <v>2900</v>
      </c>
      <c r="C115" s="11" t="s">
        <v>110</v>
      </c>
      <c r="D115" s="5" t="s">
        <v>111</v>
      </c>
      <c r="E115" s="5" t="s">
        <v>189</v>
      </c>
      <c r="F115" s="5" t="s">
        <v>190</v>
      </c>
    </row>
    <row r="116" spans="1:6" x14ac:dyDescent="0.25">
      <c r="A116" s="5">
        <v>7637</v>
      </c>
      <c r="B116" s="10">
        <v>2900</v>
      </c>
      <c r="C116" s="11" t="s">
        <v>60</v>
      </c>
      <c r="D116" s="5" t="s">
        <v>245</v>
      </c>
      <c r="E116" s="5" t="s">
        <v>189</v>
      </c>
      <c r="F116" s="5" t="s">
        <v>190</v>
      </c>
    </row>
    <row r="117" spans="1:6" x14ac:dyDescent="0.25">
      <c r="A117" s="5">
        <v>7645</v>
      </c>
      <c r="B117" s="10">
        <v>2900</v>
      </c>
      <c r="C117" s="11" t="s">
        <v>100</v>
      </c>
      <c r="D117" s="5" t="s">
        <v>101</v>
      </c>
      <c r="E117" s="5" t="s">
        <v>189</v>
      </c>
      <c r="F117" s="5" t="s">
        <v>190</v>
      </c>
    </row>
    <row r="118" spans="1:6" x14ac:dyDescent="0.25">
      <c r="A118" s="5">
        <v>7647</v>
      </c>
      <c r="B118" s="10">
        <v>2900</v>
      </c>
      <c r="C118" s="11" t="s">
        <v>62</v>
      </c>
      <c r="D118" s="5" t="s">
        <v>63</v>
      </c>
      <c r="E118" s="5" t="s">
        <v>189</v>
      </c>
      <c r="F118" s="5" t="s">
        <v>190</v>
      </c>
    </row>
    <row r="119" spans="1:6" x14ac:dyDescent="0.25">
      <c r="A119" s="5">
        <v>7648</v>
      </c>
      <c r="B119" s="10">
        <v>2900</v>
      </c>
      <c r="C119" s="11" t="s">
        <v>100</v>
      </c>
      <c r="D119" s="5" t="s">
        <v>101</v>
      </c>
      <c r="E119" s="5" t="s">
        <v>189</v>
      </c>
      <c r="F119" s="5" t="s">
        <v>190</v>
      </c>
    </row>
    <row r="120" spans="1:6" x14ac:dyDescent="0.25">
      <c r="A120" s="5">
        <v>7677</v>
      </c>
      <c r="B120" s="10">
        <v>2900</v>
      </c>
      <c r="C120" s="11" t="s">
        <v>74</v>
      </c>
      <c r="D120" s="5" t="s">
        <v>243</v>
      </c>
      <c r="E120" s="5" t="s">
        <v>189</v>
      </c>
      <c r="F120" s="5" t="s">
        <v>190</v>
      </c>
    </row>
    <row r="121" spans="1:6" x14ac:dyDescent="0.25">
      <c r="A121" s="5">
        <v>7682</v>
      </c>
      <c r="B121" s="10">
        <v>2900</v>
      </c>
      <c r="C121" s="11" t="s">
        <v>50</v>
      </c>
      <c r="D121" s="5" t="s">
        <v>51</v>
      </c>
      <c r="E121" s="5" t="s">
        <v>189</v>
      </c>
      <c r="F121" s="5" t="s">
        <v>190</v>
      </c>
    </row>
    <row r="122" spans="1:6" x14ac:dyDescent="0.25">
      <c r="A122" s="5">
        <v>7701</v>
      </c>
      <c r="B122" s="10">
        <v>2900</v>
      </c>
      <c r="C122" s="11" t="s">
        <v>80</v>
      </c>
      <c r="D122" s="5" t="s">
        <v>249</v>
      </c>
      <c r="E122" s="5" t="s">
        <v>189</v>
      </c>
      <c r="F122" s="5" t="s">
        <v>190</v>
      </c>
    </row>
    <row r="123" spans="1:6" x14ac:dyDescent="0.25">
      <c r="A123" s="5">
        <v>7721</v>
      </c>
      <c r="B123" s="10">
        <v>2900</v>
      </c>
      <c r="C123" s="11" t="s">
        <v>60</v>
      </c>
      <c r="D123" s="5" t="s">
        <v>245</v>
      </c>
      <c r="E123" s="5" t="s">
        <v>189</v>
      </c>
      <c r="F123" s="5" t="s">
        <v>190</v>
      </c>
    </row>
    <row r="124" spans="1:6" x14ac:dyDescent="0.25">
      <c r="A124" s="5">
        <v>7725</v>
      </c>
      <c r="B124" s="10">
        <v>2900</v>
      </c>
      <c r="C124" s="11" t="s">
        <v>110</v>
      </c>
      <c r="D124" s="5" t="s">
        <v>111</v>
      </c>
      <c r="E124" s="5" t="s">
        <v>189</v>
      </c>
      <c r="F124" s="5" t="s">
        <v>190</v>
      </c>
    </row>
    <row r="125" spans="1:6" x14ac:dyDescent="0.25">
      <c r="A125" s="5">
        <v>7743</v>
      </c>
      <c r="B125" s="10">
        <v>2900</v>
      </c>
      <c r="C125" s="11" t="s">
        <v>62</v>
      </c>
      <c r="D125" s="5" t="s">
        <v>63</v>
      </c>
      <c r="E125" s="5" t="s">
        <v>189</v>
      </c>
      <c r="F125" s="5" t="s">
        <v>190</v>
      </c>
    </row>
    <row r="126" spans="1:6" x14ac:dyDescent="0.25">
      <c r="A126" s="5">
        <v>7756</v>
      </c>
      <c r="B126" s="10">
        <v>2900</v>
      </c>
      <c r="C126" s="11" t="s">
        <v>116</v>
      </c>
      <c r="D126" s="5" t="s">
        <v>117</v>
      </c>
      <c r="E126" s="5" t="s">
        <v>189</v>
      </c>
      <c r="F126" s="5" t="s">
        <v>190</v>
      </c>
    </row>
    <row r="127" spans="1:6" x14ac:dyDescent="0.25">
      <c r="A127" s="5">
        <v>7758</v>
      </c>
      <c r="B127" s="10">
        <v>2900</v>
      </c>
      <c r="C127" s="11" t="s">
        <v>38</v>
      </c>
      <c r="D127" s="5" t="s">
        <v>246</v>
      </c>
      <c r="E127" s="5" t="s">
        <v>189</v>
      </c>
      <c r="F127" s="5" t="s">
        <v>190</v>
      </c>
    </row>
    <row r="128" spans="1:6" x14ac:dyDescent="0.25">
      <c r="A128" s="5">
        <v>7764</v>
      </c>
      <c r="B128" s="10">
        <v>2900</v>
      </c>
      <c r="C128" s="11" t="s">
        <v>60</v>
      </c>
      <c r="D128" s="5" t="s">
        <v>245</v>
      </c>
      <c r="E128" s="5" t="s">
        <v>189</v>
      </c>
      <c r="F128" s="5" t="s">
        <v>190</v>
      </c>
    </row>
    <row r="129" spans="1:6" x14ac:dyDescent="0.25">
      <c r="A129" s="5">
        <v>7779</v>
      </c>
      <c r="B129" s="10">
        <v>2900</v>
      </c>
      <c r="C129" s="11" t="s">
        <v>80</v>
      </c>
      <c r="D129" s="5" t="s">
        <v>249</v>
      </c>
      <c r="E129" s="5" t="s">
        <v>189</v>
      </c>
      <c r="F129" s="5" t="s">
        <v>190</v>
      </c>
    </row>
    <row r="130" spans="1:6" x14ac:dyDescent="0.25">
      <c r="A130" s="5">
        <v>7810</v>
      </c>
      <c r="B130" s="10">
        <v>2900</v>
      </c>
      <c r="C130" s="11" t="s">
        <v>48</v>
      </c>
      <c r="D130" s="5" t="s">
        <v>49</v>
      </c>
      <c r="E130" s="5" t="s">
        <v>189</v>
      </c>
      <c r="F130" s="5" t="s">
        <v>190</v>
      </c>
    </row>
    <row r="131" spans="1:6" x14ac:dyDescent="0.25">
      <c r="A131" s="5">
        <v>7902</v>
      </c>
      <c r="B131" s="10">
        <v>2900</v>
      </c>
      <c r="C131" s="11" t="s">
        <v>62</v>
      </c>
      <c r="D131" s="5" t="s">
        <v>63</v>
      </c>
      <c r="E131" s="5" t="s">
        <v>189</v>
      </c>
      <c r="F131" s="5" t="s">
        <v>190</v>
      </c>
    </row>
    <row r="132" spans="1:6" x14ac:dyDescent="0.25">
      <c r="A132" s="5">
        <v>7904</v>
      </c>
      <c r="B132" s="10">
        <v>2900</v>
      </c>
      <c r="C132" s="11" t="s">
        <v>110</v>
      </c>
      <c r="D132" s="5" t="s">
        <v>111</v>
      </c>
      <c r="E132" s="5" t="s">
        <v>189</v>
      </c>
      <c r="F132" s="5" t="s">
        <v>190</v>
      </c>
    </row>
    <row r="133" spans="1:6" x14ac:dyDescent="0.25">
      <c r="A133" s="5">
        <v>7908</v>
      </c>
      <c r="B133" s="10">
        <v>2900</v>
      </c>
      <c r="C133" s="11" t="s">
        <v>110</v>
      </c>
      <c r="D133" s="5" t="s">
        <v>111</v>
      </c>
      <c r="E133" s="5" t="s">
        <v>189</v>
      </c>
      <c r="F133" s="5" t="s">
        <v>190</v>
      </c>
    </row>
    <row r="134" spans="1:6" x14ac:dyDescent="0.25">
      <c r="A134" s="5">
        <v>7910</v>
      </c>
      <c r="B134" s="10">
        <v>2900</v>
      </c>
      <c r="C134" s="11" t="s">
        <v>50</v>
      </c>
      <c r="D134" s="5" t="s">
        <v>51</v>
      </c>
      <c r="E134" s="5" t="s">
        <v>189</v>
      </c>
      <c r="F134" s="5" t="s">
        <v>190</v>
      </c>
    </row>
    <row r="135" spans="1:6" x14ac:dyDescent="0.25">
      <c r="A135" s="5">
        <v>7915</v>
      </c>
      <c r="B135" s="10">
        <v>2900</v>
      </c>
      <c r="C135" s="11" t="s">
        <v>82</v>
      </c>
      <c r="D135" s="5" t="s">
        <v>256</v>
      </c>
      <c r="E135" s="5" t="s">
        <v>189</v>
      </c>
      <c r="F135" s="5" t="s">
        <v>190</v>
      </c>
    </row>
    <row r="136" spans="1:6" x14ac:dyDescent="0.25">
      <c r="A136" s="5">
        <v>7928</v>
      </c>
      <c r="B136" s="10">
        <v>2900</v>
      </c>
      <c r="C136" s="11" t="s">
        <v>64</v>
      </c>
      <c r="D136" s="5" t="s">
        <v>251</v>
      </c>
      <c r="E136" s="5" t="s">
        <v>189</v>
      </c>
      <c r="F136" s="5" t="s">
        <v>190</v>
      </c>
    </row>
    <row r="137" spans="1:6" x14ac:dyDescent="0.25">
      <c r="A137" s="5">
        <v>7943</v>
      </c>
      <c r="B137" s="10">
        <v>2900</v>
      </c>
      <c r="C137" s="11" t="s">
        <v>62</v>
      </c>
      <c r="D137" s="5" t="s">
        <v>63</v>
      </c>
      <c r="E137" s="5" t="s">
        <v>189</v>
      </c>
      <c r="F137" s="5" t="s">
        <v>190</v>
      </c>
    </row>
    <row r="138" spans="1:6" x14ac:dyDescent="0.25">
      <c r="A138" s="5">
        <v>7944</v>
      </c>
      <c r="B138" s="10">
        <v>2900</v>
      </c>
      <c r="C138" s="11" t="s">
        <v>100</v>
      </c>
      <c r="D138" s="5" t="s">
        <v>101</v>
      </c>
      <c r="E138" s="5" t="s">
        <v>189</v>
      </c>
      <c r="F138" s="5" t="s">
        <v>190</v>
      </c>
    </row>
    <row r="139" spans="1:6" x14ac:dyDescent="0.25">
      <c r="A139" s="5">
        <v>7947</v>
      </c>
      <c r="B139" s="10">
        <v>2900</v>
      </c>
      <c r="C139" s="11" t="s">
        <v>82</v>
      </c>
      <c r="D139" s="5" t="s">
        <v>256</v>
      </c>
      <c r="E139" s="5" t="s">
        <v>189</v>
      </c>
      <c r="F139" s="5" t="s">
        <v>190</v>
      </c>
    </row>
    <row r="140" spans="1:6" x14ac:dyDescent="0.25">
      <c r="A140" s="5">
        <v>7949</v>
      </c>
      <c r="B140" s="10">
        <v>2900</v>
      </c>
      <c r="C140" s="11" t="s">
        <v>72</v>
      </c>
      <c r="D140" s="5" t="s">
        <v>73</v>
      </c>
      <c r="E140" s="5" t="s">
        <v>189</v>
      </c>
      <c r="F140" s="5" t="s">
        <v>190</v>
      </c>
    </row>
    <row r="141" spans="1:6" x14ac:dyDescent="0.25">
      <c r="A141" s="5">
        <v>7950</v>
      </c>
      <c r="B141" s="10">
        <v>2900</v>
      </c>
      <c r="C141" s="11" t="s">
        <v>74</v>
      </c>
      <c r="D141" s="5" t="s">
        <v>243</v>
      </c>
      <c r="E141" s="5" t="s">
        <v>189</v>
      </c>
      <c r="F141" s="5" t="s">
        <v>190</v>
      </c>
    </row>
    <row r="142" spans="1:6" x14ac:dyDescent="0.25">
      <c r="A142" s="5">
        <v>7954</v>
      </c>
      <c r="B142" s="10">
        <v>2900</v>
      </c>
      <c r="C142" s="11" t="s">
        <v>64</v>
      </c>
      <c r="D142" s="5" t="s">
        <v>251</v>
      </c>
      <c r="E142" s="5" t="s">
        <v>189</v>
      </c>
      <c r="F142" s="5" t="s">
        <v>190</v>
      </c>
    </row>
    <row r="143" spans="1:6" x14ac:dyDescent="0.25">
      <c r="A143" s="5">
        <v>7955</v>
      </c>
      <c r="B143" s="10">
        <v>2900</v>
      </c>
      <c r="C143" s="11" t="s">
        <v>74</v>
      </c>
      <c r="D143" s="5" t="s">
        <v>243</v>
      </c>
      <c r="E143" s="5" t="s">
        <v>189</v>
      </c>
      <c r="F143" s="5" t="s">
        <v>190</v>
      </c>
    </row>
    <row r="144" spans="1:6" x14ac:dyDescent="0.25">
      <c r="A144" s="5">
        <v>7957</v>
      </c>
      <c r="B144" s="10">
        <v>2900</v>
      </c>
      <c r="C144" s="11" t="s">
        <v>50</v>
      </c>
      <c r="D144" s="5" t="s">
        <v>51</v>
      </c>
      <c r="E144" s="5" t="s">
        <v>189</v>
      </c>
      <c r="F144" s="5" t="s">
        <v>190</v>
      </c>
    </row>
    <row r="145" spans="1:6" x14ac:dyDescent="0.25">
      <c r="A145" s="5">
        <v>7961</v>
      </c>
      <c r="B145" s="10">
        <v>2900</v>
      </c>
      <c r="C145" s="11" t="s">
        <v>38</v>
      </c>
      <c r="D145" s="5" t="s">
        <v>246</v>
      </c>
      <c r="E145" s="5" t="s">
        <v>189</v>
      </c>
      <c r="F145" s="5" t="s">
        <v>190</v>
      </c>
    </row>
    <row r="146" spans="1:6" x14ac:dyDescent="0.25">
      <c r="A146" s="5">
        <v>7963</v>
      </c>
      <c r="B146" s="10">
        <v>2900</v>
      </c>
      <c r="C146" s="11" t="s">
        <v>110</v>
      </c>
      <c r="D146" s="5" t="s">
        <v>111</v>
      </c>
      <c r="E146" s="5" t="s">
        <v>189</v>
      </c>
      <c r="F146" s="5" t="s">
        <v>190</v>
      </c>
    </row>
    <row r="147" spans="1:6" x14ac:dyDescent="0.25">
      <c r="A147" s="5">
        <v>7974</v>
      </c>
      <c r="B147" s="10">
        <v>2900</v>
      </c>
      <c r="C147" s="11" t="s">
        <v>60</v>
      </c>
      <c r="D147" s="5" t="s">
        <v>245</v>
      </c>
      <c r="E147" s="5" t="s">
        <v>189</v>
      </c>
      <c r="F147" s="5" t="s">
        <v>190</v>
      </c>
    </row>
    <row r="148" spans="1:6" x14ac:dyDescent="0.25">
      <c r="A148" s="5">
        <v>7978</v>
      </c>
      <c r="B148" s="10">
        <v>2900</v>
      </c>
      <c r="C148" s="11" t="s">
        <v>74</v>
      </c>
      <c r="D148" s="5" t="s">
        <v>243</v>
      </c>
      <c r="E148" s="5" t="s">
        <v>189</v>
      </c>
      <c r="F148" s="5" t="s">
        <v>190</v>
      </c>
    </row>
    <row r="149" spans="1:6" x14ac:dyDescent="0.25">
      <c r="A149" s="5">
        <v>7986</v>
      </c>
      <c r="B149" s="10">
        <v>2900</v>
      </c>
      <c r="C149" s="11" t="s">
        <v>110</v>
      </c>
      <c r="D149" s="5" t="s">
        <v>111</v>
      </c>
      <c r="E149" s="5" t="s">
        <v>189</v>
      </c>
      <c r="F149" s="5" t="s">
        <v>190</v>
      </c>
    </row>
    <row r="150" spans="1:6" x14ac:dyDescent="0.25">
      <c r="A150" s="5">
        <v>7989</v>
      </c>
      <c r="B150" s="10">
        <v>2900</v>
      </c>
      <c r="C150" s="11" t="s">
        <v>62</v>
      </c>
      <c r="D150" s="5" t="s">
        <v>63</v>
      </c>
      <c r="E150" s="5" t="s">
        <v>189</v>
      </c>
      <c r="F150" s="5" t="s">
        <v>190</v>
      </c>
    </row>
    <row r="151" spans="1:6" x14ac:dyDescent="0.25">
      <c r="A151" s="5">
        <v>7990</v>
      </c>
      <c r="B151" s="10">
        <v>2900</v>
      </c>
      <c r="C151" s="11" t="s">
        <v>38</v>
      </c>
      <c r="D151" s="5" t="s">
        <v>246</v>
      </c>
      <c r="E151" s="5" t="s">
        <v>189</v>
      </c>
      <c r="F151" s="5" t="s">
        <v>190</v>
      </c>
    </row>
    <row r="152" spans="1:6" x14ac:dyDescent="0.25">
      <c r="A152" s="5">
        <v>7991</v>
      </c>
      <c r="B152" s="10">
        <v>2900</v>
      </c>
      <c r="C152" s="11" t="s">
        <v>74</v>
      </c>
      <c r="D152" s="5" t="s">
        <v>243</v>
      </c>
      <c r="E152" s="5" t="s">
        <v>189</v>
      </c>
      <c r="F152" s="5" t="s">
        <v>190</v>
      </c>
    </row>
    <row r="153" spans="1:6" x14ac:dyDescent="0.25">
      <c r="A153" s="5">
        <v>90030</v>
      </c>
      <c r="B153" s="10">
        <v>2900</v>
      </c>
      <c r="C153" s="11" t="s">
        <v>116</v>
      </c>
      <c r="D153" s="5" t="s">
        <v>117</v>
      </c>
      <c r="E153" s="5" t="s">
        <v>189</v>
      </c>
      <c r="F153" s="5" t="s">
        <v>190</v>
      </c>
    </row>
    <row r="154" spans="1:6" x14ac:dyDescent="0.25">
      <c r="A154" s="5">
        <v>90044</v>
      </c>
      <c r="B154" s="10">
        <v>2900</v>
      </c>
      <c r="C154" s="11" t="s">
        <v>38</v>
      </c>
      <c r="D154" s="5" t="s">
        <v>246</v>
      </c>
      <c r="E154" s="5" t="s">
        <v>189</v>
      </c>
      <c r="F154" s="5" t="s">
        <v>190</v>
      </c>
    </row>
    <row r="155" spans="1:6" x14ac:dyDescent="0.25">
      <c r="A155" s="5">
        <v>90049</v>
      </c>
      <c r="B155" s="10">
        <v>2900</v>
      </c>
      <c r="C155" s="11" t="s">
        <v>50</v>
      </c>
      <c r="D155" s="5" t="s">
        <v>51</v>
      </c>
      <c r="E155" s="5" t="s">
        <v>189</v>
      </c>
      <c r="F155" s="5" t="s">
        <v>190</v>
      </c>
    </row>
    <row r="156" spans="1:6" x14ac:dyDescent="0.25">
      <c r="A156" s="5">
        <v>90050</v>
      </c>
      <c r="B156" s="10">
        <v>2900</v>
      </c>
      <c r="C156" s="11" t="s">
        <v>82</v>
      </c>
      <c r="D156" s="5" t="s">
        <v>256</v>
      </c>
      <c r="E156" s="5" t="s">
        <v>189</v>
      </c>
      <c r="F156" s="5" t="s">
        <v>190</v>
      </c>
    </row>
    <row r="157" spans="1:6" x14ac:dyDescent="0.25">
      <c r="A157" s="5">
        <v>90052</v>
      </c>
      <c r="B157" s="10">
        <v>2900</v>
      </c>
      <c r="C157" s="11" t="s">
        <v>64</v>
      </c>
      <c r="D157" s="5" t="s">
        <v>251</v>
      </c>
      <c r="E157" s="5" t="s">
        <v>189</v>
      </c>
      <c r="F157" s="5" t="s">
        <v>190</v>
      </c>
    </row>
    <row r="158" spans="1:6" x14ac:dyDescent="0.25">
      <c r="A158" s="5">
        <v>90057</v>
      </c>
      <c r="B158" s="10">
        <v>2900</v>
      </c>
      <c r="C158" s="11" t="s">
        <v>50</v>
      </c>
      <c r="D158" s="5" t="s">
        <v>51</v>
      </c>
      <c r="E158" s="5" t="s">
        <v>189</v>
      </c>
      <c r="F158" s="5" t="s">
        <v>190</v>
      </c>
    </row>
    <row r="159" spans="1:6" x14ac:dyDescent="0.25">
      <c r="A159" s="5">
        <v>90061</v>
      </c>
      <c r="B159" s="10">
        <v>2900</v>
      </c>
      <c r="C159" s="11" t="s">
        <v>50</v>
      </c>
      <c r="D159" s="5" t="s">
        <v>51</v>
      </c>
      <c r="E159" s="5" t="s">
        <v>189</v>
      </c>
      <c r="F159" s="5" t="s">
        <v>190</v>
      </c>
    </row>
    <row r="160" spans="1:6" x14ac:dyDescent="0.25">
      <c r="A160" s="5">
        <v>90063</v>
      </c>
      <c r="B160" s="10">
        <v>2900</v>
      </c>
      <c r="C160" s="11" t="s">
        <v>78</v>
      </c>
      <c r="D160" s="5" t="s">
        <v>244</v>
      </c>
      <c r="E160" s="5" t="s">
        <v>189</v>
      </c>
      <c r="F160" s="5" t="s">
        <v>190</v>
      </c>
    </row>
    <row r="161" spans="1:6" x14ac:dyDescent="0.25">
      <c r="A161" s="5">
        <v>90064</v>
      </c>
      <c r="B161" s="10">
        <v>2900</v>
      </c>
      <c r="C161" s="11" t="s">
        <v>74</v>
      </c>
      <c r="D161" s="5" t="s">
        <v>243</v>
      </c>
      <c r="E161" s="5" t="s">
        <v>189</v>
      </c>
      <c r="F161" s="5" t="s">
        <v>190</v>
      </c>
    </row>
    <row r="162" spans="1:6" x14ac:dyDescent="0.25">
      <c r="A162" s="5">
        <v>90086</v>
      </c>
      <c r="B162" s="10">
        <v>2900</v>
      </c>
      <c r="C162" s="11" t="s">
        <v>74</v>
      </c>
      <c r="D162" s="5" t="s">
        <v>243</v>
      </c>
      <c r="E162" s="5" t="s">
        <v>189</v>
      </c>
      <c r="F162" s="5" t="s">
        <v>190</v>
      </c>
    </row>
    <row r="163" spans="1:6" x14ac:dyDescent="0.25">
      <c r="A163" s="5">
        <v>90103</v>
      </c>
      <c r="B163" s="10">
        <v>2900</v>
      </c>
      <c r="C163" s="11" t="s">
        <v>110</v>
      </c>
      <c r="D163" s="5" t="s">
        <v>111</v>
      </c>
      <c r="E163" s="5" t="s">
        <v>189</v>
      </c>
      <c r="F163" s="5" t="s">
        <v>190</v>
      </c>
    </row>
    <row r="164" spans="1:6" x14ac:dyDescent="0.25">
      <c r="A164" s="5">
        <v>90110</v>
      </c>
      <c r="B164" s="10">
        <v>2900</v>
      </c>
      <c r="C164" s="11" t="s">
        <v>78</v>
      </c>
      <c r="D164" s="5" t="s">
        <v>244</v>
      </c>
      <c r="E164" s="5" t="s">
        <v>189</v>
      </c>
      <c r="F164" s="5" t="s">
        <v>190</v>
      </c>
    </row>
    <row r="165" spans="1:6" x14ac:dyDescent="0.25">
      <c r="A165" s="5">
        <v>90136</v>
      </c>
      <c r="B165" s="10">
        <v>2900</v>
      </c>
      <c r="C165" s="11" t="s">
        <v>110</v>
      </c>
      <c r="D165" s="5" t="s">
        <v>111</v>
      </c>
      <c r="E165" s="5" t="s">
        <v>189</v>
      </c>
      <c r="F165" s="5" t="s">
        <v>190</v>
      </c>
    </row>
    <row r="166" spans="1:6" x14ac:dyDescent="0.25">
      <c r="A166" s="5">
        <v>90137</v>
      </c>
      <c r="B166" s="10">
        <v>2900</v>
      </c>
      <c r="C166" s="11" t="s">
        <v>78</v>
      </c>
      <c r="D166" s="5" t="s">
        <v>244</v>
      </c>
      <c r="E166" s="5" t="s">
        <v>189</v>
      </c>
      <c r="F166" s="5" t="s">
        <v>190</v>
      </c>
    </row>
    <row r="167" spans="1:6" x14ac:dyDescent="0.25">
      <c r="A167" s="5">
        <v>90143</v>
      </c>
      <c r="B167" s="10">
        <v>2900</v>
      </c>
      <c r="C167" s="11" t="s">
        <v>78</v>
      </c>
      <c r="D167" s="5" t="s">
        <v>244</v>
      </c>
      <c r="E167" s="5" t="s">
        <v>189</v>
      </c>
      <c r="F167" s="5" t="s">
        <v>190</v>
      </c>
    </row>
    <row r="168" spans="1:6" x14ac:dyDescent="0.25">
      <c r="A168" s="5">
        <v>90149</v>
      </c>
      <c r="B168" s="10">
        <v>2900</v>
      </c>
      <c r="C168" s="11" t="s">
        <v>116</v>
      </c>
      <c r="D168" s="5" t="s">
        <v>117</v>
      </c>
      <c r="E168" s="5" t="s">
        <v>189</v>
      </c>
      <c r="F168" s="5" t="s">
        <v>190</v>
      </c>
    </row>
    <row r="169" spans="1:6" x14ac:dyDescent="0.25">
      <c r="A169" s="5">
        <v>90150</v>
      </c>
      <c r="B169" s="10">
        <v>2900</v>
      </c>
      <c r="C169" s="11" t="s">
        <v>110</v>
      </c>
      <c r="D169" s="5" t="s">
        <v>111</v>
      </c>
      <c r="E169" s="5" t="s">
        <v>189</v>
      </c>
      <c r="F169" s="5" t="s">
        <v>190</v>
      </c>
    </row>
    <row r="170" spans="1:6" x14ac:dyDescent="0.25">
      <c r="A170" s="5">
        <v>90152</v>
      </c>
      <c r="B170" s="10">
        <v>2900</v>
      </c>
      <c r="C170" s="11" t="s">
        <v>78</v>
      </c>
      <c r="D170" s="5" t="s">
        <v>244</v>
      </c>
      <c r="E170" s="5" t="s">
        <v>189</v>
      </c>
      <c r="F170" s="5" t="s">
        <v>190</v>
      </c>
    </row>
    <row r="171" spans="1:6" x14ac:dyDescent="0.25">
      <c r="A171" s="5">
        <v>90155</v>
      </c>
      <c r="B171" s="10">
        <v>2900</v>
      </c>
      <c r="C171" s="11" t="s">
        <v>78</v>
      </c>
      <c r="D171" s="5" t="s">
        <v>244</v>
      </c>
      <c r="E171" s="5" t="s">
        <v>189</v>
      </c>
      <c r="F171" s="5" t="s">
        <v>190</v>
      </c>
    </row>
    <row r="172" spans="1:6" x14ac:dyDescent="0.25">
      <c r="A172" s="5">
        <v>90163</v>
      </c>
      <c r="B172" s="10">
        <v>2900</v>
      </c>
      <c r="C172" s="11" t="s">
        <v>78</v>
      </c>
      <c r="D172" s="5" t="s">
        <v>244</v>
      </c>
      <c r="E172" s="5" t="s">
        <v>189</v>
      </c>
      <c r="F172" s="5" t="s">
        <v>190</v>
      </c>
    </row>
    <row r="173" spans="1:6" x14ac:dyDescent="0.25">
      <c r="A173" s="5">
        <v>90168</v>
      </c>
      <c r="B173" s="10">
        <v>2900</v>
      </c>
      <c r="C173" s="11" t="s">
        <v>96</v>
      </c>
      <c r="D173" s="5" t="s">
        <v>242</v>
      </c>
      <c r="E173" s="5" t="s">
        <v>189</v>
      </c>
      <c r="F173" s="5" t="s">
        <v>190</v>
      </c>
    </row>
    <row r="174" spans="1:6" x14ac:dyDescent="0.25">
      <c r="A174" s="5">
        <v>90182</v>
      </c>
      <c r="B174" s="10">
        <v>2900</v>
      </c>
      <c r="C174" s="11" t="s">
        <v>116</v>
      </c>
      <c r="D174" s="5" t="s">
        <v>117</v>
      </c>
      <c r="E174" s="5" t="s">
        <v>189</v>
      </c>
      <c r="F174" s="5" t="s">
        <v>190</v>
      </c>
    </row>
    <row r="175" spans="1:6" x14ac:dyDescent="0.25">
      <c r="A175" s="5">
        <v>90191</v>
      </c>
      <c r="B175" s="10">
        <v>2900</v>
      </c>
      <c r="C175" s="11" t="s">
        <v>80</v>
      </c>
      <c r="D175" s="5" t="s">
        <v>249</v>
      </c>
      <c r="E175" s="5" t="s">
        <v>189</v>
      </c>
      <c r="F175" s="5" t="s">
        <v>190</v>
      </c>
    </row>
    <row r="176" spans="1:6" x14ac:dyDescent="0.25">
      <c r="A176" s="5">
        <v>90196</v>
      </c>
      <c r="B176" s="10">
        <v>2900</v>
      </c>
      <c r="C176" s="11" t="s">
        <v>102</v>
      </c>
      <c r="D176" s="5" t="s">
        <v>103</v>
      </c>
      <c r="E176" s="5" t="s">
        <v>189</v>
      </c>
      <c r="F176" s="5" t="s">
        <v>190</v>
      </c>
    </row>
    <row r="177" spans="1:6" x14ac:dyDescent="0.25">
      <c r="A177" s="5">
        <v>90198</v>
      </c>
      <c r="B177" s="10">
        <v>2900</v>
      </c>
      <c r="C177" s="11" t="s">
        <v>110</v>
      </c>
      <c r="D177" s="5" t="s">
        <v>111</v>
      </c>
      <c r="E177" s="5" t="s">
        <v>189</v>
      </c>
      <c r="F177" s="5" t="s">
        <v>190</v>
      </c>
    </row>
    <row r="178" spans="1:6" x14ac:dyDescent="0.25">
      <c r="A178" s="5">
        <v>90201</v>
      </c>
      <c r="B178" s="10">
        <v>2900</v>
      </c>
      <c r="C178" s="11" t="s">
        <v>50</v>
      </c>
      <c r="D178" s="5" t="s">
        <v>51</v>
      </c>
      <c r="E178" s="5" t="s">
        <v>189</v>
      </c>
      <c r="F178" s="5" t="s">
        <v>190</v>
      </c>
    </row>
    <row r="179" spans="1:6" x14ac:dyDescent="0.25">
      <c r="A179" s="5">
        <v>90206</v>
      </c>
      <c r="B179" s="10">
        <v>2900</v>
      </c>
      <c r="C179" s="11" t="s">
        <v>96</v>
      </c>
      <c r="D179" s="5" t="s">
        <v>242</v>
      </c>
      <c r="E179" s="5" t="s">
        <v>189</v>
      </c>
      <c r="F179" s="5" t="s">
        <v>190</v>
      </c>
    </row>
    <row r="180" spans="1:6" x14ac:dyDescent="0.25">
      <c r="A180" s="5">
        <v>90207</v>
      </c>
      <c r="B180" s="10">
        <v>2900</v>
      </c>
      <c r="C180" s="11" t="s">
        <v>96</v>
      </c>
      <c r="D180" s="5" t="s">
        <v>242</v>
      </c>
      <c r="E180" s="5" t="s">
        <v>189</v>
      </c>
      <c r="F180" s="5" t="s">
        <v>190</v>
      </c>
    </row>
    <row r="181" spans="1:6" x14ac:dyDescent="0.25">
      <c r="A181" s="5">
        <v>90209</v>
      </c>
      <c r="B181" s="10">
        <v>2900</v>
      </c>
      <c r="C181" s="11" t="s">
        <v>48</v>
      </c>
      <c r="D181" s="5" t="s">
        <v>49</v>
      </c>
      <c r="E181" s="5" t="s">
        <v>189</v>
      </c>
      <c r="F181" s="5" t="s">
        <v>190</v>
      </c>
    </row>
    <row r="182" spans="1:6" x14ac:dyDescent="0.25">
      <c r="A182" s="5">
        <v>90212</v>
      </c>
      <c r="B182" s="10">
        <v>2900</v>
      </c>
      <c r="C182" s="11" t="s">
        <v>48</v>
      </c>
      <c r="D182" s="5" t="s">
        <v>49</v>
      </c>
      <c r="E182" s="5" t="s">
        <v>189</v>
      </c>
      <c r="F182" s="5" t="s">
        <v>190</v>
      </c>
    </row>
    <row r="183" spans="1:6" x14ac:dyDescent="0.25">
      <c r="A183" s="5">
        <v>90225</v>
      </c>
      <c r="B183" s="10">
        <v>2900</v>
      </c>
      <c r="C183" s="11" t="s">
        <v>80</v>
      </c>
      <c r="D183" s="5" t="s">
        <v>249</v>
      </c>
      <c r="E183" s="5" t="s">
        <v>189</v>
      </c>
      <c r="F183" s="5" t="s">
        <v>190</v>
      </c>
    </row>
    <row r="184" spans="1:6" x14ac:dyDescent="0.25">
      <c r="A184" s="5">
        <v>90232</v>
      </c>
      <c r="B184" s="10">
        <v>2900</v>
      </c>
      <c r="C184" s="11" t="s">
        <v>62</v>
      </c>
      <c r="D184" s="5" t="s">
        <v>63</v>
      </c>
      <c r="E184" s="5" t="s">
        <v>189</v>
      </c>
      <c r="F184" s="5" t="s">
        <v>190</v>
      </c>
    </row>
    <row r="185" spans="1:6" x14ac:dyDescent="0.25">
      <c r="A185" s="5">
        <v>90262</v>
      </c>
      <c r="B185" s="10">
        <v>2900</v>
      </c>
      <c r="C185" s="11" t="s">
        <v>68</v>
      </c>
      <c r="D185" s="5" t="s">
        <v>69</v>
      </c>
      <c r="E185" s="5" t="s">
        <v>189</v>
      </c>
      <c r="F185" s="5" t="s">
        <v>190</v>
      </c>
    </row>
    <row r="186" spans="1:6" x14ac:dyDescent="0.25">
      <c r="A186" s="5">
        <v>90263</v>
      </c>
      <c r="B186" s="10">
        <v>2900</v>
      </c>
      <c r="C186" s="11" t="s">
        <v>82</v>
      </c>
      <c r="D186" s="5" t="s">
        <v>256</v>
      </c>
      <c r="E186" s="5" t="s">
        <v>189</v>
      </c>
      <c r="F186" s="5" t="s">
        <v>190</v>
      </c>
    </row>
    <row r="187" spans="1:6" x14ac:dyDescent="0.25">
      <c r="A187" s="5">
        <v>90283</v>
      </c>
      <c r="B187" s="10">
        <v>2900</v>
      </c>
      <c r="C187" s="11" t="s">
        <v>74</v>
      </c>
      <c r="D187" s="5" t="s">
        <v>243</v>
      </c>
      <c r="E187" s="5" t="s">
        <v>189</v>
      </c>
      <c r="F187" s="5" t="s">
        <v>190</v>
      </c>
    </row>
    <row r="188" spans="1:6" x14ac:dyDescent="0.25">
      <c r="A188" s="5">
        <v>90289</v>
      </c>
      <c r="B188" s="10">
        <v>2900</v>
      </c>
      <c r="C188" s="11" t="s">
        <v>78</v>
      </c>
      <c r="D188" s="5" t="s">
        <v>244</v>
      </c>
      <c r="E188" s="5" t="s">
        <v>189</v>
      </c>
      <c r="F188" s="5" t="s">
        <v>190</v>
      </c>
    </row>
    <row r="189" spans="1:6" x14ac:dyDescent="0.25">
      <c r="A189" s="5">
        <v>90296</v>
      </c>
      <c r="B189" s="10">
        <v>2900</v>
      </c>
      <c r="C189" s="11" t="s">
        <v>78</v>
      </c>
      <c r="D189" s="5" t="s">
        <v>244</v>
      </c>
      <c r="E189" s="5" t="s">
        <v>189</v>
      </c>
      <c r="F189" s="5" t="s">
        <v>190</v>
      </c>
    </row>
    <row r="190" spans="1:6" x14ac:dyDescent="0.25">
      <c r="A190" s="5">
        <v>90310</v>
      </c>
      <c r="B190" s="10">
        <v>2900</v>
      </c>
      <c r="C190" s="11" t="s">
        <v>110</v>
      </c>
      <c r="D190" s="5" t="s">
        <v>111</v>
      </c>
      <c r="E190" s="5" t="s">
        <v>189</v>
      </c>
      <c r="F190" s="5" t="s">
        <v>190</v>
      </c>
    </row>
    <row r="191" spans="1:6" x14ac:dyDescent="0.25">
      <c r="A191" s="5">
        <v>90311</v>
      </c>
      <c r="B191" s="10">
        <v>2900</v>
      </c>
      <c r="C191" s="11" t="s">
        <v>68</v>
      </c>
      <c r="D191" s="5" t="s">
        <v>69</v>
      </c>
      <c r="E191" s="5" t="s">
        <v>189</v>
      </c>
      <c r="F191" s="5" t="s">
        <v>190</v>
      </c>
    </row>
    <row r="192" spans="1:6" x14ac:dyDescent="0.25">
      <c r="A192" s="5">
        <v>90326</v>
      </c>
      <c r="B192" s="10">
        <v>2900</v>
      </c>
      <c r="C192" s="11" t="s">
        <v>110</v>
      </c>
      <c r="D192" s="5" t="s">
        <v>111</v>
      </c>
      <c r="E192" s="5" t="s">
        <v>189</v>
      </c>
      <c r="F192" s="5" t="s">
        <v>190</v>
      </c>
    </row>
    <row r="193" spans="1:6" x14ac:dyDescent="0.25">
      <c r="A193" s="5">
        <v>90331</v>
      </c>
      <c r="B193" s="10">
        <v>2900</v>
      </c>
      <c r="C193" s="11" t="s">
        <v>78</v>
      </c>
      <c r="D193" s="5" t="s">
        <v>244</v>
      </c>
      <c r="E193" s="5" t="s">
        <v>189</v>
      </c>
      <c r="F193" s="5" t="s">
        <v>190</v>
      </c>
    </row>
    <row r="194" spans="1:6" x14ac:dyDescent="0.25">
      <c r="A194" s="5">
        <v>90343</v>
      </c>
      <c r="B194" s="10">
        <v>2900</v>
      </c>
      <c r="C194" s="11" t="s">
        <v>78</v>
      </c>
      <c r="D194" s="5" t="s">
        <v>244</v>
      </c>
      <c r="E194" s="5" t="s">
        <v>189</v>
      </c>
      <c r="F194" s="5" t="s">
        <v>190</v>
      </c>
    </row>
    <row r="195" spans="1:6" x14ac:dyDescent="0.25">
      <c r="A195" s="5">
        <v>90367</v>
      </c>
      <c r="B195" s="10">
        <v>2900</v>
      </c>
      <c r="C195" s="11" t="s">
        <v>74</v>
      </c>
      <c r="D195" s="5" t="s">
        <v>243</v>
      </c>
      <c r="E195" s="5" t="s">
        <v>189</v>
      </c>
      <c r="F195" s="5" t="s">
        <v>190</v>
      </c>
    </row>
    <row r="196" spans="1:6" x14ac:dyDescent="0.25">
      <c r="A196" s="5">
        <v>90370</v>
      </c>
      <c r="B196" s="10">
        <v>2900</v>
      </c>
      <c r="C196" s="11" t="s">
        <v>100</v>
      </c>
      <c r="D196" s="5" t="s">
        <v>101</v>
      </c>
      <c r="E196" s="5" t="s">
        <v>189</v>
      </c>
      <c r="F196" s="5" t="s">
        <v>190</v>
      </c>
    </row>
    <row r="197" spans="1:6" x14ac:dyDescent="0.25">
      <c r="A197" s="5">
        <v>90372</v>
      </c>
      <c r="B197" s="10">
        <v>2900</v>
      </c>
      <c r="C197" s="11" t="s">
        <v>74</v>
      </c>
      <c r="D197" s="5" t="s">
        <v>243</v>
      </c>
      <c r="E197" s="5" t="s">
        <v>189</v>
      </c>
      <c r="F197" s="5" t="s">
        <v>190</v>
      </c>
    </row>
    <row r="198" spans="1:6" x14ac:dyDescent="0.25">
      <c r="A198" s="5">
        <v>90373</v>
      </c>
      <c r="B198" s="10">
        <v>2900</v>
      </c>
      <c r="C198" s="11" t="s">
        <v>64</v>
      </c>
      <c r="D198" s="5" t="s">
        <v>251</v>
      </c>
      <c r="E198" s="5" t="s">
        <v>189</v>
      </c>
      <c r="F198" s="5" t="s">
        <v>190</v>
      </c>
    </row>
    <row r="199" spans="1:6" x14ac:dyDescent="0.25">
      <c r="A199" s="5">
        <v>90377</v>
      </c>
      <c r="B199" s="10">
        <v>2900</v>
      </c>
      <c r="C199" s="11" t="s">
        <v>74</v>
      </c>
      <c r="D199" s="5" t="s">
        <v>243</v>
      </c>
      <c r="E199" s="5" t="s">
        <v>189</v>
      </c>
      <c r="F199" s="5" t="s">
        <v>190</v>
      </c>
    </row>
    <row r="200" spans="1:6" x14ac:dyDescent="0.25">
      <c r="A200" s="5">
        <v>90379</v>
      </c>
      <c r="B200" s="10">
        <v>2900</v>
      </c>
      <c r="C200" s="11" t="s">
        <v>74</v>
      </c>
      <c r="D200" s="5" t="s">
        <v>243</v>
      </c>
      <c r="E200" s="5" t="s">
        <v>189</v>
      </c>
      <c r="F200" s="5" t="s">
        <v>190</v>
      </c>
    </row>
    <row r="201" spans="1:6" x14ac:dyDescent="0.25">
      <c r="A201" s="5">
        <v>90392</v>
      </c>
      <c r="B201" s="10">
        <v>2900</v>
      </c>
      <c r="C201" s="11" t="s">
        <v>74</v>
      </c>
      <c r="D201" s="5" t="s">
        <v>243</v>
      </c>
      <c r="E201" s="5" t="s">
        <v>189</v>
      </c>
      <c r="F201" s="5" t="s">
        <v>190</v>
      </c>
    </row>
    <row r="202" spans="1:6" x14ac:dyDescent="0.25">
      <c r="A202" s="5">
        <v>90433</v>
      </c>
      <c r="B202" s="10">
        <v>2900</v>
      </c>
      <c r="C202" s="11" t="s">
        <v>78</v>
      </c>
      <c r="D202" s="5" t="s">
        <v>244</v>
      </c>
      <c r="E202" s="5" t="s">
        <v>189</v>
      </c>
      <c r="F202" s="5" t="s">
        <v>190</v>
      </c>
    </row>
    <row r="203" spans="1:6" x14ac:dyDescent="0.25">
      <c r="A203" s="5">
        <v>90438</v>
      </c>
      <c r="B203" s="10">
        <v>2900</v>
      </c>
      <c r="C203" s="11" t="s">
        <v>74</v>
      </c>
      <c r="D203" s="5" t="s">
        <v>243</v>
      </c>
      <c r="E203" s="5" t="s">
        <v>189</v>
      </c>
      <c r="F203" s="5" t="s">
        <v>190</v>
      </c>
    </row>
    <row r="204" spans="1:6" x14ac:dyDescent="0.25">
      <c r="A204" s="5">
        <v>90441</v>
      </c>
      <c r="B204" s="10">
        <v>2900</v>
      </c>
      <c r="C204" s="11" t="s">
        <v>64</v>
      </c>
      <c r="D204" s="5" t="s">
        <v>251</v>
      </c>
      <c r="E204" s="5" t="s">
        <v>189</v>
      </c>
      <c r="F204" s="5" t="s">
        <v>190</v>
      </c>
    </row>
    <row r="205" spans="1:6" x14ac:dyDescent="0.25">
      <c r="A205" s="5">
        <v>90445</v>
      </c>
      <c r="B205" s="10">
        <v>2900</v>
      </c>
      <c r="C205" s="11" t="s">
        <v>74</v>
      </c>
      <c r="D205" s="5" t="s">
        <v>243</v>
      </c>
      <c r="E205" s="5" t="s">
        <v>189</v>
      </c>
      <c r="F205" s="5" t="s">
        <v>190</v>
      </c>
    </row>
    <row r="206" spans="1:6" x14ac:dyDescent="0.25">
      <c r="A206" s="5">
        <v>90446</v>
      </c>
      <c r="B206" s="10">
        <v>2900</v>
      </c>
      <c r="C206" s="11" t="s">
        <v>74</v>
      </c>
      <c r="D206" s="5" t="s">
        <v>243</v>
      </c>
      <c r="E206" s="5" t="s">
        <v>189</v>
      </c>
      <c r="F206" s="5" t="s">
        <v>190</v>
      </c>
    </row>
    <row r="207" spans="1:6" x14ac:dyDescent="0.25">
      <c r="A207" s="5">
        <v>90448</v>
      </c>
      <c r="B207" s="10">
        <v>2900</v>
      </c>
      <c r="C207" s="11" t="s">
        <v>78</v>
      </c>
      <c r="D207" s="5" t="s">
        <v>244</v>
      </c>
      <c r="E207" s="5" t="s">
        <v>189</v>
      </c>
      <c r="F207" s="5" t="s">
        <v>190</v>
      </c>
    </row>
    <row r="208" spans="1:6" x14ac:dyDescent="0.25">
      <c r="A208" s="5">
        <v>90449</v>
      </c>
      <c r="B208" s="10">
        <v>2900</v>
      </c>
      <c r="C208" s="11" t="s">
        <v>74</v>
      </c>
      <c r="D208" s="5" t="s">
        <v>243</v>
      </c>
      <c r="E208" s="5" t="s">
        <v>189</v>
      </c>
      <c r="F208" s="5" t="s">
        <v>190</v>
      </c>
    </row>
    <row r="209" spans="1:6" x14ac:dyDescent="0.25">
      <c r="A209" s="5">
        <v>90451</v>
      </c>
      <c r="B209" s="10">
        <v>2900</v>
      </c>
      <c r="C209" s="11" t="s">
        <v>74</v>
      </c>
      <c r="D209" s="5" t="s">
        <v>243</v>
      </c>
      <c r="E209" s="5" t="s">
        <v>189</v>
      </c>
      <c r="F209" s="5" t="s">
        <v>190</v>
      </c>
    </row>
    <row r="210" spans="1:6" x14ac:dyDescent="0.25">
      <c r="A210" s="5">
        <v>90452</v>
      </c>
      <c r="B210" s="10">
        <v>2900</v>
      </c>
      <c r="C210" s="11" t="s">
        <v>74</v>
      </c>
      <c r="D210" s="5" t="s">
        <v>243</v>
      </c>
      <c r="E210" s="5" t="s">
        <v>189</v>
      </c>
      <c r="F210" s="5" t="s">
        <v>190</v>
      </c>
    </row>
    <row r="211" spans="1:6" x14ac:dyDescent="0.25">
      <c r="A211" s="5">
        <v>90458</v>
      </c>
      <c r="B211" s="10">
        <v>2900</v>
      </c>
      <c r="C211" s="11" t="s">
        <v>74</v>
      </c>
      <c r="D211" s="5" t="s">
        <v>243</v>
      </c>
      <c r="E211" s="5" t="s">
        <v>189</v>
      </c>
      <c r="F211" s="5" t="s">
        <v>190</v>
      </c>
    </row>
    <row r="212" spans="1:6" x14ac:dyDescent="0.25">
      <c r="A212" s="5">
        <v>90463</v>
      </c>
      <c r="B212" s="10">
        <v>2900</v>
      </c>
      <c r="C212" s="11" t="s">
        <v>78</v>
      </c>
      <c r="D212" s="5" t="s">
        <v>244</v>
      </c>
      <c r="E212" s="5" t="s">
        <v>189</v>
      </c>
      <c r="F212" s="5" t="s">
        <v>190</v>
      </c>
    </row>
    <row r="213" spans="1:6" x14ac:dyDescent="0.25">
      <c r="A213" s="5">
        <v>90479</v>
      </c>
      <c r="B213" s="10">
        <v>2900</v>
      </c>
      <c r="C213" s="11" t="s">
        <v>96</v>
      </c>
      <c r="D213" s="5" t="s">
        <v>242</v>
      </c>
      <c r="E213" s="5" t="s">
        <v>189</v>
      </c>
      <c r="F213" s="5" t="s">
        <v>190</v>
      </c>
    </row>
    <row r="214" spans="1:6" x14ac:dyDescent="0.25">
      <c r="A214" s="5">
        <v>90481</v>
      </c>
      <c r="B214" s="10">
        <v>2900</v>
      </c>
      <c r="C214" s="11" t="s">
        <v>110</v>
      </c>
      <c r="D214" s="5" t="s">
        <v>111</v>
      </c>
      <c r="E214" s="5" t="s">
        <v>189</v>
      </c>
      <c r="F214" s="5" t="s">
        <v>190</v>
      </c>
    </row>
    <row r="215" spans="1:6" x14ac:dyDescent="0.25">
      <c r="A215" s="5">
        <v>90482</v>
      </c>
      <c r="B215" s="10">
        <v>2900</v>
      </c>
      <c r="C215" s="11" t="s">
        <v>96</v>
      </c>
      <c r="D215" s="5" t="s">
        <v>242</v>
      </c>
      <c r="E215" s="5" t="s">
        <v>189</v>
      </c>
      <c r="F215" s="5" t="s">
        <v>190</v>
      </c>
    </row>
    <row r="216" spans="1:6" x14ac:dyDescent="0.25">
      <c r="A216" s="5">
        <v>90483</v>
      </c>
      <c r="B216" s="10">
        <v>2900</v>
      </c>
      <c r="C216" s="11" t="s">
        <v>74</v>
      </c>
      <c r="D216" s="5" t="s">
        <v>243</v>
      </c>
      <c r="E216" s="5" t="s">
        <v>189</v>
      </c>
      <c r="F216" s="5" t="s">
        <v>190</v>
      </c>
    </row>
    <row r="217" spans="1:6" x14ac:dyDescent="0.25">
      <c r="A217" s="5">
        <v>90494</v>
      </c>
      <c r="B217" s="10">
        <v>2900</v>
      </c>
      <c r="C217" s="11" t="s">
        <v>74</v>
      </c>
      <c r="D217" s="5" t="s">
        <v>243</v>
      </c>
      <c r="E217" s="5" t="s">
        <v>189</v>
      </c>
      <c r="F217" s="5" t="s">
        <v>190</v>
      </c>
    </row>
    <row r="218" spans="1:6" x14ac:dyDescent="0.25">
      <c r="A218" s="5">
        <v>90495</v>
      </c>
      <c r="B218" s="10">
        <v>2900</v>
      </c>
      <c r="C218" s="11" t="s">
        <v>96</v>
      </c>
      <c r="D218" s="5" t="s">
        <v>242</v>
      </c>
      <c r="E218" s="5" t="s">
        <v>189</v>
      </c>
      <c r="F218" s="5" t="s">
        <v>190</v>
      </c>
    </row>
    <row r="219" spans="1:6" x14ac:dyDescent="0.25">
      <c r="A219" s="5">
        <v>90498</v>
      </c>
      <c r="B219" s="10">
        <v>2900</v>
      </c>
      <c r="C219" s="11" t="s">
        <v>78</v>
      </c>
      <c r="D219" s="5" t="s">
        <v>244</v>
      </c>
      <c r="E219" s="5" t="s">
        <v>189</v>
      </c>
      <c r="F219" s="5" t="s">
        <v>190</v>
      </c>
    </row>
    <row r="220" spans="1:6" x14ac:dyDescent="0.25">
      <c r="A220" s="5">
        <v>90501</v>
      </c>
      <c r="B220" s="10">
        <v>2900</v>
      </c>
      <c r="C220" s="11" t="s">
        <v>74</v>
      </c>
      <c r="D220" s="5" t="s">
        <v>243</v>
      </c>
      <c r="E220" s="5" t="s">
        <v>189</v>
      </c>
      <c r="F220" s="5" t="s">
        <v>190</v>
      </c>
    </row>
    <row r="221" spans="1:6" x14ac:dyDescent="0.25">
      <c r="A221" s="5">
        <v>90503</v>
      </c>
      <c r="B221" s="10">
        <v>2900</v>
      </c>
      <c r="C221" s="11" t="s">
        <v>96</v>
      </c>
      <c r="D221" s="5" t="s">
        <v>242</v>
      </c>
      <c r="E221" s="5" t="s">
        <v>189</v>
      </c>
      <c r="F221" s="5" t="s">
        <v>190</v>
      </c>
    </row>
    <row r="222" spans="1:6" x14ac:dyDescent="0.25">
      <c r="A222" s="5">
        <v>90527</v>
      </c>
      <c r="B222" s="10">
        <v>2900</v>
      </c>
      <c r="C222" s="11" t="s">
        <v>100</v>
      </c>
      <c r="D222" s="5" t="s">
        <v>101</v>
      </c>
      <c r="E222" s="5" t="s">
        <v>189</v>
      </c>
      <c r="F222" s="5" t="s">
        <v>190</v>
      </c>
    </row>
    <row r="223" spans="1:6" x14ac:dyDescent="0.25">
      <c r="A223" s="5">
        <v>90533</v>
      </c>
      <c r="B223" s="10">
        <v>2900</v>
      </c>
      <c r="C223" s="11" t="s">
        <v>74</v>
      </c>
      <c r="D223" s="5" t="s">
        <v>243</v>
      </c>
      <c r="E223" s="5" t="s">
        <v>189</v>
      </c>
      <c r="F223" s="5" t="s">
        <v>190</v>
      </c>
    </row>
    <row r="224" spans="1:6" x14ac:dyDescent="0.25">
      <c r="A224" s="5">
        <v>90535</v>
      </c>
      <c r="B224" s="10">
        <v>2900</v>
      </c>
      <c r="C224" s="11" t="s">
        <v>74</v>
      </c>
      <c r="D224" s="5" t="s">
        <v>243</v>
      </c>
      <c r="E224" s="5" t="s">
        <v>189</v>
      </c>
      <c r="F224" s="5" t="s">
        <v>190</v>
      </c>
    </row>
    <row r="225" spans="1:6" x14ac:dyDescent="0.25">
      <c r="A225" s="5">
        <v>90537</v>
      </c>
      <c r="B225" s="10">
        <v>2900</v>
      </c>
      <c r="C225" s="11" t="s">
        <v>74</v>
      </c>
      <c r="D225" s="5" t="s">
        <v>243</v>
      </c>
      <c r="E225" s="5" t="s">
        <v>189</v>
      </c>
      <c r="F225" s="5" t="s">
        <v>190</v>
      </c>
    </row>
    <row r="226" spans="1:6" x14ac:dyDescent="0.25">
      <c r="A226" s="5">
        <v>90540</v>
      </c>
      <c r="B226" s="10">
        <v>2900</v>
      </c>
      <c r="C226" s="11" t="s">
        <v>54</v>
      </c>
      <c r="D226" s="5" t="s">
        <v>55</v>
      </c>
      <c r="E226" s="5" t="s">
        <v>189</v>
      </c>
      <c r="F226" s="5" t="s">
        <v>190</v>
      </c>
    </row>
    <row r="227" spans="1:6" x14ac:dyDescent="0.25">
      <c r="A227" s="5">
        <v>90541</v>
      </c>
      <c r="B227" s="10">
        <v>2900</v>
      </c>
      <c r="C227" s="11" t="s">
        <v>54</v>
      </c>
      <c r="D227" s="5" t="s">
        <v>55</v>
      </c>
      <c r="E227" s="5" t="s">
        <v>189</v>
      </c>
      <c r="F227" s="5" t="s">
        <v>190</v>
      </c>
    </row>
    <row r="228" spans="1:6" x14ac:dyDescent="0.25">
      <c r="A228" s="5">
        <v>90548</v>
      </c>
      <c r="B228" s="10">
        <v>2900</v>
      </c>
      <c r="C228" s="11" t="s">
        <v>92</v>
      </c>
      <c r="D228" s="5" t="s">
        <v>93</v>
      </c>
      <c r="E228" s="5" t="s">
        <v>189</v>
      </c>
      <c r="F228" s="5" t="s">
        <v>190</v>
      </c>
    </row>
    <row r="229" spans="1:6" x14ac:dyDescent="0.25">
      <c r="A229" s="5">
        <v>90563</v>
      </c>
      <c r="B229" s="10">
        <v>2900</v>
      </c>
      <c r="C229" s="11" t="s">
        <v>78</v>
      </c>
      <c r="D229" s="5" t="s">
        <v>244</v>
      </c>
      <c r="E229" s="5" t="s">
        <v>189</v>
      </c>
      <c r="F229" s="5" t="s">
        <v>190</v>
      </c>
    </row>
    <row r="230" spans="1:6" x14ac:dyDescent="0.25">
      <c r="A230" s="5">
        <v>90564</v>
      </c>
      <c r="B230" s="10">
        <v>2900</v>
      </c>
      <c r="C230" s="11" t="s">
        <v>74</v>
      </c>
      <c r="D230" s="5" t="s">
        <v>243</v>
      </c>
      <c r="E230" s="5" t="s">
        <v>189</v>
      </c>
      <c r="F230" s="5" t="s">
        <v>190</v>
      </c>
    </row>
    <row r="231" spans="1:6" x14ac:dyDescent="0.25">
      <c r="A231" s="5">
        <v>90574</v>
      </c>
      <c r="B231" s="10">
        <v>2900</v>
      </c>
      <c r="C231" s="11" t="s">
        <v>102</v>
      </c>
      <c r="D231" s="5" t="s">
        <v>103</v>
      </c>
      <c r="E231" s="5" t="s">
        <v>189</v>
      </c>
      <c r="F231" s="5" t="s">
        <v>190</v>
      </c>
    </row>
    <row r="232" spans="1:6" x14ac:dyDescent="0.25">
      <c r="A232" s="5">
        <v>90576</v>
      </c>
      <c r="B232" s="10">
        <v>2900</v>
      </c>
      <c r="C232" s="11" t="s">
        <v>110</v>
      </c>
      <c r="D232" s="5" t="s">
        <v>111</v>
      </c>
      <c r="E232" s="5" t="s">
        <v>189</v>
      </c>
      <c r="F232" s="5" t="s">
        <v>190</v>
      </c>
    </row>
    <row r="233" spans="1:6" x14ac:dyDescent="0.25">
      <c r="A233" s="5">
        <v>90625</v>
      </c>
      <c r="B233" s="10">
        <v>2900</v>
      </c>
      <c r="C233" s="11" t="s">
        <v>96</v>
      </c>
      <c r="D233" s="5" t="s">
        <v>242</v>
      </c>
      <c r="E233" s="5" t="s">
        <v>189</v>
      </c>
      <c r="F233" s="5" t="s">
        <v>190</v>
      </c>
    </row>
    <row r="234" spans="1:6" x14ac:dyDescent="0.25">
      <c r="A234" s="5">
        <v>90639</v>
      </c>
      <c r="B234" s="10">
        <v>2900</v>
      </c>
      <c r="C234" s="11" t="s">
        <v>74</v>
      </c>
      <c r="D234" s="5" t="s">
        <v>243</v>
      </c>
      <c r="E234" s="5" t="s">
        <v>189</v>
      </c>
      <c r="F234" s="5" t="s">
        <v>190</v>
      </c>
    </row>
    <row r="235" spans="1:6" x14ac:dyDescent="0.25">
      <c r="A235" s="5">
        <v>90644</v>
      </c>
      <c r="B235" s="10">
        <v>2900</v>
      </c>
      <c r="C235" s="11" t="s">
        <v>122</v>
      </c>
      <c r="D235" s="5" t="s">
        <v>123</v>
      </c>
      <c r="E235" s="5" t="s">
        <v>189</v>
      </c>
      <c r="F235" s="5" t="s">
        <v>190</v>
      </c>
    </row>
    <row r="236" spans="1:6" x14ac:dyDescent="0.25">
      <c r="A236" s="5">
        <v>90650</v>
      </c>
      <c r="B236" s="10">
        <v>2900</v>
      </c>
      <c r="C236" s="11" t="s">
        <v>78</v>
      </c>
      <c r="D236" s="5" t="s">
        <v>244</v>
      </c>
      <c r="E236" s="5" t="s">
        <v>189</v>
      </c>
      <c r="F236" s="5" t="s">
        <v>190</v>
      </c>
    </row>
    <row r="237" spans="1:6" x14ac:dyDescent="0.25">
      <c r="A237" s="5">
        <v>90651</v>
      </c>
      <c r="B237" s="10">
        <v>2900</v>
      </c>
      <c r="C237" s="11" t="s">
        <v>96</v>
      </c>
      <c r="D237" s="5" t="s">
        <v>242</v>
      </c>
      <c r="E237" s="5" t="s">
        <v>189</v>
      </c>
      <c r="F237" s="5" t="s">
        <v>190</v>
      </c>
    </row>
    <row r="238" spans="1:6" x14ac:dyDescent="0.25">
      <c r="A238" s="5">
        <v>90652</v>
      </c>
      <c r="B238" s="10">
        <v>2900</v>
      </c>
      <c r="C238" s="11" t="s">
        <v>78</v>
      </c>
      <c r="D238" s="5" t="s">
        <v>244</v>
      </c>
      <c r="E238" s="5" t="s">
        <v>189</v>
      </c>
      <c r="F238" s="5" t="s">
        <v>190</v>
      </c>
    </row>
    <row r="239" spans="1:6" x14ac:dyDescent="0.25">
      <c r="A239" s="5">
        <v>90663</v>
      </c>
      <c r="B239" s="10">
        <v>2900</v>
      </c>
      <c r="C239" s="11" t="s">
        <v>110</v>
      </c>
      <c r="D239" s="5" t="s">
        <v>111</v>
      </c>
      <c r="E239" s="5" t="s">
        <v>189</v>
      </c>
      <c r="F239" s="5" t="s">
        <v>190</v>
      </c>
    </row>
    <row r="240" spans="1:6" x14ac:dyDescent="0.25">
      <c r="A240" s="5">
        <v>90678</v>
      </c>
      <c r="B240" s="10">
        <v>2900</v>
      </c>
      <c r="C240" s="11" t="s">
        <v>96</v>
      </c>
      <c r="D240" s="5" t="s">
        <v>242</v>
      </c>
      <c r="E240" s="5" t="s">
        <v>189</v>
      </c>
      <c r="F240" s="5" t="s">
        <v>190</v>
      </c>
    </row>
    <row r="241" spans="1:6" x14ac:dyDescent="0.25">
      <c r="A241" s="5">
        <v>90680</v>
      </c>
      <c r="B241" s="10">
        <v>2900</v>
      </c>
      <c r="C241" s="11" t="s">
        <v>80</v>
      </c>
      <c r="D241" s="5" t="s">
        <v>249</v>
      </c>
      <c r="E241" s="5" t="s">
        <v>189</v>
      </c>
      <c r="F241" s="5" t="s">
        <v>190</v>
      </c>
    </row>
    <row r="242" spans="1:6" x14ac:dyDescent="0.25">
      <c r="A242" s="5">
        <v>90683</v>
      </c>
      <c r="B242" s="10">
        <v>2900</v>
      </c>
      <c r="C242" s="11" t="s">
        <v>100</v>
      </c>
      <c r="D242" s="5" t="s">
        <v>101</v>
      </c>
      <c r="E242" s="5" t="s">
        <v>189</v>
      </c>
      <c r="F242" s="5" t="s">
        <v>190</v>
      </c>
    </row>
    <row r="243" spans="1:6" x14ac:dyDescent="0.25">
      <c r="A243" s="5">
        <v>90684</v>
      </c>
      <c r="B243" s="10">
        <v>2900</v>
      </c>
      <c r="C243" s="11" t="s">
        <v>74</v>
      </c>
      <c r="D243" s="5" t="s">
        <v>243</v>
      </c>
      <c r="E243" s="5" t="s">
        <v>189</v>
      </c>
      <c r="F243" s="5" t="s">
        <v>190</v>
      </c>
    </row>
    <row r="244" spans="1:6" x14ac:dyDescent="0.25">
      <c r="A244" s="5">
        <v>90691</v>
      </c>
      <c r="B244" s="10">
        <v>2900</v>
      </c>
      <c r="C244" s="11" t="s">
        <v>74</v>
      </c>
      <c r="D244" s="5" t="s">
        <v>243</v>
      </c>
      <c r="E244" s="5" t="s">
        <v>189</v>
      </c>
      <c r="F244" s="5" t="s">
        <v>190</v>
      </c>
    </row>
    <row r="245" spans="1:6" x14ac:dyDescent="0.25">
      <c r="A245" s="5">
        <v>90693</v>
      </c>
      <c r="B245" s="10">
        <v>2900</v>
      </c>
      <c r="C245" s="11" t="s">
        <v>74</v>
      </c>
      <c r="D245" s="5" t="s">
        <v>243</v>
      </c>
      <c r="E245" s="5" t="s">
        <v>189</v>
      </c>
      <c r="F245" s="5" t="s">
        <v>190</v>
      </c>
    </row>
    <row r="246" spans="1:6" x14ac:dyDescent="0.25">
      <c r="A246" s="5">
        <v>90694</v>
      </c>
      <c r="B246" s="10">
        <v>2900</v>
      </c>
      <c r="C246" s="11" t="s">
        <v>74</v>
      </c>
      <c r="D246" s="5" t="s">
        <v>243</v>
      </c>
      <c r="E246" s="5" t="s">
        <v>189</v>
      </c>
      <c r="F246" s="5" t="s">
        <v>190</v>
      </c>
    </row>
    <row r="247" spans="1:6" x14ac:dyDescent="0.25">
      <c r="A247" s="5">
        <v>90697</v>
      </c>
      <c r="B247" s="10">
        <v>2900</v>
      </c>
      <c r="C247" s="11" t="s">
        <v>74</v>
      </c>
      <c r="D247" s="5" t="s">
        <v>243</v>
      </c>
      <c r="E247" s="5" t="s">
        <v>189</v>
      </c>
      <c r="F247" s="5" t="s">
        <v>190</v>
      </c>
    </row>
    <row r="248" spans="1:6" x14ac:dyDescent="0.25">
      <c r="A248" s="5">
        <v>90704</v>
      </c>
      <c r="B248" s="10">
        <v>2900</v>
      </c>
      <c r="C248" s="11" t="s">
        <v>74</v>
      </c>
      <c r="D248" s="5" t="s">
        <v>243</v>
      </c>
      <c r="E248" s="5" t="s">
        <v>189</v>
      </c>
      <c r="F248" s="5" t="s">
        <v>190</v>
      </c>
    </row>
    <row r="249" spans="1:6" x14ac:dyDescent="0.25">
      <c r="A249" s="5">
        <v>90705</v>
      </c>
      <c r="B249" s="10">
        <v>2900</v>
      </c>
      <c r="C249" s="11" t="s">
        <v>100</v>
      </c>
      <c r="D249" s="5" t="s">
        <v>101</v>
      </c>
      <c r="E249" s="5" t="s">
        <v>189</v>
      </c>
      <c r="F249" s="5" t="s">
        <v>190</v>
      </c>
    </row>
    <row r="250" spans="1:6" x14ac:dyDescent="0.25">
      <c r="A250" s="5">
        <v>90706</v>
      </c>
      <c r="B250" s="10">
        <v>2900</v>
      </c>
      <c r="C250" s="11" t="s">
        <v>96</v>
      </c>
      <c r="D250" s="5" t="s">
        <v>242</v>
      </c>
      <c r="E250" s="5" t="s">
        <v>189</v>
      </c>
      <c r="F250" s="5" t="s">
        <v>190</v>
      </c>
    </row>
    <row r="251" spans="1:6" x14ac:dyDescent="0.25">
      <c r="A251" s="5">
        <v>90713</v>
      </c>
      <c r="B251" s="10">
        <v>2900</v>
      </c>
      <c r="C251" s="11" t="s">
        <v>100</v>
      </c>
      <c r="D251" s="5" t="s">
        <v>101</v>
      </c>
      <c r="E251" s="5" t="s">
        <v>189</v>
      </c>
      <c r="F251" s="5" t="s">
        <v>190</v>
      </c>
    </row>
    <row r="252" spans="1:6" x14ac:dyDescent="0.25">
      <c r="A252" s="5">
        <v>90718</v>
      </c>
      <c r="B252" s="10">
        <v>2900</v>
      </c>
      <c r="C252" s="11" t="s">
        <v>78</v>
      </c>
      <c r="D252" s="5" t="s">
        <v>244</v>
      </c>
      <c r="E252" s="5" t="s">
        <v>189</v>
      </c>
      <c r="F252" s="5" t="s">
        <v>190</v>
      </c>
    </row>
    <row r="253" spans="1:6" x14ac:dyDescent="0.25">
      <c r="A253" s="5">
        <v>90719</v>
      </c>
      <c r="B253" s="10">
        <v>2900</v>
      </c>
      <c r="C253" s="11" t="s">
        <v>110</v>
      </c>
      <c r="D253" s="5" t="s">
        <v>111</v>
      </c>
      <c r="E253" s="5" t="s">
        <v>189</v>
      </c>
      <c r="F253" s="5" t="s">
        <v>190</v>
      </c>
    </row>
    <row r="254" spans="1:6" x14ac:dyDescent="0.25">
      <c r="A254" s="5">
        <v>90724</v>
      </c>
      <c r="B254" s="10">
        <v>2900</v>
      </c>
      <c r="C254" s="11" t="s">
        <v>68</v>
      </c>
      <c r="D254" s="5" t="s">
        <v>69</v>
      </c>
      <c r="E254" s="5" t="s">
        <v>189</v>
      </c>
      <c r="F254" s="5" t="s">
        <v>190</v>
      </c>
    </row>
    <row r="255" spans="1:6" x14ac:dyDescent="0.25">
      <c r="A255" s="5">
        <v>90731</v>
      </c>
      <c r="B255" s="10">
        <v>2900</v>
      </c>
      <c r="C255" s="11" t="s">
        <v>74</v>
      </c>
      <c r="D255" s="5" t="s">
        <v>243</v>
      </c>
      <c r="E255" s="5" t="s">
        <v>189</v>
      </c>
      <c r="F255" s="5" t="s">
        <v>190</v>
      </c>
    </row>
    <row r="256" spans="1:6" x14ac:dyDescent="0.25">
      <c r="A256" s="5">
        <v>90743</v>
      </c>
      <c r="B256" s="10">
        <v>2900</v>
      </c>
      <c r="C256" s="11" t="s">
        <v>116</v>
      </c>
      <c r="D256" s="5" t="s">
        <v>117</v>
      </c>
      <c r="E256" s="5" t="s">
        <v>189</v>
      </c>
      <c r="F256" s="5" t="s">
        <v>190</v>
      </c>
    </row>
    <row r="257" spans="1:6" x14ac:dyDescent="0.25">
      <c r="A257" s="5">
        <v>90746</v>
      </c>
      <c r="B257" s="10">
        <v>2900</v>
      </c>
      <c r="C257" s="11" t="s">
        <v>74</v>
      </c>
      <c r="D257" s="5" t="s">
        <v>243</v>
      </c>
      <c r="E257" s="5" t="s">
        <v>189</v>
      </c>
      <c r="F257" s="5" t="s">
        <v>190</v>
      </c>
    </row>
    <row r="258" spans="1:6" x14ac:dyDescent="0.25">
      <c r="A258" s="5">
        <v>90749</v>
      </c>
      <c r="B258" s="10">
        <v>2900</v>
      </c>
      <c r="C258" s="11" t="s">
        <v>78</v>
      </c>
      <c r="D258" s="5" t="s">
        <v>244</v>
      </c>
      <c r="E258" s="5" t="s">
        <v>189</v>
      </c>
      <c r="F258" s="5" t="s">
        <v>190</v>
      </c>
    </row>
    <row r="259" spans="1:6" x14ac:dyDescent="0.25">
      <c r="A259" s="5">
        <v>90752</v>
      </c>
      <c r="B259" s="10">
        <v>2900</v>
      </c>
      <c r="C259" s="11" t="s">
        <v>74</v>
      </c>
      <c r="D259" s="5" t="s">
        <v>243</v>
      </c>
      <c r="E259" s="5" t="s">
        <v>189</v>
      </c>
      <c r="F259" s="5" t="s">
        <v>190</v>
      </c>
    </row>
    <row r="260" spans="1:6" x14ac:dyDescent="0.25">
      <c r="A260" s="5">
        <v>90781</v>
      </c>
      <c r="B260" s="10">
        <v>2900</v>
      </c>
      <c r="C260" s="11" t="s">
        <v>68</v>
      </c>
      <c r="D260" s="5" t="s">
        <v>69</v>
      </c>
      <c r="E260" s="5" t="s">
        <v>189</v>
      </c>
      <c r="F260" s="5" t="s">
        <v>190</v>
      </c>
    </row>
    <row r="261" spans="1:6" x14ac:dyDescent="0.25">
      <c r="A261" s="5">
        <v>90782</v>
      </c>
      <c r="B261" s="10">
        <v>2900</v>
      </c>
      <c r="C261" s="11" t="s">
        <v>68</v>
      </c>
      <c r="D261" s="5" t="s">
        <v>69</v>
      </c>
      <c r="E261" s="5" t="s">
        <v>189</v>
      </c>
      <c r="F261" s="5" t="s">
        <v>190</v>
      </c>
    </row>
    <row r="262" spans="1:6" x14ac:dyDescent="0.25">
      <c r="A262" s="5">
        <v>90793</v>
      </c>
      <c r="B262" s="10">
        <v>2900</v>
      </c>
      <c r="C262" s="11" t="s">
        <v>116</v>
      </c>
      <c r="D262" s="5" t="s">
        <v>117</v>
      </c>
      <c r="E262" s="5" t="s">
        <v>189</v>
      </c>
      <c r="F262" s="5" t="s">
        <v>190</v>
      </c>
    </row>
    <row r="263" spans="1:6" x14ac:dyDescent="0.25">
      <c r="A263" s="5">
        <v>90794</v>
      </c>
      <c r="B263" s="10">
        <v>2900</v>
      </c>
      <c r="C263" s="11" t="s">
        <v>62</v>
      </c>
      <c r="D263" s="5" t="s">
        <v>63</v>
      </c>
      <c r="E263" s="5" t="s">
        <v>189</v>
      </c>
      <c r="F263" s="5" t="s">
        <v>190</v>
      </c>
    </row>
    <row r="264" spans="1:6" x14ac:dyDescent="0.25">
      <c r="A264" s="5">
        <v>90795</v>
      </c>
      <c r="B264" s="10">
        <v>2900</v>
      </c>
      <c r="C264" s="11" t="s">
        <v>48</v>
      </c>
      <c r="D264" s="5" t="s">
        <v>49</v>
      </c>
      <c r="E264" s="5" t="s">
        <v>189</v>
      </c>
      <c r="F264" s="5" t="s">
        <v>190</v>
      </c>
    </row>
    <row r="265" spans="1:6" x14ac:dyDescent="0.25">
      <c r="A265" s="5">
        <v>90798</v>
      </c>
      <c r="B265" s="10">
        <v>2900</v>
      </c>
      <c r="C265" s="11" t="s">
        <v>62</v>
      </c>
      <c r="D265" s="5" t="s">
        <v>63</v>
      </c>
      <c r="E265" s="5" t="s">
        <v>189</v>
      </c>
      <c r="F265" s="5" t="s">
        <v>190</v>
      </c>
    </row>
    <row r="266" spans="1:6" x14ac:dyDescent="0.25">
      <c r="A266" s="5">
        <v>90799</v>
      </c>
      <c r="B266" s="10">
        <v>2900</v>
      </c>
      <c r="C266" s="11" t="s">
        <v>74</v>
      </c>
      <c r="D266" s="5" t="s">
        <v>243</v>
      </c>
      <c r="E266" s="5" t="s">
        <v>189</v>
      </c>
      <c r="F266" s="5" t="s">
        <v>190</v>
      </c>
    </row>
    <row r="267" spans="1:6" x14ac:dyDescent="0.25">
      <c r="A267" s="5">
        <v>90801</v>
      </c>
      <c r="B267" s="10">
        <v>2900</v>
      </c>
      <c r="C267" s="11" t="s">
        <v>62</v>
      </c>
      <c r="D267" s="5" t="s">
        <v>63</v>
      </c>
      <c r="E267" s="5" t="s">
        <v>189</v>
      </c>
      <c r="F267" s="5" t="s">
        <v>190</v>
      </c>
    </row>
    <row r="268" spans="1:6" x14ac:dyDescent="0.25">
      <c r="A268" s="5">
        <v>90809</v>
      </c>
      <c r="B268" s="10">
        <v>2900</v>
      </c>
      <c r="C268" s="11" t="s">
        <v>74</v>
      </c>
      <c r="D268" s="5" t="s">
        <v>243</v>
      </c>
      <c r="E268" s="5" t="s">
        <v>189</v>
      </c>
      <c r="F268" s="5" t="s">
        <v>190</v>
      </c>
    </row>
    <row r="269" spans="1:6" x14ac:dyDescent="0.25">
      <c r="A269" s="5">
        <v>90818</v>
      </c>
      <c r="B269" s="10">
        <v>2900</v>
      </c>
      <c r="C269" s="11" t="s">
        <v>78</v>
      </c>
      <c r="D269" s="5" t="s">
        <v>244</v>
      </c>
      <c r="E269" s="5" t="s">
        <v>189</v>
      </c>
      <c r="F269" s="5" t="s">
        <v>190</v>
      </c>
    </row>
    <row r="270" spans="1:6" x14ac:dyDescent="0.25">
      <c r="A270" s="5">
        <v>90827</v>
      </c>
      <c r="B270" s="10">
        <v>2900</v>
      </c>
      <c r="C270" s="11" t="s">
        <v>48</v>
      </c>
      <c r="D270" s="5" t="s">
        <v>49</v>
      </c>
      <c r="E270" s="5" t="s">
        <v>189</v>
      </c>
      <c r="F270" s="5" t="s">
        <v>190</v>
      </c>
    </row>
    <row r="271" spans="1:6" x14ac:dyDescent="0.25">
      <c r="A271" s="5">
        <v>90829</v>
      </c>
      <c r="B271" s="10">
        <v>2900</v>
      </c>
      <c r="C271" s="11" t="s">
        <v>116</v>
      </c>
      <c r="D271" s="5" t="s">
        <v>117</v>
      </c>
      <c r="E271" s="5" t="s">
        <v>189</v>
      </c>
      <c r="F271" s="5" t="s">
        <v>190</v>
      </c>
    </row>
    <row r="272" spans="1:6" x14ac:dyDescent="0.25">
      <c r="A272" s="5">
        <v>90838</v>
      </c>
      <c r="B272" s="10">
        <v>2900</v>
      </c>
      <c r="C272" s="11" t="s">
        <v>116</v>
      </c>
      <c r="D272" s="5" t="s">
        <v>117</v>
      </c>
      <c r="E272" s="5" t="s">
        <v>189</v>
      </c>
      <c r="F272" s="5" t="s">
        <v>190</v>
      </c>
    </row>
    <row r="273" spans="1:6" x14ac:dyDescent="0.25">
      <c r="A273" s="5">
        <v>90839</v>
      </c>
      <c r="B273" s="10">
        <v>2900</v>
      </c>
      <c r="C273" s="11" t="s">
        <v>110</v>
      </c>
      <c r="D273" s="5" t="s">
        <v>111</v>
      </c>
      <c r="E273" s="5" t="s">
        <v>189</v>
      </c>
      <c r="F273" s="5" t="s">
        <v>190</v>
      </c>
    </row>
    <row r="274" spans="1:6" x14ac:dyDescent="0.25">
      <c r="A274" s="5">
        <v>90866</v>
      </c>
      <c r="B274" s="10">
        <v>2900</v>
      </c>
      <c r="C274" s="11" t="s">
        <v>74</v>
      </c>
      <c r="D274" s="5" t="s">
        <v>243</v>
      </c>
      <c r="E274" s="5" t="s">
        <v>189</v>
      </c>
      <c r="F274" s="5" t="s">
        <v>190</v>
      </c>
    </row>
    <row r="275" spans="1:6" x14ac:dyDescent="0.25">
      <c r="A275" s="5">
        <v>90888</v>
      </c>
      <c r="B275" s="10">
        <v>2900</v>
      </c>
      <c r="C275" s="11" t="s">
        <v>74</v>
      </c>
      <c r="D275" s="5" t="s">
        <v>243</v>
      </c>
      <c r="E275" s="5" t="s">
        <v>189</v>
      </c>
      <c r="F275" s="5" t="s">
        <v>190</v>
      </c>
    </row>
    <row r="276" spans="1:6" x14ac:dyDescent="0.25">
      <c r="A276" s="5">
        <v>90892</v>
      </c>
      <c r="B276" s="10">
        <v>2900</v>
      </c>
      <c r="C276" s="11" t="s">
        <v>96</v>
      </c>
      <c r="D276" s="5" t="s">
        <v>242</v>
      </c>
      <c r="E276" s="5" t="s">
        <v>189</v>
      </c>
      <c r="F276" s="5" t="s">
        <v>190</v>
      </c>
    </row>
    <row r="277" spans="1:6" x14ac:dyDescent="0.25">
      <c r="A277" s="5">
        <v>90896</v>
      </c>
      <c r="B277" s="10">
        <v>2900</v>
      </c>
      <c r="C277" s="11" t="s">
        <v>74</v>
      </c>
      <c r="D277" s="5" t="s">
        <v>243</v>
      </c>
      <c r="E277" s="5" t="s">
        <v>189</v>
      </c>
      <c r="F277" s="5" t="s">
        <v>190</v>
      </c>
    </row>
    <row r="278" spans="1:6" x14ac:dyDescent="0.25">
      <c r="A278" s="5">
        <v>90905</v>
      </c>
      <c r="B278" s="10">
        <v>2900</v>
      </c>
      <c r="C278" s="11" t="s">
        <v>110</v>
      </c>
      <c r="D278" s="5" t="s">
        <v>111</v>
      </c>
      <c r="E278" s="5" t="s">
        <v>189</v>
      </c>
      <c r="F278" s="5" t="s">
        <v>190</v>
      </c>
    </row>
    <row r="279" spans="1:6" x14ac:dyDescent="0.25">
      <c r="A279" s="5">
        <v>90909</v>
      </c>
      <c r="B279" s="10">
        <v>2900</v>
      </c>
      <c r="C279" s="11" t="s">
        <v>96</v>
      </c>
      <c r="D279" s="5" t="s">
        <v>242</v>
      </c>
      <c r="E279" s="5" t="s">
        <v>189</v>
      </c>
      <c r="F279" s="5" t="s">
        <v>190</v>
      </c>
    </row>
    <row r="280" spans="1:6" x14ac:dyDescent="0.25">
      <c r="A280" s="5">
        <v>90912</v>
      </c>
      <c r="B280" s="10">
        <v>2900</v>
      </c>
      <c r="C280" s="11" t="s">
        <v>74</v>
      </c>
      <c r="D280" s="5" t="s">
        <v>243</v>
      </c>
      <c r="E280" s="5" t="s">
        <v>189</v>
      </c>
      <c r="F280" s="5" t="s">
        <v>190</v>
      </c>
    </row>
    <row r="281" spans="1:6" x14ac:dyDescent="0.25">
      <c r="A281" s="5">
        <v>90914</v>
      </c>
      <c r="B281" s="10">
        <v>2900</v>
      </c>
      <c r="C281" s="11" t="s">
        <v>100</v>
      </c>
      <c r="D281" s="5" t="s">
        <v>101</v>
      </c>
      <c r="E281" s="5" t="s">
        <v>189</v>
      </c>
      <c r="F281" s="5" t="s">
        <v>190</v>
      </c>
    </row>
    <row r="282" spans="1:6" x14ac:dyDescent="0.25">
      <c r="A282" s="5">
        <v>90918</v>
      </c>
      <c r="B282" s="10">
        <v>2900</v>
      </c>
      <c r="C282" s="11" t="s">
        <v>74</v>
      </c>
      <c r="D282" s="5" t="s">
        <v>243</v>
      </c>
      <c r="E282" s="5" t="s">
        <v>189</v>
      </c>
      <c r="F282" s="5" t="s">
        <v>190</v>
      </c>
    </row>
    <row r="283" spans="1:6" x14ac:dyDescent="0.25">
      <c r="A283" s="5">
        <v>90920</v>
      </c>
      <c r="B283" s="10">
        <v>2900</v>
      </c>
      <c r="C283" s="11" t="s">
        <v>72</v>
      </c>
      <c r="D283" s="5" t="s">
        <v>73</v>
      </c>
      <c r="E283" s="5" t="s">
        <v>189</v>
      </c>
      <c r="F283" s="5" t="s">
        <v>190</v>
      </c>
    </row>
    <row r="284" spans="1:6" x14ac:dyDescent="0.25">
      <c r="A284" s="5">
        <v>90929</v>
      </c>
      <c r="B284" s="10">
        <v>2900</v>
      </c>
      <c r="C284" s="11" t="s">
        <v>100</v>
      </c>
      <c r="D284" s="5" t="s">
        <v>101</v>
      </c>
      <c r="E284" s="5" t="s">
        <v>189</v>
      </c>
      <c r="F284" s="5" t="s">
        <v>190</v>
      </c>
    </row>
    <row r="285" spans="1:6" x14ac:dyDescent="0.25">
      <c r="A285" s="5">
        <v>90934</v>
      </c>
      <c r="B285" s="10">
        <v>2900</v>
      </c>
      <c r="C285" s="11" t="s">
        <v>110</v>
      </c>
      <c r="D285" s="5" t="s">
        <v>111</v>
      </c>
      <c r="E285" s="5" t="s">
        <v>189</v>
      </c>
      <c r="F285" s="5" t="s">
        <v>190</v>
      </c>
    </row>
    <row r="286" spans="1:6" x14ac:dyDescent="0.25">
      <c r="A286" s="5">
        <v>90940</v>
      </c>
      <c r="B286" s="10">
        <v>2900</v>
      </c>
      <c r="C286" s="11" t="s">
        <v>96</v>
      </c>
      <c r="D286" s="5" t="s">
        <v>242</v>
      </c>
      <c r="E286" s="5" t="s">
        <v>189</v>
      </c>
      <c r="F286" s="5" t="s">
        <v>190</v>
      </c>
    </row>
    <row r="287" spans="1:6" x14ac:dyDescent="0.25">
      <c r="A287" s="5">
        <v>90946</v>
      </c>
      <c r="B287" s="10">
        <v>2900</v>
      </c>
      <c r="C287" s="11" t="s">
        <v>96</v>
      </c>
      <c r="D287" s="5" t="s">
        <v>242</v>
      </c>
      <c r="E287" s="5" t="s">
        <v>189</v>
      </c>
      <c r="F287" s="5" t="s">
        <v>190</v>
      </c>
    </row>
    <row r="288" spans="1:6" x14ac:dyDescent="0.25">
      <c r="A288" s="5">
        <v>90952</v>
      </c>
      <c r="B288" s="10">
        <v>2900</v>
      </c>
      <c r="C288" s="11" t="s">
        <v>50</v>
      </c>
      <c r="D288" s="5" t="s">
        <v>51</v>
      </c>
      <c r="E288" s="5" t="s">
        <v>189</v>
      </c>
      <c r="F288" s="5" t="s">
        <v>190</v>
      </c>
    </row>
    <row r="289" spans="1:6" x14ac:dyDescent="0.25">
      <c r="A289" s="5">
        <v>90978</v>
      </c>
      <c r="B289" s="10">
        <v>2900</v>
      </c>
      <c r="C289" s="11" t="s">
        <v>96</v>
      </c>
      <c r="D289" s="5" t="s">
        <v>242</v>
      </c>
      <c r="E289" s="5" t="s">
        <v>189</v>
      </c>
      <c r="F289" s="5" t="s">
        <v>190</v>
      </c>
    </row>
    <row r="290" spans="1:6" x14ac:dyDescent="0.25">
      <c r="A290" s="5">
        <v>90981</v>
      </c>
      <c r="B290" s="10">
        <v>2900</v>
      </c>
      <c r="C290" s="11" t="s">
        <v>74</v>
      </c>
      <c r="D290" s="5" t="s">
        <v>243</v>
      </c>
      <c r="E290" s="5" t="s">
        <v>189</v>
      </c>
      <c r="F290" s="5" t="s">
        <v>190</v>
      </c>
    </row>
    <row r="291" spans="1:6" x14ac:dyDescent="0.25">
      <c r="A291" s="5">
        <v>90984</v>
      </c>
      <c r="B291" s="10">
        <v>2900</v>
      </c>
      <c r="C291" s="11" t="s">
        <v>50</v>
      </c>
      <c r="D291" s="5" t="s">
        <v>51</v>
      </c>
      <c r="E291" s="5" t="s">
        <v>189</v>
      </c>
      <c r="F291" s="5" t="s">
        <v>190</v>
      </c>
    </row>
    <row r="292" spans="1:6" x14ac:dyDescent="0.25">
      <c r="A292" s="5">
        <v>90989</v>
      </c>
      <c r="B292" s="10">
        <v>2900</v>
      </c>
      <c r="C292" s="11" t="s">
        <v>96</v>
      </c>
      <c r="D292" s="5" t="s">
        <v>242</v>
      </c>
      <c r="E292" s="5" t="s">
        <v>189</v>
      </c>
      <c r="F292" s="5" t="s">
        <v>190</v>
      </c>
    </row>
    <row r="293" spans="1:6" x14ac:dyDescent="0.25">
      <c r="A293" s="5">
        <v>90991</v>
      </c>
      <c r="B293" s="10">
        <v>2900</v>
      </c>
      <c r="C293" s="11" t="s">
        <v>74</v>
      </c>
      <c r="D293" s="5" t="s">
        <v>243</v>
      </c>
      <c r="E293" s="5" t="s">
        <v>189</v>
      </c>
      <c r="F293" s="5" t="s">
        <v>190</v>
      </c>
    </row>
    <row r="294" spans="1:6" x14ac:dyDescent="0.25">
      <c r="A294" s="5">
        <v>90999</v>
      </c>
      <c r="B294" s="10">
        <v>2900</v>
      </c>
      <c r="C294" s="11" t="s">
        <v>62</v>
      </c>
      <c r="D294" s="5" t="s">
        <v>63</v>
      </c>
      <c r="E294" s="5" t="s">
        <v>189</v>
      </c>
      <c r="F294" s="5" t="s">
        <v>190</v>
      </c>
    </row>
    <row r="295" spans="1:6" x14ac:dyDescent="0.25">
      <c r="A295" s="5">
        <v>91001</v>
      </c>
      <c r="B295" s="10">
        <v>2900</v>
      </c>
      <c r="C295" s="11" t="s">
        <v>102</v>
      </c>
      <c r="D295" s="5" t="s">
        <v>103</v>
      </c>
      <c r="E295" s="5" t="s">
        <v>189</v>
      </c>
      <c r="F295" s="5" t="s">
        <v>190</v>
      </c>
    </row>
    <row r="296" spans="1:6" x14ac:dyDescent="0.25">
      <c r="A296" s="5">
        <v>91004</v>
      </c>
      <c r="B296" s="10">
        <v>2900</v>
      </c>
      <c r="C296" s="11" t="s">
        <v>38</v>
      </c>
      <c r="D296" s="5" t="s">
        <v>246</v>
      </c>
      <c r="E296" s="5" t="s">
        <v>189</v>
      </c>
      <c r="F296" s="5" t="s">
        <v>190</v>
      </c>
    </row>
    <row r="297" spans="1:6" x14ac:dyDescent="0.25">
      <c r="A297" s="5">
        <v>91017</v>
      </c>
      <c r="B297" s="10">
        <v>2900</v>
      </c>
      <c r="C297" s="11" t="s">
        <v>50</v>
      </c>
      <c r="D297" s="5" t="s">
        <v>51</v>
      </c>
      <c r="E297" s="5" t="s">
        <v>189</v>
      </c>
      <c r="F297" s="5" t="s">
        <v>190</v>
      </c>
    </row>
    <row r="298" spans="1:6" x14ac:dyDescent="0.25">
      <c r="A298" s="5">
        <v>91018</v>
      </c>
      <c r="B298" s="10">
        <v>2900</v>
      </c>
      <c r="C298" s="11" t="s">
        <v>50</v>
      </c>
      <c r="D298" s="5" t="s">
        <v>51</v>
      </c>
      <c r="E298" s="5" t="s">
        <v>189</v>
      </c>
      <c r="F298" s="5" t="s">
        <v>190</v>
      </c>
    </row>
    <row r="299" spans="1:6" x14ac:dyDescent="0.25">
      <c r="A299" s="5">
        <v>91019</v>
      </c>
      <c r="B299" s="10">
        <v>2900</v>
      </c>
      <c r="C299" s="11" t="s">
        <v>74</v>
      </c>
      <c r="D299" s="5" t="s">
        <v>243</v>
      </c>
      <c r="E299" s="5" t="s">
        <v>189</v>
      </c>
      <c r="F299" s="5" t="s">
        <v>190</v>
      </c>
    </row>
    <row r="300" spans="1:6" x14ac:dyDescent="0.25">
      <c r="A300" s="5">
        <v>91030</v>
      </c>
      <c r="B300" s="10">
        <v>2900</v>
      </c>
      <c r="C300" s="11" t="s">
        <v>82</v>
      </c>
      <c r="D300" s="5" t="s">
        <v>256</v>
      </c>
      <c r="E300" s="5" t="s">
        <v>189</v>
      </c>
      <c r="F300" s="5" t="s">
        <v>190</v>
      </c>
    </row>
    <row r="301" spans="1:6" x14ac:dyDescent="0.25">
      <c r="A301" s="5">
        <v>91038</v>
      </c>
      <c r="B301" s="10">
        <v>2900</v>
      </c>
      <c r="C301" s="11" t="s">
        <v>78</v>
      </c>
      <c r="D301" s="5" t="s">
        <v>244</v>
      </c>
      <c r="E301" s="5" t="s">
        <v>189</v>
      </c>
      <c r="F301" s="5" t="s">
        <v>190</v>
      </c>
    </row>
    <row r="302" spans="1:6" x14ac:dyDescent="0.25">
      <c r="A302" s="5">
        <v>91043</v>
      </c>
      <c r="B302" s="10">
        <v>2900</v>
      </c>
      <c r="C302" s="11" t="s">
        <v>74</v>
      </c>
      <c r="D302" s="5" t="s">
        <v>243</v>
      </c>
      <c r="E302" s="5" t="s">
        <v>189</v>
      </c>
      <c r="F302" s="5" t="s">
        <v>190</v>
      </c>
    </row>
    <row r="303" spans="1:6" x14ac:dyDescent="0.25">
      <c r="A303" s="5">
        <v>91057</v>
      </c>
      <c r="B303" s="10">
        <v>2900</v>
      </c>
      <c r="C303" s="11" t="s">
        <v>62</v>
      </c>
      <c r="D303" s="5" t="s">
        <v>63</v>
      </c>
      <c r="E303" s="5" t="s">
        <v>189</v>
      </c>
      <c r="F303" s="5" t="s">
        <v>190</v>
      </c>
    </row>
    <row r="304" spans="1:6" x14ac:dyDescent="0.25">
      <c r="A304" s="5">
        <v>91058</v>
      </c>
      <c r="B304" s="10">
        <v>2900</v>
      </c>
      <c r="C304" s="11" t="s">
        <v>50</v>
      </c>
      <c r="D304" s="5" t="s">
        <v>51</v>
      </c>
      <c r="E304" s="5" t="s">
        <v>189</v>
      </c>
      <c r="F304" s="5" t="s">
        <v>190</v>
      </c>
    </row>
    <row r="305" spans="1:6" x14ac:dyDescent="0.25">
      <c r="A305" s="5">
        <v>91060</v>
      </c>
      <c r="B305" s="10">
        <v>2900</v>
      </c>
      <c r="C305" s="11" t="s">
        <v>74</v>
      </c>
      <c r="D305" s="5" t="s">
        <v>243</v>
      </c>
      <c r="E305" s="5" t="s">
        <v>189</v>
      </c>
      <c r="F305" s="5" t="s">
        <v>190</v>
      </c>
    </row>
    <row r="306" spans="1:6" x14ac:dyDescent="0.25">
      <c r="A306" s="5">
        <v>91065</v>
      </c>
      <c r="B306" s="10">
        <v>2900</v>
      </c>
      <c r="C306" s="11" t="s">
        <v>102</v>
      </c>
      <c r="D306" s="5" t="s">
        <v>103</v>
      </c>
      <c r="E306" s="5" t="s">
        <v>189</v>
      </c>
      <c r="F306" s="5" t="s">
        <v>190</v>
      </c>
    </row>
    <row r="307" spans="1:6" x14ac:dyDescent="0.25">
      <c r="A307" s="5">
        <v>91085</v>
      </c>
      <c r="B307" s="10">
        <v>2900</v>
      </c>
      <c r="C307" s="11" t="s">
        <v>100</v>
      </c>
      <c r="D307" s="5" t="s">
        <v>101</v>
      </c>
      <c r="E307" s="5" t="s">
        <v>189</v>
      </c>
      <c r="F307" s="5" t="s">
        <v>190</v>
      </c>
    </row>
    <row r="308" spans="1:6" x14ac:dyDescent="0.25">
      <c r="A308" s="5">
        <v>91094</v>
      </c>
      <c r="B308" s="10">
        <v>2900</v>
      </c>
      <c r="C308" s="11" t="s">
        <v>78</v>
      </c>
      <c r="D308" s="5" t="s">
        <v>244</v>
      </c>
      <c r="E308" s="5" t="s">
        <v>189</v>
      </c>
      <c r="F308" s="5" t="s">
        <v>190</v>
      </c>
    </row>
    <row r="309" spans="1:6" x14ac:dyDescent="0.25">
      <c r="A309" s="5">
        <v>91104</v>
      </c>
      <c r="B309" s="10">
        <v>2900</v>
      </c>
      <c r="C309" s="11" t="s">
        <v>82</v>
      </c>
      <c r="D309" s="5" t="s">
        <v>256</v>
      </c>
      <c r="E309" s="5" t="s">
        <v>189</v>
      </c>
      <c r="F309" s="5" t="s">
        <v>190</v>
      </c>
    </row>
    <row r="310" spans="1:6" x14ac:dyDescent="0.25">
      <c r="A310" s="5">
        <v>91105</v>
      </c>
      <c r="B310" s="10">
        <v>2900</v>
      </c>
      <c r="C310" s="11" t="s">
        <v>78</v>
      </c>
      <c r="D310" s="5" t="s">
        <v>244</v>
      </c>
      <c r="E310" s="5" t="s">
        <v>189</v>
      </c>
      <c r="F310" s="5" t="s">
        <v>190</v>
      </c>
    </row>
    <row r="311" spans="1:6" x14ac:dyDescent="0.25">
      <c r="A311" s="5">
        <v>91121</v>
      </c>
      <c r="B311" s="10">
        <v>2900</v>
      </c>
      <c r="C311" s="11" t="s">
        <v>86</v>
      </c>
      <c r="D311" s="5" t="s">
        <v>87</v>
      </c>
      <c r="E311" s="5" t="s">
        <v>189</v>
      </c>
      <c r="F311" s="5" t="s">
        <v>190</v>
      </c>
    </row>
    <row r="312" spans="1:6" x14ac:dyDescent="0.25">
      <c r="A312" s="5">
        <v>91131</v>
      </c>
      <c r="B312" s="10">
        <v>2900</v>
      </c>
      <c r="C312" s="11" t="s">
        <v>86</v>
      </c>
      <c r="D312" s="5" t="s">
        <v>87</v>
      </c>
      <c r="E312" s="5" t="s">
        <v>189</v>
      </c>
      <c r="F312" s="5" t="s">
        <v>190</v>
      </c>
    </row>
    <row r="313" spans="1:6" x14ac:dyDescent="0.25">
      <c r="A313" s="5">
        <v>91134</v>
      </c>
      <c r="B313" s="10">
        <v>2900</v>
      </c>
      <c r="C313" s="11" t="s">
        <v>86</v>
      </c>
      <c r="D313" s="5" t="s">
        <v>87</v>
      </c>
      <c r="E313" s="5" t="s">
        <v>189</v>
      </c>
      <c r="F313" s="5" t="s">
        <v>190</v>
      </c>
    </row>
    <row r="314" spans="1:6" x14ac:dyDescent="0.25">
      <c r="A314" s="5">
        <v>91135</v>
      </c>
      <c r="B314" s="10">
        <v>2900</v>
      </c>
      <c r="C314" s="11" t="s">
        <v>86</v>
      </c>
      <c r="D314" s="5" t="s">
        <v>87</v>
      </c>
      <c r="E314" s="5" t="s">
        <v>189</v>
      </c>
      <c r="F314" s="5" t="s">
        <v>190</v>
      </c>
    </row>
    <row r="315" spans="1:6" x14ac:dyDescent="0.25">
      <c r="A315" s="5">
        <v>91136</v>
      </c>
      <c r="B315" s="10">
        <v>2900</v>
      </c>
      <c r="C315" s="11" t="s">
        <v>86</v>
      </c>
      <c r="D315" s="5" t="s">
        <v>87</v>
      </c>
      <c r="E315" s="5" t="s">
        <v>189</v>
      </c>
      <c r="F315" s="5" t="s">
        <v>190</v>
      </c>
    </row>
    <row r="316" spans="1:6" x14ac:dyDescent="0.25">
      <c r="A316" s="5">
        <v>91150</v>
      </c>
      <c r="B316" s="10">
        <v>2900</v>
      </c>
      <c r="C316" s="11" t="s">
        <v>82</v>
      </c>
      <c r="D316" s="5" t="s">
        <v>256</v>
      </c>
      <c r="E316" s="5" t="s">
        <v>189</v>
      </c>
      <c r="F316" s="5" t="s">
        <v>190</v>
      </c>
    </row>
    <row r="317" spans="1:6" x14ac:dyDescent="0.25">
      <c r="A317" s="5">
        <v>91154</v>
      </c>
      <c r="B317" s="10">
        <v>2900</v>
      </c>
      <c r="C317" s="11" t="s">
        <v>86</v>
      </c>
      <c r="D317" s="5" t="s">
        <v>87</v>
      </c>
      <c r="E317" s="5" t="s">
        <v>189</v>
      </c>
      <c r="F317" s="5" t="s">
        <v>190</v>
      </c>
    </row>
    <row r="318" spans="1:6" x14ac:dyDescent="0.25">
      <c r="A318" s="5">
        <v>91173</v>
      </c>
      <c r="B318" s="10">
        <v>2900</v>
      </c>
      <c r="C318" s="11" t="s">
        <v>78</v>
      </c>
      <c r="D318" s="5" t="s">
        <v>244</v>
      </c>
      <c r="E318" s="5" t="s">
        <v>189</v>
      </c>
      <c r="F318" s="5" t="s">
        <v>190</v>
      </c>
    </row>
    <row r="319" spans="1:6" x14ac:dyDescent="0.25">
      <c r="A319" s="5">
        <v>91175</v>
      </c>
      <c r="B319" s="10">
        <v>2900</v>
      </c>
      <c r="C319" s="11" t="s">
        <v>86</v>
      </c>
      <c r="D319" s="5" t="s">
        <v>87</v>
      </c>
      <c r="E319" s="5" t="s">
        <v>189</v>
      </c>
      <c r="F319" s="5" t="s">
        <v>190</v>
      </c>
    </row>
    <row r="320" spans="1:6" x14ac:dyDescent="0.25">
      <c r="A320" s="5">
        <v>91188</v>
      </c>
      <c r="B320" s="10">
        <v>2900</v>
      </c>
      <c r="C320" s="11" t="s">
        <v>96</v>
      </c>
      <c r="D320" s="5" t="s">
        <v>242</v>
      </c>
      <c r="E320" s="5" t="s">
        <v>189</v>
      </c>
      <c r="F320" s="5" t="s">
        <v>190</v>
      </c>
    </row>
    <row r="321" spans="1:6" x14ac:dyDescent="0.25">
      <c r="A321" s="5">
        <v>91192</v>
      </c>
      <c r="B321" s="10">
        <v>2900</v>
      </c>
      <c r="C321" s="11" t="s">
        <v>86</v>
      </c>
      <c r="D321" s="5" t="s">
        <v>87</v>
      </c>
      <c r="E321" s="5" t="s">
        <v>189</v>
      </c>
      <c r="F321" s="5" t="s">
        <v>190</v>
      </c>
    </row>
    <row r="322" spans="1:6" x14ac:dyDescent="0.25">
      <c r="A322" s="5">
        <v>91197</v>
      </c>
      <c r="B322" s="10">
        <v>2900</v>
      </c>
      <c r="C322" s="11" t="s">
        <v>86</v>
      </c>
      <c r="D322" s="5" t="s">
        <v>87</v>
      </c>
      <c r="E322" s="5" t="s">
        <v>189</v>
      </c>
      <c r="F322" s="5" t="s">
        <v>190</v>
      </c>
    </row>
    <row r="323" spans="1:6" x14ac:dyDescent="0.25">
      <c r="A323" s="5">
        <v>91199</v>
      </c>
      <c r="B323" s="10">
        <v>2900</v>
      </c>
      <c r="C323" s="11" t="s">
        <v>82</v>
      </c>
      <c r="D323" s="5" t="s">
        <v>256</v>
      </c>
      <c r="E323" s="5" t="s">
        <v>189</v>
      </c>
      <c r="F323" s="5" t="s">
        <v>190</v>
      </c>
    </row>
    <row r="324" spans="1:6" x14ac:dyDescent="0.25">
      <c r="A324" s="5">
        <v>91204</v>
      </c>
      <c r="B324" s="10">
        <v>2900</v>
      </c>
      <c r="C324" s="11" t="s">
        <v>86</v>
      </c>
      <c r="D324" s="5" t="s">
        <v>87</v>
      </c>
      <c r="E324" s="5" t="s">
        <v>189</v>
      </c>
      <c r="F324" s="5" t="s">
        <v>190</v>
      </c>
    </row>
    <row r="325" spans="1:6" x14ac:dyDescent="0.25">
      <c r="A325" s="5">
        <v>91210</v>
      </c>
      <c r="B325" s="10">
        <v>2900</v>
      </c>
      <c r="C325" s="11" t="s">
        <v>86</v>
      </c>
      <c r="D325" s="5" t="s">
        <v>87</v>
      </c>
      <c r="E325" s="5" t="s">
        <v>189</v>
      </c>
      <c r="F325" s="5" t="s">
        <v>190</v>
      </c>
    </row>
    <row r="326" spans="1:6" x14ac:dyDescent="0.25">
      <c r="A326" s="5">
        <v>91214</v>
      </c>
      <c r="B326" s="10">
        <v>2900</v>
      </c>
      <c r="C326" s="11" t="s">
        <v>86</v>
      </c>
      <c r="D326" s="5" t="s">
        <v>87</v>
      </c>
      <c r="E326" s="5" t="s">
        <v>189</v>
      </c>
      <c r="F326" s="5" t="s">
        <v>190</v>
      </c>
    </row>
    <row r="327" spans="1:6" x14ac:dyDescent="0.25">
      <c r="A327" s="5">
        <v>91222</v>
      </c>
      <c r="B327" s="10">
        <v>2900</v>
      </c>
      <c r="C327" s="11" t="s">
        <v>86</v>
      </c>
      <c r="D327" s="5" t="s">
        <v>87</v>
      </c>
      <c r="E327" s="5" t="s">
        <v>189</v>
      </c>
      <c r="F327" s="5" t="s">
        <v>190</v>
      </c>
    </row>
    <row r="328" spans="1:6" x14ac:dyDescent="0.25">
      <c r="A328" s="5">
        <v>91223</v>
      </c>
      <c r="B328" s="10">
        <v>2900</v>
      </c>
      <c r="C328" s="11" t="s">
        <v>86</v>
      </c>
      <c r="D328" s="5" t="s">
        <v>87</v>
      </c>
      <c r="E328" s="5" t="s">
        <v>189</v>
      </c>
      <c r="F328" s="5" t="s">
        <v>190</v>
      </c>
    </row>
    <row r="329" spans="1:6" x14ac:dyDescent="0.25">
      <c r="A329" s="5">
        <v>91225</v>
      </c>
      <c r="B329" s="10">
        <v>2900</v>
      </c>
      <c r="C329" s="11" t="s">
        <v>86</v>
      </c>
      <c r="D329" s="5" t="s">
        <v>87</v>
      </c>
      <c r="E329" s="5" t="s">
        <v>189</v>
      </c>
      <c r="F329" s="5" t="s">
        <v>190</v>
      </c>
    </row>
    <row r="330" spans="1:6" x14ac:dyDescent="0.25">
      <c r="A330" s="5">
        <v>91236</v>
      </c>
      <c r="B330" s="10">
        <v>2900</v>
      </c>
      <c r="C330" s="11" t="s">
        <v>74</v>
      </c>
      <c r="D330" s="5" t="s">
        <v>243</v>
      </c>
      <c r="E330" s="5" t="s">
        <v>189</v>
      </c>
      <c r="F330" s="5" t="s">
        <v>190</v>
      </c>
    </row>
    <row r="331" spans="1:6" x14ac:dyDescent="0.25">
      <c r="A331" s="5">
        <v>91238</v>
      </c>
      <c r="B331" s="10">
        <v>2900</v>
      </c>
      <c r="C331" s="11" t="s">
        <v>54</v>
      </c>
      <c r="D331" s="5" t="s">
        <v>55</v>
      </c>
      <c r="E331" s="5" t="s">
        <v>189</v>
      </c>
      <c r="F331" s="5" t="s">
        <v>190</v>
      </c>
    </row>
    <row r="332" spans="1:6" x14ac:dyDescent="0.25">
      <c r="A332" s="5">
        <v>91243</v>
      </c>
      <c r="B332" s="10">
        <v>2900</v>
      </c>
      <c r="C332" s="11" t="s">
        <v>38</v>
      </c>
      <c r="D332" s="5" t="s">
        <v>246</v>
      </c>
      <c r="E332" s="5" t="s">
        <v>189</v>
      </c>
      <c r="F332" s="5" t="s">
        <v>190</v>
      </c>
    </row>
    <row r="333" spans="1:6" x14ac:dyDescent="0.25">
      <c r="A333" s="5">
        <v>91272</v>
      </c>
      <c r="B333" s="10">
        <v>2900</v>
      </c>
      <c r="C333" s="11" t="s">
        <v>64</v>
      </c>
      <c r="D333" s="5" t="s">
        <v>251</v>
      </c>
      <c r="E333" s="5" t="s">
        <v>189</v>
      </c>
      <c r="F333" s="5" t="s">
        <v>190</v>
      </c>
    </row>
    <row r="334" spans="1:6" x14ac:dyDescent="0.25">
      <c r="A334" s="5">
        <v>91286</v>
      </c>
      <c r="B334" s="10">
        <v>2900</v>
      </c>
      <c r="C334" s="11" t="s">
        <v>86</v>
      </c>
      <c r="D334" s="5" t="s">
        <v>87</v>
      </c>
      <c r="E334" s="5" t="s">
        <v>189</v>
      </c>
      <c r="F334" s="5" t="s">
        <v>190</v>
      </c>
    </row>
    <row r="335" spans="1:6" x14ac:dyDescent="0.25">
      <c r="A335" s="5">
        <v>91293</v>
      </c>
      <c r="B335" s="10">
        <v>2900</v>
      </c>
      <c r="C335" s="11" t="s">
        <v>78</v>
      </c>
      <c r="D335" s="5" t="s">
        <v>244</v>
      </c>
      <c r="E335" s="5" t="s">
        <v>189</v>
      </c>
      <c r="F335" s="5" t="s">
        <v>190</v>
      </c>
    </row>
    <row r="336" spans="1:6" x14ac:dyDescent="0.25">
      <c r="A336" s="5">
        <v>91295</v>
      </c>
      <c r="B336" s="10">
        <v>2900</v>
      </c>
      <c r="C336" s="11" t="s">
        <v>74</v>
      </c>
      <c r="D336" s="5" t="s">
        <v>243</v>
      </c>
      <c r="E336" s="5" t="s">
        <v>189</v>
      </c>
      <c r="F336" s="5" t="s">
        <v>190</v>
      </c>
    </row>
    <row r="337" spans="1:6" x14ac:dyDescent="0.25">
      <c r="A337" s="5">
        <v>91305</v>
      </c>
      <c r="B337" s="10">
        <v>2900</v>
      </c>
      <c r="C337" s="11" t="s">
        <v>74</v>
      </c>
      <c r="D337" s="5" t="s">
        <v>243</v>
      </c>
      <c r="E337" s="5" t="s">
        <v>189</v>
      </c>
      <c r="F337" s="5" t="s">
        <v>190</v>
      </c>
    </row>
    <row r="338" spans="1:6" x14ac:dyDescent="0.25">
      <c r="A338" s="5">
        <v>91308</v>
      </c>
      <c r="B338" s="10">
        <v>2900</v>
      </c>
      <c r="C338" s="11" t="s">
        <v>86</v>
      </c>
      <c r="D338" s="5" t="s">
        <v>87</v>
      </c>
      <c r="E338" s="5" t="s">
        <v>189</v>
      </c>
      <c r="F338" s="5" t="s">
        <v>190</v>
      </c>
    </row>
    <row r="339" spans="1:6" x14ac:dyDescent="0.25">
      <c r="A339" s="5">
        <v>91310</v>
      </c>
      <c r="B339" s="10">
        <v>2900</v>
      </c>
      <c r="C339" s="11" t="s">
        <v>86</v>
      </c>
      <c r="D339" s="5" t="s">
        <v>87</v>
      </c>
      <c r="E339" s="5" t="s">
        <v>189</v>
      </c>
      <c r="F339" s="5" t="s">
        <v>190</v>
      </c>
    </row>
    <row r="340" spans="1:6" x14ac:dyDescent="0.25">
      <c r="A340" s="5">
        <v>91311</v>
      </c>
      <c r="B340" s="10">
        <v>2900</v>
      </c>
      <c r="C340" s="11" t="s">
        <v>86</v>
      </c>
      <c r="D340" s="5" t="s">
        <v>87</v>
      </c>
      <c r="E340" s="5" t="s">
        <v>189</v>
      </c>
      <c r="F340" s="5" t="s">
        <v>190</v>
      </c>
    </row>
    <row r="341" spans="1:6" x14ac:dyDescent="0.25">
      <c r="A341" s="5">
        <v>91314</v>
      </c>
      <c r="B341" s="10">
        <v>2900</v>
      </c>
      <c r="C341" s="11" t="s">
        <v>86</v>
      </c>
      <c r="D341" s="5" t="s">
        <v>87</v>
      </c>
      <c r="E341" s="5" t="s">
        <v>189</v>
      </c>
      <c r="F341" s="5" t="s">
        <v>190</v>
      </c>
    </row>
    <row r="342" spans="1:6" x14ac:dyDescent="0.25">
      <c r="A342" s="5">
        <v>91330</v>
      </c>
      <c r="B342" s="10">
        <v>2900</v>
      </c>
      <c r="C342" s="11" t="s">
        <v>96</v>
      </c>
      <c r="D342" s="5" t="s">
        <v>242</v>
      </c>
      <c r="E342" s="5" t="s">
        <v>189</v>
      </c>
      <c r="F342" s="5" t="s">
        <v>190</v>
      </c>
    </row>
    <row r="343" spans="1:6" x14ac:dyDescent="0.25">
      <c r="A343" s="5">
        <v>91333</v>
      </c>
      <c r="B343" s="10">
        <v>2900</v>
      </c>
      <c r="C343" s="11" t="s">
        <v>96</v>
      </c>
      <c r="D343" s="5" t="s">
        <v>242</v>
      </c>
      <c r="E343" s="5" t="s">
        <v>189</v>
      </c>
      <c r="F343" s="5" t="s">
        <v>190</v>
      </c>
    </row>
    <row r="344" spans="1:6" x14ac:dyDescent="0.25">
      <c r="A344" s="5">
        <v>91343</v>
      </c>
      <c r="B344" s="10">
        <v>2900</v>
      </c>
      <c r="C344" s="11" t="s">
        <v>78</v>
      </c>
      <c r="D344" s="5" t="s">
        <v>244</v>
      </c>
      <c r="E344" s="5" t="s">
        <v>189</v>
      </c>
      <c r="F344" s="5" t="s">
        <v>190</v>
      </c>
    </row>
    <row r="345" spans="1:6" x14ac:dyDescent="0.25">
      <c r="A345" s="5">
        <v>91345</v>
      </c>
      <c r="B345" s="10">
        <v>2900</v>
      </c>
      <c r="C345" s="11" t="s">
        <v>110</v>
      </c>
      <c r="D345" s="5" t="s">
        <v>111</v>
      </c>
      <c r="E345" s="5" t="s">
        <v>189</v>
      </c>
      <c r="F345" s="5" t="s">
        <v>190</v>
      </c>
    </row>
    <row r="346" spans="1:6" x14ac:dyDescent="0.25">
      <c r="A346" s="5">
        <v>91355</v>
      </c>
      <c r="B346" s="10">
        <v>2900</v>
      </c>
      <c r="C346" s="11" t="s">
        <v>82</v>
      </c>
      <c r="D346" s="5" t="s">
        <v>256</v>
      </c>
      <c r="E346" s="5" t="s">
        <v>189</v>
      </c>
      <c r="F346" s="5" t="s">
        <v>190</v>
      </c>
    </row>
    <row r="347" spans="1:6" x14ac:dyDescent="0.25">
      <c r="A347" s="5">
        <v>91356</v>
      </c>
      <c r="B347" s="10">
        <v>2900</v>
      </c>
      <c r="C347" s="11" t="s">
        <v>86</v>
      </c>
      <c r="D347" s="5" t="s">
        <v>87</v>
      </c>
      <c r="E347" s="5" t="s">
        <v>189</v>
      </c>
      <c r="F347" s="5" t="s">
        <v>190</v>
      </c>
    </row>
    <row r="348" spans="1:6" x14ac:dyDescent="0.25">
      <c r="A348" s="5">
        <v>91360</v>
      </c>
      <c r="B348" s="10">
        <v>2900</v>
      </c>
      <c r="C348" s="11" t="s">
        <v>86</v>
      </c>
      <c r="D348" s="5" t="s">
        <v>87</v>
      </c>
      <c r="E348" s="5" t="s">
        <v>189</v>
      </c>
      <c r="F348" s="5" t="s">
        <v>190</v>
      </c>
    </row>
    <row r="349" spans="1:6" x14ac:dyDescent="0.25">
      <c r="A349" s="5">
        <v>91362</v>
      </c>
      <c r="B349" s="10">
        <v>2900</v>
      </c>
      <c r="C349" s="11" t="s">
        <v>68</v>
      </c>
      <c r="D349" s="5" t="s">
        <v>69</v>
      </c>
      <c r="E349" s="5" t="s">
        <v>189</v>
      </c>
      <c r="F349" s="5" t="s">
        <v>190</v>
      </c>
    </row>
    <row r="350" spans="1:6" x14ac:dyDescent="0.25">
      <c r="A350" s="5">
        <v>91370</v>
      </c>
      <c r="B350" s="10">
        <v>2900</v>
      </c>
      <c r="C350" s="11" t="s">
        <v>86</v>
      </c>
      <c r="D350" s="5" t="s">
        <v>87</v>
      </c>
      <c r="E350" s="5" t="s">
        <v>189</v>
      </c>
      <c r="F350" s="5" t="s">
        <v>190</v>
      </c>
    </row>
    <row r="351" spans="1:6" x14ac:dyDescent="0.25">
      <c r="A351" s="5">
        <v>91381</v>
      </c>
      <c r="B351" s="10">
        <v>2900</v>
      </c>
      <c r="C351" s="11" t="s">
        <v>82</v>
      </c>
      <c r="D351" s="5" t="s">
        <v>256</v>
      </c>
      <c r="E351" s="5" t="s">
        <v>189</v>
      </c>
      <c r="F351" s="5" t="s">
        <v>190</v>
      </c>
    </row>
    <row r="352" spans="1:6" x14ac:dyDescent="0.25">
      <c r="A352" s="5">
        <v>91390</v>
      </c>
      <c r="B352" s="10">
        <v>2900</v>
      </c>
      <c r="C352" s="11" t="s">
        <v>86</v>
      </c>
      <c r="D352" s="5" t="s">
        <v>87</v>
      </c>
      <c r="E352" s="5" t="s">
        <v>189</v>
      </c>
      <c r="F352" s="5" t="s">
        <v>190</v>
      </c>
    </row>
    <row r="353" spans="1:6" x14ac:dyDescent="0.25">
      <c r="A353" s="5">
        <v>91391</v>
      </c>
      <c r="B353" s="10">
        <v>2900</v>
      </c>
      <c r="C353" s="11" t="s">
        <v>86</v>
      </c>
      <c r="D353" s="5" t="s">
        <v>87</v>
      </c>
      <c r="E353" s="5" t="s">
        <v>189</v>
      </c>
      <c r="F353" s="5" t="s">
        <v>190</v>
      </c>
    </row>
    <row r="354" spans="1:6" x14ac:dyDescent="0.25">
      <c r="A354" s="5">
        <v>91396</v>
      </c>
      <c r="B354" s="10">
        <v>2900</v>
      </c>
      <c r="C354" s="11" t="s">
        <v>74</v>
      </c>
      <c r="D354" s="5" t="s">
        <v>243</v>
      </c>
      <c r="E354" s="5" t="s">
        <v>189</v>
      </c>
      <c r="F354" s="5" t="s">
        <v>190</v>
      </c>
    </row>
    <row r="355" spans="1:6" x14ac:dyDescent="0.25">
      <c r="A355" s="5">
        <v>91397</v>
      </c>
      <c r="B355" s="10">
        <v>2900</v>
      </c>
      <c r="C355" s="11" t="s">
        <v>74</v>
      </c>
      <c r="D355" s="5" t="s">
        <v>243</v>
      </c>
      <c r="E355" s="5" t="s">
        <v>189</v>
      </c>
      <c r="F355" s="5" t="s">
        <v>190</v>
      </c>
    </row>
    <row r="356" spans="1:6" x14ac:dyDescent="0.25">
      <c r="A356" s="5">
        <v>91399</v>
      </c>
      <c r="B356" s="10">
        <v>2900</v>
      </c>
      <c r="C356" s="11" t="s">
        <v>74</v>
      </c>
      <c r="D356" s="5" t="s">
        <v>243</v>
      </c>
      <c r="E356" s="5" t="s">
        <v>189</v>
      </c>
      <c r="F356" s="5" t="s">
        <v>190</v>
      </c>
    </row>
    <row r="357" spans="1:6" x14ac:dyDescent="0.25">
      <c r="A357" s="5">
        <v>91405</v>
      </c>
      <c r="B357" s="10">
        <v>2900</v>
      </c>
      <c r="C357" s="11" t="s">
        <v>74</v>
      </c>
      <c r="D357" s="5" t="s">
        <v>243</v>
      </c>
      <c r="E357" s="5" t="s">
        <v>189</v>
      </c>
      <c r="F357" s="5" t="s">
        <v>190</v>
      </c>
    </row>
    <row r="358" spans="1:6" x14ac:dyDescent="0.25">
      <c r="A358" s="5">
        <v>91412</v>
      </c>
      <c r="B358" s="10">
        <v>2900</v>
      </c>
      <c r="C358" s="11" t="s">
        <v>74</v>
      </c>
      <c r="D358" s="5" t="s">
        <v>243</v>
      </c>
      <c r="E358" s="5" t="s">
        <v>189</v>
      </c>
      <c r="F358" s="5" t="s">
        <v>190</v>
      </c>
    </row>
    <row r="359" spans="1:6" x14ac:dyDescent="0.25">
      <c r="A359" s="5">
        <v>91418</v>
      </c>
      <c r="B359" s="10">
        <v>2900</v>
      </c>
      <c r="C359" s="11" t="s">
        <v>78</v>
      </c>
      <c r="D359" s="5" t="s">
        <v>244</v>
      </c>
      <c r="E359" s="5" t="s">
        <v>189</v>
      </c>
      <c r="F359" s="5" t="s">
        <v>190</v>
      </c>
    </row>
    <row r="360" spans="1:6" x14ac:dyDescent="0.25">
      <c r="A360" s="5">
        <v>91430</v>
      </c>
      <c r="B360" s="10">
        <v>2900</v>
      </c>
      <c r="C360" s="11" t="s">
        <v>74</v>
      </c>
      <c r="D360" s="5" t="s">
        <v>243</v>
      </c>
      <c r="E360" s="5" t="s">
        <v>189</v>
      </c>
      <c r="F360" s="5" t="s">
        <v>190</v>
      </c>
    </row>
    <row r="361" spans="1:6" x14ac:dyDescent="0.25">
      <c r="A361" s="5">
        <v>91435</v>
      </c>
      <c r="B361" s="10">
        <v>2900</v>
      </c>
      <c r="C361" s="11" t="s">
        <v>54</v>
      </c>
      <c r="D361" s="5" t="s">
        <v>55</v>
      </c>
      <c r="E361" s="5" t="s">
        <v>189</v>
      </c>
      <c r="F361" s="5" t="s">
        <v>190</v>
      </c>
    </row>
    <row r="362" spans="1:6" x14ac:dyDescent="0.25">
      <c r="A362" s="5">
        <v>91438</v>
      </c>
      <c r="B362" s="10">
        <v>2900</v>
      </c>
      <c r="C362" s="11" t="s">
        <v>54</v>
      </c>
      <c r="D362" s="5" t="s">
        <v>55</v>
      </c>
      <c r="E362" s="5" t="s">
        <v>189</v>
      </c>
      <c r="F362" s="5" t="s">
        <v>190</v>
      </c>
    </row>
    <row r="363" spans="1:6" x14ac:dyDescent="0.25">
      <c r="A363" s="5">
        <v>91440</v>
      </c>
      <c r="B363" s="10">
        <v>2900</v>
      </c>
      <c r="C363" s="11" t="s">
        <v>74</v>
      </c>
      <c r="D363" s="5" t="s">
        <v>243</v>
      </c>
      <c r="E363" s="5" t="s">
        <v>189</v>
      </c>
      <c r="F363" s="5" t="s">
        <v>190</v>
      </c>
    </row>
    <row r="364" spans="1:6" x14ac:dyDescent="0.25">
      <c r="A364" s="5">
        <v>91455</v>
      </c>
      <c r="B364" s="10">
        <v>2900</v>
      </c>
      <c r="C364" s="11" t="s">
        <v>74</v>
      </c>
      <c r="D364" s="5" t="s">
        <v>243</v>
      </c>
      <c r="E364" s="5" t="s">
        <v>189</v>
      </c>
      <c r="F364" s="5" t="s">
        <v>190</v>
      </c>
    </row>
    <row r="365" spans="1:6" x14ac:dyDescent="0.25">
      <c r="A365" s="5">
        <v>91458</v>
      </c>
      <c r="B365" s="10">
        <v>2900</v>
      </c>
      <c r="C365" s="11" t="s">
        <v>70</v>
      </c>
      <c r="D365" s="5" t="s">
        <v>257</v>
      </c>
      <c r="E365" s="5" t="s">
        <v>189</v>
      </c>
      <c r="F365" s="5" t="s">
        <v>190</v>
      </c>
    </row>
    <row r="366" spans="1:6" x14ac:dyDescent="0.25">
      <c r="A366" s="5">
        <v>91460</v>
      </c>
      <c r="B366" s="10">
        <v>2900</v>
      </c>
      <c r="C366" s="11" t="s">
        <v>118</v>
      </c>
      <c r="D366" s="5" t="s">
        <v>119</v>
      </c>
      <c r="E366" s="5" t="s">
        <v>189</v>
      </c>
      <c r="F366" s="5" t="s">
        <v>190</v>
      </c>
    </row>
    <row r="367" spans="1:6" x14ac:dyDescent="0.25">
      <c r="A367" s="5">
        <v>91462</v>
      </c>
      <c r="B367" s="10">
        <v>2900</v>
      </c>
      <c r="C367" s="11" t="s">
        <v>96</v>
      </c>
      <c r="D367" s="5" t="s">
        <v>242</v>
      </c>
      <c r="E367" s="5" t="s">
        <v>189</v>
      </c>
      <c r="F367" s="5" t="s">
        <v>190</v>
      </c>
    </row>
    <row r="368" spans="1:6" x14ac:dyDescent="0.25">
      <c r="A368" s="5">
        <v>91464</v>
      </c>
      <c r="B368" s="10">
        <v>2900</v>
      </c>
      <c r="C368" s="11" t="s">
        <v>38</v>
      </c>
      <c r="D368" s="5" t="s">
        <v>246</v>
      </c>
      <c r="E368" s="5" t="s">
        <v>189</v>
      </c>
      <c r="F368" s="5" t="s">
        <v>190</v>
      </c>
    </row>
    <row r="369" spans="1:6" x14ac:dyDescent="0.25">
      <c r="A369" s="5">
        <v>91465</v>
      </c>
      <c r="B369" s="10">
        <v>2900</v>
      </c>
      <c r="C369" s="11" t="s">
        <v>82</v>
      </c>
      <c r="D369" s="5" t="s">
        <v>256</v>
      </c>
      <c r="E369" s="5" t="s">
        <v>189</v>
      </c>
      <c r="F369" s="5" t="s">
        <v>190</v>
      </c>
    </row>
    <row r="370" spans="1:6" x14ac:dyDescent="0.25">
      <c r="A370" s="5">
        <v>91469</v>
      </c>
      <c r="B370" s="10">
        <v>2900</v>
      </c>
      <c r="C370" s="11" t="s">
        <v>82</v>
      </c>
      <c r="D370" s="5" t="s">
        <v>256</v>
      </c>
      <c r="E370" s="5" t="s">
        <v>189</v>
      </c>
      <c r="F370" s="5" t="s">
        <v>190</v>
      </c>
    </row>
    <row r="371" spans="1:6" x14ac:dyDescent="0.25">
      <c r="A371" s="5">
        <v>91470</v>
      </c>
      <c r="B371" s="10">
        <v>2900</v>
      </c>
      <c r="C371" s="11" t="s">
        <v>74</v>
      </c>
      <c r="D371" s="5" t="s">
        <v>243</v>
      </c>
      <c r="E371" s="5" t="s">
        <v>189</v>
      </c>
      <c r="F371" s="5" t="s">
        <v>190</v>
      </c>
    </row>
    <row r="372" spans="1:6" x14ac:dyDescent="0.25">
      <c r="A372" s="5">
        <v>91472</v>
      </c>
      <c r="B372" s="10">
        <v>2900</v>
      </c>
      <c r="C372" s="11" t="s">
        <v>50</v>
      </c>
      <c r="D372" s="5" t="s">
        <v>51</v>
      </c>
      <c r="E372" s="5" t="s">
        <v>189</v>
      </c>
      <c r="F372" s="5" t="s">
        <v>190</v>
      </c>
    </row>
    <row r="373" spans="1:6" x14ac:dyDescent="0.25">
      <c r="A373" s="5">
        <v>91474</v>
      </c>
      <c r="B373" s="10">
        <v>2900</v>
      </c>
      <c r="C373" s="11" t="s">
        <v>74</v>
      </c>
      <c r="D373" s="5" t="s">
        <v>243</v>
      </c>
      <c r="E373" s="5" t="s">
        <v>189</v>
      </c>
      <c r="F373" s="5" t="s">
        <v>190</v>
      </c>
    </row>
    <row r="374" spans="1:6" x14ac:dyDescent="0.25">
      <c r="A374" s="5">
        <v>91500</v>
      </c>
      <c r="B374" s="10">
        <v>2900</v>
      </c>
      <c r="C374" s="11" t="s">
        <v>142</v>
      </c>
      <c r="D374" s="5" t="s">
        <v>255</v>
      </c>
      <c r="E374" s="5" t="s">
        <v>189</v>
      </c>
      <c r="F374" s="5" t="s">
        <v>190</v>
      </c>
    </row>
    <row r="375" spans="1:6" x14ac:dyDescent="0.25">
      <c r="A375" s="5">
        <v>91501</v>
      </c>
      <c r="B375" s="10">
        <v>2900</v>
      </c>
      <c r="C375" s="11" t="s">
        <v>96</v>
      </c>
      <c r="D375" s="5" t="s">
        <v>242</v>
      </c>
      <c r="E375" s="5" t="s">
        <v>189</v>
      </c>
      <c r="F375" s="5" t="s">
        <v>190</v>
      </c>
    </row>
    <row r="376" spans="1:6" x14ac:dyDescent="0.25">
      <c r="A376" s="5">
        <v>91502</v>
      </c>
      <c r="B376" s="10">
        <v>2900</v>
      </c>
      <c r="C376" s="11" t="s">
        <v>84</v>
      </c>
      <c r="D376" s="5" t="s">
        <v>247</v>
      </c>
      <c r="E376" s="5" t="s">
        <v>189</v>
      </c>
      <c r="F376" s="5" t="s">
        <v>190</v>
      </c>
    </row>
    <row r="377" spans="1:6" x14ac:dyDescent="0.25">
      <c r="A377" s="5">
        <v>91525</v>
      </c>
      <c r="B377" s="10">
        <v>2900</v>
      </c>
      <c r="C377" s="11" t="s">
        <v>68</v>
      </c>
      <c r="D377" s="5" t="s">
        <v>69</v>
      </c>
      <c r="E377" s="5" t="s">
        <v>189</v>
      </c>
      <c r="F377" s="5" t="s">
        <v>190</v>
      </c>
    </row>
    <row r="378" spans="1:6" x14ac:dyDescent="0.25">
      <c r="A378" s="5">
        <v>91557</v>
      </c>
      <c r="B378" s="10">
        <v>2900</v>
      </c>
      <c r="C378" s="11" t="s">
        <v>74</v>
      </c>
      <c r="D378" s="5" t="s">
        <v>243</v>
      </c>
      <c r="E378" s="5" t="s">
        <v>189</v>
      </c>
      <c r="F378" s="5" t="s">
        <v>190</v>
      </c>
    </row>
    <row r="379" spans="1:6" x14ac:dyDescent="0.25">
      <c r="A379" s="5">
        <v>91559</v>
      </c>
      <c r="B379" s="10">
        <v>2900</v>
      </c>
      <c r="C379" s="11" t="s">
        <v>96</v>
      </c>
      <c r="D379" s="5" t="s">
        <v>242</v>
      </c>
      <c r="E379" s="5" t="s">
        <v>189</v>
      </c>
      <c r="F379" s="5" t="s">
        <v>190</v>
      </c>
    </row>
    <row r="380" spans="1:6" x14ac:dyDescent="0.25">
      <c r="A380" s="5">
        <v>91563</v>
      </c>
      <c r="B380" s="10">
        <v>2900</v>
      </c>
      <c r="C380" s="11" t="s">
        <v>96</v>
      </c>
      <c r="D380" s="5" t="s">
        <v>242</v>
      </c>
      <c r="E380" s="5" t="s">
        <v>189</v>
      </c>
      <c r="F380" s="5" t="s">
        <v>190</v>
      </c>
    </row>
    <row r="381" spans="1:6" x14ac:dyDescent="0.25">
      <c r="A381" s="5">
        <v>91565</v>
      </c>
      <c r="B381" s="10">
        <v>2900</v>
      </c>
      <c r="C381" s="11" t="s">
        <v>96</v>
      </c>
      <c r="D381" s="5" t="s">
        <v>242</v>
      </c>
      <c r="E381" s="5" t="s">
        <v>189</v>
      </c>
      <c r="F381" s="5" t="s">
        <v>190</v>
      </c>
    </row>
    <row r="382" spans="1:6" x14ac:dyDescent="0.25">
      <c r="A382" s="5">
        <v>91566</v>
      </c>
      <c r="B382" s="10">
        <v>2900</v>
      </c>
      <c r="C382" s="11" t="s">
        <v>96</v>
      </c>
      <c r="D382" s="5" t="s">
        <v>242</v>
      </c>
      <c r="E382" s="5" t="s">
        <v>189</v>
      </c>
      <c r="F382" s="5" t="s">
        <v>190</v>
      </c>
    </row>
    <row r="383" spans="1:6" x14ac:dyDescent="0.25">
      <c r="A383" s="5">
        <v>91571</v>
      </c>
      <c r="B383" s="10">
        <v>2900</v>
      </c>
      <c r="C383" s="11" t="s">
        <v>80</v>
      </c>
      <c r="D383" s="5" t="s">
        <v>249</v>
      </c>
      <c r="E383" s="5" t="s">
        <v>189</v>
      </c>
      <c r="F383" s="5" t="s">
        <v>190</v>
      </c>
    </row>
    <row r="384" spans="1:6" x14ac:dyDescent="0.25">
      <c r="A384" s="5">
        <v>91578</v>
      </c>
      <c r="B384" s="10">
        <v>2900</v>
      </c>
      <c r="C384" s="11" t="s">
        <v>96</v>
      </c>
      <c r="D384" s="5" t="s">
        <v>242</v>
      </c>
      <c r="E384" s="5" t="s">
        <v>189</v>
      </c>
      <c r="F384" s="5" t="s">
        <v>190</v>
      </c>
    </row>
    <row r="385" spans="1:6" x14ac:dyDescent="0.25">
      <c r="A385" s="5">
        <v>91582</v>
      </c>
      <c r="B385" s="10">
        <v>2900</v>
      </c>
      <c r="C385" s="11" t="s">
        <v>96</v>
      </c>
      <c r="D385" s="5" t="s">
        <v>242</v>
      </c>
      <c r="E385" s="5" t="s">
        <v>189</v>
      </c>
      <c r="F385" s="5" t="s">
        <v>190</v>
      </c>
    </row>
    <row r="386" spans="1:6" x14ac:dyDescent="0.25">
      <c r="A386" s="5">
        <v>91586</v>
      </c>
      <c r="B386" s="10">
        <v>2900</v>
      </c>
      <c r="C386" s="11" t="s">
        <v>96</v>
      </c>
      <c r="D386" s="5" t="s">
        <v>242</v>
      </c>
      <c r="E386" s="5" t="s">
        <v>189</v>
      </c>
      <c r="F386" s="5" t="s">
        <v>190</v>
      </c>
    </row>
    <row r="387" spans="1:6" x14ac:dyDescent="0.25">
      <c r="A387" s="5">
        <v>91588</v>
      </c>
      <c r="B387" s="10">
        <v>2900</v>
      </c>
      <c r="C387" s="11" t="s">
        <v>78</v>
      </c>
      <c r="D387" s="5" t="s">
        <v>244</v>
      </c>
      <c r="E387" s="5" t="s">
        <v>189</v>
      </c>
      <c r="F387" s="5" t="s">
        <v>190</v>
      </c>
    </row>
    <row r="388" spans="1:6" x14ac:dyDescent="0.25">
      <c r="A388" s="5">
        <v>91590</v>
      </c>
      <c r="B388" s="10">
        <v>2900</v>
      </c>
      <c r="C388" s="11" t="s">
        <v>78</v>
      </c>
      <c r="D388" s="5" t="s">
        <v>244</v>
      </c>
      <c r="E388" s="5" t="s">
        <v>189</v>
      </c>
      <c r="F388" s="5" t="s">
        <v>190</v>
      </c>
    </row>
    <row r="389" spans="1:6" x14ac:dyDescent="0.25">
      <c r="A389" s="5">
        <v>91591</v>
      </c>
      <c r="B389" s="10">
        <v>2900</v>
      </c>
      <c r="C389" s="11" t="s">
        <v>96</v>
      </c>
      <c r="D389" s="5" t="s">
        <v>242</v>
      </c>
      <c r="E389" s="5" t="s">
        <v>189</v>
      </c>
      <c r="F389" s="5" t="s">
        <v>190</v>
      </c>
    </row>
    <row r="390" spans="1:6" x14ac:dyDescent="0.25">
      <c r="A390" s="5">
        <v>91601</v>
      </c>
      <c r="B390" s="10">
        <v>2900</v>
      </c>
      <c r="C390" s="11" t="s">
        <v>96</v>
      </c>
      <c r="D390" s="5" t="s">
        <v>242</v>
      </c>
      <c r="E390" s="5" t="s">
        <v>189</v>
      </c>
      <c r="F390" s="5" t="s">
        <v>190</v>
      </c>
    </row>
    <row r="391" spans="1:6" x14ac:dyDescent="0.25">
      <c r="A391" s="5">
        <v>91606</v>
      </c>
      <c r="B391" s="10">
        <v>2900</v>
      </c>
      <c r="C391" s="11" t="s">
        <v>74</v>
      </c>
      <c r="D391" s="5" t="s">
        <v>243</v>
      </c>
      <c r="E391" s="5" t="s">
        <v>189</v>
      </c>
      <c r="F391" s="5" t="s">
        <v>190</v>
      </c>
    </row>
    <row r="392" spans="1:6" x14ac:dyDescent="0.25">
      <c r="A392" s="5">
        <v>91608</v>
      </c>
      <c r="B392" s="10">
        <v>2900</v>
      </c>
      <c r="C392" s="11" t="s">
        <v>78</v>
      </c>
      <c r="D392" s="5" t="s">
        <v>244</v>
      </c>
      <c r="E392" s="5" t="s">
        <v>189</v>
      </c>
      <c r="F392" s="5" t="s">
        <v>190</v>
      </c>
    </row>
    <row r="393" spans="1:6" x14ac:dyDescent="0.25">
      <c r="A393" s="5">
        <v>91609</v>
      </c>
      <c r="B393" s="10">
        <v>2900</v>
      </c>
      <c r="C393" s="11" t="s">
        <v>78</v>
      </c>
      <c r="D393" s="5" t="s">
        <v>244</v>
      </c>
      <c r="E393" s="5" t="s">
        <v>189</v>
      </c>
      <c r="F393" s="5" t="s">
        <v>190</v>
      </c>
    </row>
    <row r="394" spans="1:6" x14ac:dyDescent="0.25">
      <c r="A394" s="5">
        <v>91611</v>
      </c>
      <c r="B394" s="10">
        <v>2900</v>
      </c>
      <c r="C394" s="11" t="s">
        <v>118</v>
      </c>
      <c r="D394" s="5" t="s">
        <v>119</v>
      </c>
      <c r="E394" s="5" t="s">
        <v>189</v>
      </c>
      <c r="F394" s="5" t="s">
        <v>190</v>
      </c>
    </row>
    <row r="395" spans="1:6" x14ac:dyDescent="0.25">
      <c r="A395" s="5">
        <v>91615</v>
      </c>
      <c r="B395" s="10">
        <v>2900</v>
      </c>
      <c r="C395" s="11" t="s">
        <v>92</v>
      </c>
      <c r="D395" s="5" t="s">
        <v>93</v>
      </c>
      <c r="E395" s="5" t="s">
        <v>189</v>
      </c>
      <c r="F395" s="5" t="s">
        <v>190</v>
      </c>
    </row>
    <row r="396" spans="1:6" x14ac:dyDescent="0.25">
      <c r="A396" s="5">
        <v>91617</v>
      </c>
      <c r="B396" s="10">
        <v>2900</v>
      </c>
      <c r="C396" s="11" t="s">
        <v>78</v>
      </c>
      <c r="D396" s="5" t="s">
        <v>244</v>
      </c>
      <c r="E396" s="5" t="s">
        <v>189</v>
      </c>
      <c r="F396" s="5" t="s">
        <v>190</v>
      </c>
    </row>
    <row r="397" spans="1:6" x14ac:dyDescent="0.25">
      <c r="A397" s="5">
        <v>91620</v>
      </c>
      <c r="B397" s="10">
        <v>2900</v>
      </c>
      <c r="C397" s="11" t="s">
        <v>74</v>
      </c>
      <c r="D397" s="5" t="s">
        <v>243</v>
      </c>
      <c r="E397" s="5" t="s">
        <v>189</v>
      </c>
      <c r="F397" s="5" t="s">
        <v>190</v>
      </c>
    </row>
    <row r="398" spans="1:6" x14ac:dyDescent="0.25">
      <c r="A398" s="5">
        <v>91625</v>
      </c>
      <c r="B398" s="10">
        <v>2900</v>
      </c>
      <c r="C398" s="11" t="s">
        <v>78</v>
      </c>
      <c r="D398" s="5" t="s">
        <v>244</v>
      </c>
      <c r="E398" s="5" t="s">
        <v>189</v>
      </c>
      <c r="F398" s="5" t="s">
        <v>190</v>
      </c>
    </row>
    <row r="399" spans="1:6" x14ac:dyDescent="0.25">
      <c r="A399" s="5">
        <v>91632</v>
      </c>
      <c r="B399" s="10">
        <v>2900</v>
      </c>
      <c r="C399" s="11" t="s">
        <v>74</v>
      </c>
      <c r="D399" s="5" t="s">
        <v>243</v>
      </c>
      <c r="E399" s="5" t="s">
        <v>189</v>
      </c>
      <c r="F399" s="5" t="s">
        <v>190</v>
      </c>
    </row>
    <row r="400" spans="1:6" x14ac:dyDescent="0.25">
      <c r="A400" s="5">
        <v>91637</v>
      </c>
      <c r="B400" s="10">
        <v>2900</v>
      </c>
      <c r="C400" s="11" t="s">
        <v>74</v>
      </c>
      <c r="D400" s="5" t="s">
        <v>243</v>
      </c>
      <c r="E400" s="5" t="s">
        <v>189</v>
      </c>
      <c r="F400" s="5" t="s">
        <v>190</v>
      </c>
    </row>
    <row r="401" spans="1:6" x14ac:dyDescent="0.25">
      <c r="A401" s="5">
        <v>91638</v>
      </c>
      <c r="B401" s="10">
        <v>2900</v>
      </c>
      <c r="C401" s="11" t="s">
        <v>96</v>
      </c>
      <c r="D401" s="5" t="s">
        <v>242</v>
      </c>
      <c r="E401" s="5" t="s">
        <v>189</v>
      </c>
      <c r="F401" s="5" t="s">
        <v>190</v>
      </c>
    </row>
    <row r="402" spans="1:6" x14ac:dyDescent="0.25">
      <c r="A402" s="5">
        <v>91640</v>
      </c>
      <c r="B402" s="10">
        <v>2900</v>
      </c>
      <c r="C402" s="11" t="s">
        <v>96</v>
      </c>
      <c r="D402" s="5" t="s">
        <v>242</v>
      </c>
      <c r="E402" s="5" t="s">
        <v>189</v>
      </c>
      <c r="F402" s="5" t="s">
        <v>190</v>
      </c>
    </row>
    <row r="403" spans="1:6" x14ac:dyDescent="0.25">
      <c r="A403" s="5">
        <v>91646</v>
      </c>
      <c r="B403" s="10">
        <v>2900</v>
      </c>
      <c r="C403" s="11" t="s">
        <v>78</v>
      </c>
      <c r="D403" s="5" t="s">
        <v>244</v>
      </c>
      <c r="E403" s="5" t="s">
        <v>189</v>
      </c>
      <c r="F403" s="5" t="s">
        <v>190</v>
      </c>
    </row>
    <row r="404" spans="1:6" x14ac:dyDescent="0.25">
      <c r="A404" s="5">
        <v>91652</v>
      </c>
      <c r="B404" s="10">
        <v>2900</v>
      </c>
      <c r="C404" s="11" t="s">
        <v>50</v>
      </c>
      <c r="D404" s="5" t="s">
        <v>51</v>
      </c>
      <c r="E404" s="5" t="s">
        <v>189</v>
      </c>
      <c r="F404" s="5" t="s">
        <v>190</v>
      </c>
    </row>
    <row r="405" spans="1:6" x14ac:dyDescent="0.25">
      <c r="A405" s="5">
        <v>91653</v>
      </c>
      <c r="B405" s="10">
        <v>2900</v>
      </c>
      <c r="C405" s="11" t="s">
        <v>74</v>
      </c>
      <c r="D405" s="5" t="s">
        <v>243</v>
      </c>
      <c r="E405" s="5" t="s">
        <v>189</v>
      </c>
      <c r="F405" s="5" t="s">
        <v>190</v>
      </c>
    </row>
    <row r="406" spans="1:6" x14ac:dyDescent="0.25">
      <c r="A406" s="5">
        <v>91658</v>
      </c>
      <c r="B406" s="10">
        <v>2900</v>
      </c>
      <c r="C406" s="11" t="s">
        <v>68</v>
      </c>
      <c r="D406" s="5" t="s">
        <v>69</v>
      </c>
      <c r="E406" s="5" t="s">
        <v>189</v>
      </c>
      <c r="F406" s="5" t="s">
        <v>190</v>
      </c>
    </row>
    <row r="407" spans="1:6" x14ac:dyDescent="0.25">
      <c r="A407" s="5">
        <v>91659</v>
      </c>
      <c r="B407" s="10">
        <v>2900</v>
      </c>
      <c r="C407" s="11" t="s">
        <v>74</v>
      </c>
      <c r="D407" s="5" t="s">
        <v>243</v>
      </c>
      <c r="E407" s="5" t="s">
        <v>189</v>
      </c>
      <c r="F407" s="5" t="s">
        <v>190</v>
      </c>
    </row>
    <row r="408" spans="1:6" x14ac:dyDescent="0.25">
      <c r="A408" s="5">
        <v>91669</v>
      </c>
      <c r="B408" s="10">
        <v>2900</v>
      </c>
      <c r="C408" s="11" t="s">
        <v>62</v>
      </c>
      <c r="D408" s="5" t="s">
        <v>63</v>
      </c>
      <c r="E408" s="5" t="s">
        <v>189</v>
      </c>
      <c r="F408" s="5" t="s">
        <v>190</v>
      </c>
    </row>
    <row r="409" spans="1:6" x14ac:dyDescent="0.25">
      <c r="A409" s="5">
        <v>91673</v>
      </c>
      <c r="B409" s="10">
        <v>2900</v>
      </c>
      <c r="C409" s="11" t="s">
        <v>74</v>
      </c>
      <c r="D409" s="5" t="s">
        <v>243</v>
      </c>
      <c r="E409" s="5" t="s">
        <v>189</v>
      </c>
      <c r="F409" s="5" t="s">
        <v>190</v>
      </c>
    </row>
    <row r="410" spans="1:6" x14ac:dyDescent="0.25">
      <c r="A410" s="5">
        <v>91675</v>
      </c>
      <c r="B410" s="10">
        <v>2900</v>
      </c>
      <c r="C410" s="11" t="s">
        <v>62</v>
      </c>
      <c r="D410" s="5" t="s">
        <v>63</v>
      </c>
      <c r="E410" s="5" t="s">
        <v>189</v>
      </c>
      <c r="F410" s="5" t="s">
        <v>190</v>
      </c>
    </row>
    <row r="411" spans="1:6" x14ac:dyDescent="0.25">
      <c r="A411" s="5">
        <v>91677</v>
      </c>
      <c r="B411" s="10">
        <v>2900</v>
      </c>
      <c r="C411" s="11" t="s">
        <v>74</v>
      </c>
      <c r="D411" s="5" t="s">
        <v>243</v>
      </c>
      <c r="E411" s="5" t="s">
        <v>189</v>
      </c>
      <c r="F411" s="5" t="s">
        <v>190</v>
      </c>
    </row>
    <row r="412" spans="1:6" x14ac:dyDescent="0.25">
      <c r="A412" s="5">
        <v>91680</v>
      </c>
      <c r="B412" s="10">
        <v>2900</v>
      </c>
      <c r="C412" s="11" t="s">
        <v>78</v>
      </c>
      <c r="D412" s="5" t="s">
        <v>244</v>
      </c>
      <c r="E412" s="5" t="s">
        <v>189</v>
      </c>
      <c r="F412" s="5" t="s">
        <v>190</v>
      </c>
    </row>
    <row r="413" spans="1:6" x14ac:dyDescent="0.25">
      <c r="A413" s="5">
        <v>91689</v>
      </c>
      <c r="B413" s="10">
        <v>2900</v>
      </c>
      <c r="C413" s="11" t="s">
        <v>96</v>
      </c>
      <c r="D413" s="5" t="s">
        <v>242</v>
      </c>
      <c r="E413" s="5" t="s">
        <v>189</v>
      </c>
      <c r="F413" s="5" t="s">
        <v>190</v>
      </c>
    </row>
    <row r="414" spans="1:6" x14ac:dyDescent="0.25">
      <c r="A414" s="5">
        <v>91699</v>
      </c>
      <c r="B414" s="10">
        <v>2900</v>
      </c>
      <c r="C414" s="11" t="s">
        <v>48</v>
      </c>
      <c r="D414" s="5" t="s">
        <v>49</v>
      </c>
      <c r="E414" s="5" t="s">
        <v>189</v>
      </c>
      <c r="F414" s="5" t="s">
        <v>190</v>
      </c>
    </row>
    <row r="415" spans="1:6" x14ac:dyDescent="0.25">
      <c r="A415" s="5">
        <v>91705</v>
      </c>
      <c r="B415" s="10">
        <v>2900</v>
      </c>
      <c r="C415" s="11" t="s">
        <v>74</v>
      </c>
      <c r="D415" s="5" t="s">
        <v>243</v>
      </c>
      <c r="E415" s="5" t="s">
        <v>189</v>
      </c>
      <c r="F415" s="5" t="s">
        <v>190</v>
      </c>
    </row>
    <row r="416" spans="1:6" x14ac:dyDescent="0.25">
      <c r="A416" s="5">
        <v>91706</v>
      </c>
      <c r="B416" s="10">
        <v>2900</v>
      </c>
      <c r="C416" s="11" t="s">
        <v>74</v>
      </c>
      <c r="D416" s="5" t="s">
        <v>243</v>
      </c>
      <c r="E416" s="5" t="s">
        <v>189</v>
      </c>
      <c r="F416" s="5" t="s">
        <v>190</v>
      </c>
    </row>
    <row r="417" spans="1:6" x14ac:dyDescent="0.25">
      <c r="A417" s="5">
        <v>91708</v>
      </c>
      <c r="B417" s="10">
        <v>2900</v>
      </c>
      <c r="C417" s="11" t="s">
        <v>78</v>
      </c>
      <c r="D417" s="5" t="s">
        <v>244</v>
      </c>
      <c r="E417" s="5" t="s">
        <v>189</v>
      </c>
      <c r="F417" s="5" t="s">
        <v>190</v>
      </c>
    </row>
    <row r="418" spans="1:6" x14ac:dyDescent="0.25">
      <c r="A418" s="5">
        <v>91716</v>
      </c>
      <c r="B418" s="10">
        <v>2900</v>
      </c>
      <c r="C418" s="11" t="s">
        <v>74</v>
      </c>
      <c r="D418" s="5" t="s">
        <v>243</v>
      </c>
      <c r="E418" s="5" t="s">
        <v>189</v>
      </c>
      <c r="F418" s="5" t="s">
        <v>190</v>
      </c>
    </row>
    <row r="419" spans="1:6" x14ac:dyDescent="0.25">
      <c r="A419" s="5">
        <v>91737</v>
      </c>
      <c r="B419" s="10">
        <v>2900</v>
      </c>
      <c r="C419" s="11" t="s">
        <v>116</v>
      </c>
      <c r="D419" s="5" t="s">
        <v>117</v>
      </c>
      <c r="E419" s="5" t="s">
        <v>189</v>
      </c>
      <c r="F419" s="5" t="s">
        <v>190</v>
      </c>
    </row>
    <row r="420" spans="1:6" x14ac:dyDescent="0.25">
      <c r="A420" s="5">
        <v>91744</v>
      </c>
      <c r="B420" s="10">
        <v>2900</v>
      </c>
      <c r="C420" s="11" t="s">
        <v>102</v>
      </c>
      <c r="D420" s="5" t="s">
        <v>103</v>
      </c>
      <c r="E420" s="5" t="s">
        <v>189</v>
      </c>
      <c r="F420" s="5" t="s">
        <v>190</v>
      </c>
    </row>
    <row r="421" spans="1:6" x14ac:dyDescent="0.25">
      <c r="A421" s="5">
        <v>91745</v>
      </c>
      <c r="B421" s="10">
        <v>2900</v>
      </c>
      <c r="C421" s="11" t="s">
        <v>74</v>
      </c>
      <c r="D421" s="5" t="s">
        <v>243</v>
      </c>
      <c r="E421" s="5" t="s">
        <v>189</v>
      </c>
      <c r="F421" s="5" t="s">
        <v>190</v>
      </c>
    </row>
    <row r="422" spans="1:6" x14ac:dyDescent="0.25">
      <c r="A422" s="5">
        <v>91749</v>
      </c>
      <c r="B422" s="10">
        <v>2900</v>
      </c>
      <c r="C422" s="11" t="s">
        <v>74</v>
      </c>
      <c r="D422" s="5" t="s">
        <v>243</v>
      </c>
      <c r="E422" s="5" t="s">
        <v>189</v>
      </c>
      <c r="F422" s="5" t="s">
        <v>190</v>
      </c>
    </row>
    <row r="423" spans="1:6" x14ac:dyDescent="0.25">
      <c r="A423" s="5">
        <v>91751</v>
      </c>
      <c r="B423" s="10">
        <v>2900</v>
      </c>
      <c r="C423" s="11" t="s">
        <v>96</v>
      </c>
      <c r="D423" s="5" t="s">
        <v>242</v>
      </c>
      <c r="E423" s="5" t="s">
        <v>189</v>
      </c>
      <c r="F423" s="5" t="s">
        <v>190</v>
      </c>
    </row>
    <row r="424" spans="1:6" x14ac:dyDescent="0.25">
      <c r="A424" s="5">
        <v>91752</v>
      </c>
      <c r="B424" s="10">
        <v>2900</v>
      </c>
      <c r="C424" s="11" t="s">
        <v>96</v>
      </c>
      <c r="D424" s="5" t="s">
        <v>242</v>
      </c>
      <c r="E424" s="5" t="s">
        <v>189</v>
      </c>
      <c r="F424" s="5" t="s">
        <v>190</v>
      </c>
    </row>
    <row r="425" spans="1:6" x14ac:dyDescent="0.25">
      <c r="A425" s="5">
        <v>91753</v>
      </c>
      <c r="B425" s="10">
        <v>2900</v>
      </c>
      <c r="C425" s="11" t="s">
        <v>74</v>
      </c>
      <c r="D425" s="5" t="s">
        <v>243</v>
      </c>
      <c r="E425" s="5" t="s">
        <v>189</v>
      </c>
      <c r="F425" s="5" t="s">
        <v>190</v>
      </c>
    </row>
    <row r="426" spans="1:6" x14ac:dyDescent="0.25">
      <c r="A426" s="5">
        <v>91764</v>
      </c>
      <c r="B426" s="10">
        <v>2900</v>
      </c>
      <c r="C426" s="11" t="s">
        <v>74</v>
      </c>
      <c r="D426" s="5" t="s">
        <v>243</v>
      </c>
      <c r="E426" s="5" t="s">
        <v>189</v>
      </c>
      <c r="F426" s="5" t="s">
        <v>190</v>
      </c>
    </row>
    <row r="427" spans="1:6" x14ac:dyDescent="0.25">
      <c r="A427" s="5">
        <v>91766</v>
      </c>
      <c r="B427" s="10">
        <v>2900</v>
      </c>
      <c r="C427" s="11" t="s">
        <v>96</v>
      </c>
      <c r="D427" s="5" t="s">
        <v>242</v>
      </c>
      <c r="E427" s="5" t="s">
        <v>189</v>
      </c>
      <c r="F427" s="5" t="s">
        <v>190</v>
      </c>
    </row>
    <row r="428" spans="1:6" x14ac:dyDescent="0.25">
      <c r="A428" s="5">
        <v>91771</v>
      </c>
      <c r="B428" s="10">
        <v>2900</v>
      </c>
      <c r="C428" s="11" t="s">
        <v>102</v>
      </c>
      <c r="D428" s="5" t="s">
        <v>103</v>
      </c>
      <c r="E428" s="5" t="s">
        <v>189</v>
      </c>
      <c r="F428" s="5" t="s">
        <v>190</v>
      </c>
    </row>
    <row r="429" spans="1:6" x14ac:dyDescent="0.25">
      <c r="A429" s="5">
        <v>91772</v>
      </c>
      <c r="B429" s="10">
        <v>2900</v>
      </c>
      <c r="C429" s="11" t="s">
        <v>96</v>
      </c>
      <c r="D429" s="5" t="s">
        <v>242</v>
      </c>
      <c r="E429" s="5" t="s">
        <v>189</v>
      </c>
      <c r="F429" s="5" t="s">
        <v>190</v>
      </c>
    </row>
    <row r="430" spans="1:6" x14ac:dyDescent="0.25">
      <c r="A430" s="5">
        <v>91773</v>
      </c>
      <c r="B430" s="10">
        <v>2900</v>
      </c>
      <c r="C430" s="11" t="s">
        <v>96</v>
      </c>
      <c r="D430" s="5" t="s">
        <v>242</v>
      </c>
      <c r="E430" s="5" t="s">
        <v>189</v>
      </c>
      <c r="F430" s="5" t="s">
        <v>190</v>
      </c>
    </row>
    <row r="431" spans="1:6" x14ac:dyDescent="0.25">
      <c r="A431" s="5">
        <v>91779</v>
      </c>
      <c r="B431" s="10">
        <v>2900</v>
      </c>
      <c r="C431" s="11" t="s">
        <v>74</v>
      </c>
      <c r="D431" s="5" t="s">
        <v>243</v>
      </c>
      <c r="E431" s="5" t="s">
        <v>189</v>
      </c>
      <c r="F431" s="5" t="s">
        <v>190</v>
      </c>
    </row>
    <row r="432" spans="1:6" x14ac:dyDescent="0.25">
      <c r="A432" s="5">
        <v>91781</v>
      </c>
      <c r="B432" s="10">
        <v>2900</v>
      </c>
      <c r="C432" s="11" t="s">
        <v>74</v>
      </c>
      <c r="D432" s="5" t="s">
        <v>243</v>
      </c>
      <c r="E432" s="5" t="s">
        <v>189</v>
      </c>
      <c r="F432" s="5" t="s">
        <v>190</v>
      </c>
    </row>
    <row r="433" spans="1:6" x14ac:dyDescent="0.25">
      <c r="A433" s="5">
        <v>91790</v>
      </c>
      <c r="B433" s="10">
        <v>2900</v>
      </c>
      <c r="C433" s="11" t="s">
        <v>48</v>
      </c>
      <c r="D433" s="5" t="s">
        <v>49</v>
      </c>
      <c r="E433" s="5" t="s">
        <v>189</v>
      </c>
      <c r="F433" s="5" t="s">
        <v>190</v>
      </c>
    </row>
    <row r="434" spans="1:6" x14ac:dyDescent="0.25">
      <c r="A434" s="5">
        <v>91793</v>
      </c>
      <c r="B434" s="10">
        <v>2900</v>
      </c>
      <c r="C434" s="11" t="s">
        <v>80</v>
      </c>
      <c r="D434" s="5" t="s">
        <v>249</v>
      </c>
      <c r="E434" s="5" t="s">
        <v>189</v>
      </c>
      <c r="F434" s="5" t="s">
        <v>190</v>
      </c>
    </row>
    <row r="435" spans="1:6" x14ac:dyDescent="0.25">
      <c r="A435" s="5">
        <v>91798</v>
      </c>
      <c r="B435" s="10">
        <v>2900</v>
      </c>
      <c r="C435" s="11" t="s">
        <v>96</v>
      </c>
      <c r="D435" s="5" t="s">
        <v>242</v>
      </c>
      <c r="E435" s="5" t="s">
        <v>189</v>
      </c>
      <c r="F435" s="5" t="s">
        <v>190</v>
      </c>
    </row>
    <row r="436" spans="1:6" x14ac:dyDescent="0.25">
      <c r="A436" s="5">
        <v>91801</v>
      </c>
      <c r="B436" s="10">
        <v>2900</v>
      </c>
      <c r="C436" s="11" t="s">
        <v>74</v>
      </c>
      <c r="D436" s="5" t="s">
        <v>243</v>
      </c>
      <c r="E436" s="5" t="s">
        <v>189</v>
      </c>
      <c r="F436" s="5" t="s">
        <v>190</v>
      </c>
    </row>
    <row r="437" spans="1:6" x14ac:dyDescent="0.25">
      <c r="A437" s="5">
        <v>91802</v>
      </c>
      <c r="B437" s="10">
        <v>2900</v>
      </c>
      <c r="C437" s="11" t="s">
        <v>74</v>
      </c>
      <c r="D437" s="5" t="s">
        <v>243</v>
      </c>
      <c r="E437" s="5" t="s">
        <v>189</v>
      </c>
      <c r="F437" s="5" t="s">
        <v>190</v>
      </c>
    </row>
    <row r="438" spans="1:6" x14ac:dyDescent="0.25">
      <c r="A438" s="5">
        <v>91807</v>
      </c>
      <c r="B438" s="10">
        <v>2900</v>
      </c>
      <c r="C438" s="11" t="s">
        <v>74</v>
      </c>
      <c r="D438" s="5" t="s">
        <v>243</v>
      </c>
      <c r="E438" s="5" t="s">
        <v>189</v>
      </c>
      <c r="F438" s="5" t="s">
        <v>190</v>
      </c>
    </row>
    <row r="439" spans="1:6" x14ac:dyDescent="0.25">
      <c r="A439" s="5">
        <v>91821</v>
      </c>
      <c r="B439" s="10">
        <v>2900</v>
      </c>
      <c r="C439" s="11" t="s">
        <v>96</v>
      </c>
      <c r="D439" s="5" t="s">
        <v>242</v>
      </c>
      <c r="E439" s="5" t="s">
        <v>189</v>
      </c>
      <c r="F439" s="5" t="s">
        <v>190</v>
      </c>
    </row>
    <row r="440" spans="1:6" x14ac:dyDescent="0.25">
      <c r="A440" s="5">
        <v>91822</v>
      </c>
      <c r="B440" s="10">
        <v>2900</v>
      </c>
      <c r="C440" s="11" t="s">
        <v>74</v>
      </c>
      <c r="D440" s="5" t="s">
        <v>243</v>
      </c>
      <c r="E440" s="5" t="s">
        <v>189</v>
      </c>
      <c r="F440" s="5" t="s">
        <v>190</v>
      </c>
    </row>
    <row r="441" spans="1:6" x14ac:dyDescent="0.25">
      <c r="A441" s="5">
        <v>91823</v>
      </c>
      <c r="B441" s="10">
        <v>2900</v>
      </c>
      <c r="C441" s="11" t="s">
        <v>96</v>
      </c>
      <c r="D441" s="5" t="s">
        <v>242</v>
      </c>
      <c r="E441" s="5" t="s">
        <v>189</v>
      </c>
      <c r="F441" s="5" t="s">
        <v>190</v>
      </c>
    </row>
    <row r="442" spans="1:6" x14ac:dyDescent="0.25">
      <c r="A442" s="5">
        <v>91824</v>
      </c>
      <c r="B442" s="10">
        <v>2900</v>
      </c>
      <c r="C442" s="11" t="s">
        <v>74</v>
      </c>
      <c r="D442" s="5" t="s">
        <v>243</v>
      </c>
      <c r="E442" s="5" t="s">
        <v>189</v>
      </c>
      <c r="F442" s="5" t="s">
        <v>190</v>
      </c>
    </row>
    <row r="443" spans="1:6" x14ac:dyDescent="0.25">
      <c r="A443" s="5">
        <v>91837</v>
      </c>
      <c r="B443" s="10">
        <v>2900</v>
      </c>
      <c r="C443" s="11" t="s">
        <v>100</v>
      </c>
      <c r="D443" s="5" t="s">
        <v>101</v>
      </c>
      <c r="E443" s="5" t="s">
        <v>189</v>
      </c>
      <c r="F443" s="5" t="s">
        <v>190</v>
      </c>
    </row>
    <row r="444" spans="1:6" x14ac:dyDescent="0.25">
      <c r="A444" s="5">
        <v>91839</v>
      </c>
      <c r="B444" s="10">
        <v>2900</v>
      </c>
      <c r="C444" s="11" t="s">
        <v>96</v>
      </c>
      <c r="D444" s="5" t="s">
        <v>242</v>
      </c>
      <c r="E444" s="5" t="s">
        <v>189</v>
      </c>
      <c r="F444" s="5" t="s">
        <v>190</v>
      </c>
    </row>
    <row r="445" spans="1:6" x14ac:dyDescent="0.25">
      <c r="A445" s="5">
        <v>91850</v>
      </c>
      <c r="B445" s="10">
        <v>2900</v>
      </c>
      <c r="C445" s="11" t="s">
        <v>96</v>
      </c>
      <c r="D445" s="5" t="s">
        <v>242</v>
      </c>
      <c r="E445" s="5" t="s">
        <v>189</v>
      </c>
      <c r="F445" s="5" t="s">
        <v>190</v>
      </c>
    </row>
    <row r="446" spans="1:6" x14ac:dyDescent="0.25">
      <c r="A446" s="5">
        <v>91853</v>
      </c>
      <c r="B446" s="10">
        <v>2900</v>
      </c>
      <c r="C446" s="11" t="s">
        <v>64</v>
      </c>
      <c r="D446" s="5" t="s">
        <v>251</v>
      </c>
      <c r="E446" s="5" t="s">
        <v>189</v>
      </c>
      <c r="F446" s="5" t="s">
        <v>190</v>
      </c>
    </row>
    <row r="447" spans="1:6" x14ac:dyDescent="0.25">
      <c r="A447" s="5">
        <v>91868</v>
      </c>
      <c r="B447" s="10">
        <v>2900</v>
      </c>
      <c r="C447" s="11" t="s">
        <v>70</v>
      </c>
      <c r="D447" s="5" t="s">
        <v>257</v>
      </c>
      <c r="E447" s="5" t="s">
        <v>189</v>
      </c>
      <c r="F447" s="5" t="s">
        <v>190</v>
      </c>
    </row>
    <row r="448" spans="1:6" x14ac:dyDescent="0.25">
      <c r="A448" s="5">
        <v>91876</v>
      </c>
      <c r="B448" s="10">
        <v>2900</v>
      </c>
      <c r="C448" s="11" t="s">
        <v>74</v>
      </c>
      <c r="D448" s="5" t="s">
        <v>243</v>
      </c>
      <c r="E448" s="5" t="s">
        <v>189</v>
      </c>
      <c r="F448" s="5" t="s">
        <v>190</v>
      </c>
    </row>
    <row r="449" spans="1:6" x14ac:dyDescent="0.25">
      <c r="A449" s="5">
        <v>91883</v>
      </c>
      <c r="B449" s="10">
        <v>2900</v>
      </c>
      <c r="C449" s="11" t="s">
        <v>74</v>
      </c>
      <c r="D449" s="5" t="s">
        <v>243</v>
      </c>
      <c r="E449" s="5" t="s">
        <v>189</v>
      </c>
      <c r="F449" s="5" t="s">
        <v>190</v>
      </c>
    </row>
    <row r="450" spans="1:6" x14ac:dyDescent="0.25">
      <c r="A450" s="5">
        <v>91885</v>
      </c>
      <c r="B450" s="10">
        <v>2900</v>
      </c>
      <c r="C450" s="11" t="s">
        <v>74</v>
      </c>
      <c r="D450" s="5" t="s">
        <v>243</v>
      </c>
      <c r="E450" s="5" t="s">
        <v>189</v>
      </c>
      <c r="F450" s="5" t="s">
        <v>190</v>
      </c>
    </row>
    <row r="451" spans="1:6" x14ac:dyDescent="0.25">
      <c r="A451" s="5">
        <v>91889</v>
      </c>
      <c r="B451" s="10">
        <v>2900</v>
      </c>
      <c r="C451" s="11" t="s">
        <v>60</v>
      </c>
      <c r="D451" s="5" t="s">
        <v>245</v>
      </c>
      <c r="E451" s="5" t="s">
        <v>189</v>
      </c>
      <c r="F451" s="5" t="s">
        <v>190</v>
      </c>
    </row>
    <row r="452" spans="1:6" x14ac:dyDescent="0.25">
      <c r="A452" s="5">
        <v>91891</v>
      </c>
      <c r="B452" s="10">
        <v>2900</v>
      </c>
      <c r="C452" s="11" t="s">
        <v>82</v>
      </c>
      <c r="D452" s="5" t="s">
        <v>256</v>
      </c>
      <c r="E452" s="5" t="s">
        <v>189</v>
      </c>
      <c r="F452" s="5" t="s">
        <v>190</v>
      </c>
    </row>
    <row r="453" spans="1:6" x14ac:dyDescent="0.25">
      <c r="A453" s="5">
        <v>91904</v>
      </c>
      <c r="B453" s="10">
        <v>2900</v>
      </c>
      <c r="C453" s="11" t="s">
        <v>78</v>
      </c>
      <c r="D453" s="5" t="s">
        <v>244</v>
      </c>
      <c r="E453" s="5" t="s">
        <v>189</v>
      </c>
      <c r="F453" s="5" t="s">
        <v>190</v>
      </c>
    </row>
    <row r="454" spans="1:6" x14ac:dyDescent="0.25">
      <c r="A454" s="5">
        <v>91913</v>
      </c>
      <c r="B454" s="10">
        <v>2900</v>
      </c>
      <c r="C454" s="11" t="s">
        <v>78</v>
      </c>
      <c r="D454" s="5" t="s">
        <v>244</v>
      </c>
      <c r="E454" s="5" t="s">
        <v>189</v>
      </c>
      <c r="F454" s="5" t="s">
        <v>190</v>
      </c>
    </row>
    <row r="455" spans="1:6" x14ac:dyDescent="0.25">
      <c r="A455" s="5">
        <v>91923</v>
      </c>
      <c r="B455" s="10">
        <v>2900</v>
      </c>
      <c r="C455" s="11" t="s">
        <v>78</v>
      </c>
      <c r="D455" s="5" t="s">
        <v>244</v>
      </c>
      <c r="E455" s="5" t="s">
        <v>189</v>
      </c>
      <c r="F455" s="5" t="s">
        <v>190</v>
      </c>
    </row>
    <row r="456" spans="1:6" x14ac:dyDescent="0.25">
      <c r="A456" s="5">
        <v>91927</v>
      </c>
      <c r="B456" s="10">
        <v>2900</v>
      </c>
      <c r="C456" s="11" t="s">
        <v>96</v>
      </c>
      <c r="D456" s="5" t="s">
        <v>242</v>
      </c>
      <c r="E456" s="5" t="s">
        <v>189</v>
      </c>
      <c r="F456" s="5" t="s">
        <v>190</v>
      </c>
    </row>
    <row r="457" spans="1:6" x14ac:dyDescent="0.25">
      <c r="A457" s="5">
        <v>91935</v>
      </c>
      <c r="B457" s="10">
        <v>2900</v>
      </c>
      <c r="C457" s="11" t="s">
        <v>96</v>
      </c>
      <c r="D457" s="5" t="s">
        <v>242</v>
      </c>
      <c r="E457" s="5" t="s">
        <v>189</v>
      </c>
      <c r="F457" s="5" t="s">
        <v>190</v>
      </c>
    </row>
    <row r="458" spans="1:6" x14ac:dyDescent="0.25">
      <c r="A458" s="5">
        <v>91938</v>
      </c>
      <c r="B458" s="10">
        <v>2900</v>
      </c>
      <c r="C458" s="11" t="s">
        <v>96</v>
      </c>
      <c r="D458" s="5" t="s">
        <v>242</v>
      </c>
      <c r="E458" s="5" t="s">
        <v>189</v>
      </c>
      <c r="F458" s="5" t="s">
        <v>190</v>
      </c>
    </row>
    <row r="459" spans="1:6" x14ac:dyDescent="0.25">
      <c r="A459" s="5">
        <v>91942</v>
      </c>
      <c r="B459" s="10">
        <v>2900</v>
      </c>
      <c r="C459" s="11" t="s">
        <v>74</v>
      </c>
      <c r="D459" s="5" t="s">
        <v>243</v>
      </c>
      <c r="E459" s="5" t="s">
        <v>189</v>
      </c>
      <c r="F459" s="5" t="s">
        <v>190</v>
      </c>
    </row>
    <row r="460" spans="1:6" x14ac:dyDescent="0.25">
      <c r="A460" s="5">
        <v>91945</v>
      </c>
      <c r="B460" s="10">
        <v>2900</v>
      </c>
      <c r="C460" s="11" t="s">
        <v>96</v>
      </c>
      <c r="D460" s="5" t="s">
        <v>242</v>
      </c>
      <c r="E460" s="5" t="s">
        <v>189</v>
      </c>
      <c r="F460" s="5" t="s">
        <v>190</v>
      </c>
    </row>
    <row r="461" spans="1:6" x14ac:dyDescent="0.25">
      <c r="A461" s="5">
        <v>91958</v>
      </c>
      <c r="B461" s="10">
        <v>2900</v>
      </c>
      <c r="C461" s="11" t="s">
        <v>78</v>
      </c>
      <c r="D461" s="5" t="s">
        <v>244</v>
      </c>
      <c r="E461" s="5" t="s">
        <v>189</v>
      </c>
      <c r="F461" s="5" t="s">
        <v>190</v>
      </c>
    </row>
    <row r="462" spans="1:6" x14ac:dyDescent="0.25">
      <c r="A462" s="5">
        <v>91959</v>
      </c>
      <c r="B462" s="10">
        <v>2900</v>
      </c>
      <c r="C462" s="11" t="s">
        <v>102</v>
      </c>
      <c r="D462" s="5" t="s">
        <v>103</v>
      </c>
      <c r="E462" s="5" t="s">
        <v>189</v>
      </c>
      <c r="F462" s="5" t="s">
        <v>190</v>
      </c>
    </row>
    <row r="463" spans="1:6" x14ac:dyDescent="0.25">
      <c r="A463" s="5">
        <v>91960</v>
      </c>
      <c r="B463" s="10">
        <v>2900</v>
      </c>
      <c r="C463" s="11" t="s">
        <v>64</v>
      </c>
      <c r="D463" s="5" t="s">
        <v>251</v>
      </c>
      <c r="E463" s="5" t="s">
        <v>189</v>
      </c>
      <c r="F463" s="5" t="s">
        <v>190</v>
      </c>
    </row>
    <row r="464" spans="1:6" x14ac:dyDescent="0.25">
      <c r="A464" s="5">
        <v>91965</v>
      </c>
      <c r="B464" s="10">
        <v>2900</v>
      </c>
      <c r="C464" s="11" t="s">
        <v>74</v>
      </c>
      <c r="D464" s="5" t="s">
        <v>243</v>
      </c>
      <c r="E464" s="5" t="s">
        <v>189</v>
      </c>
      <c r="F464" s="5" t="s">
        <v>190</v>
      </c>
    </row>
    <row r="465" spans="1:6" x14ac:dyDescent="0.25">
      <c r="A465" s="5">
        <v>91975</v>
      </c>
      <c r="B465" s="10">
        <v>2900</v>
      </c>
      <c r="C465" s="11" t="s">
        <v>68</v>
      </c>
      <c r="D465" s="5" t="s">
        <v>69</v>
      </c>
      <c r="E465" s="5" t="s">
        <v>189</v>
      </c>
      <c r="F465" s="5" t="s">
        <v>190</v>
      </c>
    </row>
    <row r="466" spans="1:6" x14ac:dyDescent="0.25">
      <c r="A466" s="5">
        <v>91976</v>
      </c>
      <c r="B466" s="10">
        <v>2900</v>
      </c>
      <c r="C466" s="11" t="s">
        <v>68</v>
      </c>
      <c r="D466" s="5" t="s">
        <v>69</v>
      </c>
      <c r="E466" s="5" t="s">
        <v>189</v>
      </c>
      <c r="F466" s="5" t="s">
        <v>190</v>
      </c>
    </row>
    <row r="467" spans="1:6" x14ac:dyDescent="0.25">
      <c r="A467" s="5">
        <v>91977</v>
      </c>
      <c r="B467" s="10">
        <v>2900</v>
      </c>
      <c r="C467" s="11" t="s">
        <v>96</v>
      </c>
      <c r="D467" s="5" t="s">
        <v>242</v>
      </c>
      <c r="E467" s="5" t="s">
        <v>189</v>
      </c>
      <c r="F467" s="5" t="s">
        <v>190</v>
      </c>
    </row>
    <row r="468" spans="1:6" x14ac:dyDescent="0.25">
      <c r="A468" s="5">
        <v>91980</v>
      </c>
      <c r="B468" s="10">
        <v>2900</v>
      </c>
      <c r="C468" s="11" t="s">
        <v>110</v>
      </c>
      <c r="D468" s="5" t="s">
        <v>111</v>
      </c>
      <c r="E468" s="5" t="s">
        <v>189</v>
      </c>
      <c r="F468" s="5" t="s">
        <v>190</v>
      </c>
    </row>
    <row r="469" spans="1:6" x14ac:dyDescent="0.25">
      <c r="A469" s="5">
        <v>91991</v>
      </c>
      <c r="B469" s="10">
        <v>2900</v>
      </c>
      <c r="C469" s="11" t="s">
        <v>96</v>
      </c>
      <c r="D469" s="5" t="s">
        <v>242</v>
      </c>
      <c r="E469" s="5" t="s">
        <v>189</v>
      </c>
      <c r="F469" s="5" t="s">
        <v>190</v>
      </c>
    </row>
    <row r="470" spans="1:6" x14ac:dyDescent="0.25">
      <c r="A470" s="5">
        <v>92002</v>
      </c>
      <c r="B470" s="10">
        <v>2900</v>
      </c>
      <c r="C470" s="11" t="s">
        <v>138</v>
      </c>
      <c r="D470" s="5" t="s">
        <v>139</v>
      </c>
      <c r="E470" s="5" t="s">
        <v>189</v>
      </c>
      <c r="F470" s="5" t="s">
        <v>190</v>
      </c>
    </row>
    <row r="471" spans="1:6" x14ac:dyDescent="0.25">
      <c r="A471" s="5">
        <v>92004</v>
      </c>
      <c r="B471" s="10">
        <v>2900</v>
      </c>
      <c r="C471" s="11" t="s">
        <v>48</v>
      </c>
      <c r="D471" s="5" t="s">
        <v>49</v>
      </c>
      <c r="E471" s="5" t="s">
        <v>189</v>
      </c>
      <c r="F471" s="5" t="s">
        <v>190</v>
      </c>
    </row>
    <row r="472" spans="1:6" x14ac:dyDescent="0.25">
      <c r="A472" s="5">
        <v>92006</v>
      </c>
      <c r="B472" s="10">
        <v>2900</v>
      </c>
      <c r="C472" s="11" t="s">
        <v>78</v>
      </c>
      <c r="D472" s="5" t="s">
        <v>244</v>
      </c>
      <c r="E472" s="5" t="s">
        <v>189</v>
      </c>
      <c r="F472" s="5" t="s">
        <v>190</v>
      </c>
    </row>
    <row r="473" spans="1:6" x14ac:dyDescent="0.25">
      <c r="A473" s="5">
        <v>92007</v>
      </c>
      <c r="B473" s="10">
        <v>2900</v>
      </c>
      <c r="C473" s="11" t="s">
        <v>82</v>
      </c>
      <c r="D473" s="5" t="s">
        <v>256</v>
      </c>
      <c r="E473" s="5" t="s">
        <v>189</v>
      </c>
      <c r="F473" s="5" t="s">
        <v>190</v>
      </c>
    </row>
    <row r="474" spans="1:6" x14ac:dyDescent="0.25">
      <c r="A474" s="5">
        <v>92009</v>
      </c>
      <c r="B474" s="10">
        <v>2900</v>
      </c>
      <c r="C474" s="11" t="s">
        <v>82</v>
      </c>
      <c r="D474" s="5" t="s">
        <v>256</v>
      </c>
      <c r="E474" s="5" t="s">
        <v>189</v>
      </c>
      <c r="F474" s="5" t="s">
        <v>190</v>
      </c>
    </row>
    <row r="475" spans="1:6" x14ac:dyDescent="0.25">
      <c r="A475" s="5">
        <v>92017</v>
      </c>
      <c r="B475" s="10">
        <v>2900</v>
      </c>
      <c r="C475" s="11" t="s">
        <v>96</v>
      </c>
      <c r="D475" s="5" t="s">
        <v>242</v>
      </c>
      <c r="E475" s="5" t="s">
        <v>189</v>
      </c>
      <c r="F475" s="5" t="s">
        <v>190</v>
      </c>
    </row>
    <row r="476" spans="1:6" x14ac:dyDescent="0.25">
      <c r="A476" s="5">
        <v>92024</v>
      </c>
      <c r="B476" s="10">
        <v>2900</v>
      </c>
      <c r="C476" s="11" t="s">
        <v>96</v>
      </c>
      <c r="D476" s="5" t="s">
        <v>242</v>
      </c>
      <c r="E476" s="5" t="s">
        <v>189</v>
      </c>
      <c r="F476" s="5" t="s">
        <v>190</v>
      </c>
    </row>
    <row r="477" spans="1:6" x14ac:dyDescent="0.25">
      <c r="A477" s="5">
        <v>92038</v>
      </c>
      <c r="B477" s="10">
        <v>2900</v>
      </c>
      <c r="C477" s="11" t="s">
        <v>48</v>
      </c>
      <c r="D477" s="5" t="s">
        <v>49</v>
      </c>
      <c r="E477" s="5" t="s">
        <v>189</v>
      </c>
      <c r="F477" s="5" t="s">
        <v>190</v>
      </c>
    </row>
    <row r="478" spans="1:6" x14ac:dyDescent="0.25">
      <c r="A478" s="5">
        <v>92039</v>
      </c>
      <c r="B478" s="10">
        <v>2900</v>
      </c>
      <c r="C478" s="11" t="s">
        <v>110</v>
      </c>
      <c r="D478" s="5" t="s">
        <v>111</v>
      </c>
      <c r="E478" s="5" t="s">
        <v>189</v>
      </c>
      <c r="F478" s="5" t="s">
        <v>190</v>
      </c>
    </row>
    <row r="479" spans="1:6" x14ac:dyDescent="0.25">
      <c r="A479" s="5">
        <v>92046</v>
      </c>
      <c r="B479" s="10">
        <v>2900</v>
      </c>
      <c r="C479" s="11" t="s">
        <v>96</v>
      </c>
      <c r="D479" s="5" t="s">
        <v>242</v>
      </c>
      <c r="E479" s="5" t="s">
        <v>189</v>
      </c>
      <c r="F479" s="5" t="s">
        <v>190</v>
      </c>
    </row>
    <row r="480" spans="1:6" x14ac:dyDescent="0.25">
      <c r="A480" s="5">
        <v>92053</v>
      </c>
      <c r="B480" s="10">
        <v>2900</v>
      </c>
      <c r="C480" s="11" t="s">
        <v>74</v>
      </c>
      <c r="D480" s="5" t="s">
        <v>243</v>
      </c>
      <c r="E480" s="5" t="s">
        <v>189</v>
      </c>
      <c r="F480" s="5" t="s">
        <v>190</v>
      </c>
    </row>
    <row r="481" spans="1:6" x14ac:dyDescent="0.25">
      <c r="A481" s="5">
        <v>92064</v>
      </c>
      <c r="B481" s="10">
        <v>2900</v>
      </c>
      <c r="C481" s="11" t="s">
        <v>74</v>
      </c>
      <c r="D481" s="5" t="s">
        <v>243</v>
      </c>
      <c r="E481" s="5" t="s">
        <v>189</v>
      </c>
      <c r="F481" s="5" t="s">
        <v>190</v>
      </c>
    </row>
    <row r="482" spans="1:6" x14ac:dyDescent="0.25">
      <c r="A482" s="5">
        <v>92066</v>
      </c>
      <c r="B482" s="10">
        <v>2900</v>
      </c>
      <c r="C482" s="11" t="s">
        <v>74</v>
      </c>
      <c r="D482" s="5" t="s">
        <v>243</v>
      </c>
      <c r="E482" s="5" t="s">
        <v>189</v>
      </c>
      <c r="F482" s="5" t="s">
        <v>190</v>
      </c>
    </row>
    <row r="483" spans="1:6" x14ac:dyDescent="0.25">
      <c r="A483" s="5">
        <v>92067</v>
      </c>
      <c r="B483" s="10">
        <v>2900</v>
      </c>
      <c r="C483" s="11" t="s">
        <v>74</v>
      </c>
      <c r="D483" s="5" t="s">
        <v>243</v>
      </c>
      <c r="E483" s="5" t="s">
        <v>189</v>
      </c>
      <c r="F483" s="5" t="s">
        <v>190</v>
      </c>
    </row>
    <row r="484" spans="1:6" x14ac:dyDescent="0.25">
      <c r="A484" s="5">
        <v>92071</v>
      </c>
      <c r="B484" s="10">
        <v>2900</v>
      </c>
      <c r="C484" s="11" t="s">
        <v>74</v>
      </c>
      <c r="D484" s="5" t="s">
        <v>243</v>
      </c>
      <c r="E484" s="5" t="s">
        <v>189</v>
      </c>
      <c r="F484" s="5" t="s">
        <v>190</v>
      </c>
    </row>
    <row r="485" spans="1:6" x14ac:dyDescent="0.25">
      <c r="A485" s="5">
        <v>92072</v>
      </c>
      <c r="B485" s="10">
        <v>2900</v>
      </c>
      <c r="C485" s="11" t="s">
        <v>74</v>
      </c>
      <c r="D485" s="5" t="s">
        <v>243</v>
      </c>
      <c r="E485" s="5" t="s">
        <v>189</v>
      </c>
      <c r="F485" s="5" t="s">
        <v>190</v>
      </c>
    </row>
    <row r="486" spans="1:6" x14ac:dyDescent="0.25">
      <c r="A486" s="5">
        <v>92073</v>
      </c>
      <c r="B486" s="10">
        <v>2900</v>
      </c>
      <c r="C486" s="11" t="s">
        <v>74</v>
      </c>
      <c r="D486" s="5" t="s">
        <v>243</v>
      </c>
      <c r="E486" s="5" t="s">
        <v>189</v>
      </c>
      <c r="F486" s="5" t="s">
        <v>190</v>
      </c>
    </row>
    <row r="487" spans="1:6" x14ac:dyDescent="0.25">
      <c r="A487" s="5">
        <v>92096</v>
      </c>
      <c r="B487" s="10">
        <v>2900</v>
      </c>
      <c r="C487" s="11" t="s">
        <v>48</v>
      </c>
      <c r="D487" s="5" t="s">
        <v>49</v>
      </c>
      <c r="E487" s="5" t="s">
        <v>189</v>
      </c>
      <c r="F487" s="5" t="s">
        <v>190</v>
      </c>
    </row>
    <row r="488" spans="1:6" x14ac:dyDescent="0.25">
      <c r="A488" s="5">
        <v>92103</v>
      </c>
      <c r="B488" s="10">
        <v>2900</v>
      </c>
      <c r="C488" s="11" t="s">
        <v>96</v>
      </c>
      <c r="D488" s="5" t="s">
        <v>242</v>
      </c>
      <c r="E488" s="5" t="s">
        <v>189</v>
      </c>
      <c r="F488" s="5" t="s">
        <v>190</v>
      </c>
    </row>
    <row r="489" spans="1:6" x14ac:dyDescent="0.25">
      <c r="A489" s="5">
        <v>92127</v>
      </c>
      <c r="B489" s="10">
        <v>2900</v>
      </c>
      <c r="C489" s="11" t="s">
        <v>96</v>
      </c>
      <c r="D489" s="5" t="s">
        <v>242</v>
      </c>
      <c r="E489" s="5" t="s">
        <v>189</v>
      </c>
      <c r="F489" s="5" t="s">
        <v>190</v>
      </c>
    </row>
    <row r="490" spans="1:6" x14ac:dyDescent="0.25">
      <c r="A490" s="5">
        <v>92132</v>
      </c>
      <c r="B490" s="10">
        <v>2900</v>
      </c>
      <c r="C490" s="11" t="s">
        <v>110</v>
      </c>
      <c r="D490" s="5" t="s">
        <v>111</v>
      </c>
      <c r="E490" s="5" t="s">
        <v>189</v>
      </c>
      <c r="F490" s="5" t="s">
        <v>190</v>
      </c>
    </row>
    <row r="491" spans="1:6" x14ac:dyDescent="0.25">
      <c r="A491" s="5">
        <v>92134</v>
      </c>
      <c r="B491" s="10">
        <v>2900</v>
      </c>
      <c r="C491" s="11" t="s">
        <v>48</v>
      </c>
      <c r="D491" s="5" t="s">
        <v>49</v>
      </c>
      <c r="E491" s="5" t="s">
        <v>189</v>
      </c>
      <c r="F491" s="5" t="s">
        <v>190</v>
      </c>
    </row>
    <row r="492" spans="1:6" x14ac:dyDescent="0.25">
      <c r="A492" s="5">
        <v>92141</v>
      </c>
      <c r="B492" s="10">
        <v>2900</v>
      </c>
      <c r="C492" s="11" t="s">
        <v>102</v>
      </c>
      <c r="D492" s="5" t="s">
        <v>103</v>
      </c>
      <c r="E492" s="5" t="s">
        <v>189</v>
      </c>
      <c r="F492" s="5" t="s">
        <v>190</v>
      </c>
    </row>
    <row r="493" spans="1:6" x14ac:dyDescent="0.25">
      <c r="A493" s="5">
        <v>92142</v>
      </c>
      <c r="B493" s="10">
        <v>2900</v>
      </c>
      <c r="C493" s="11" t="s">
        <v>62</v>
      </c>
      <c r="D493" s="5" t="s">
        <v>63</v>
      </c>
      <c r="E493" s="5" t="s">
        <v>189</v>
      </c>
      <c r="F493" s="5" t="s">
        <v>190</v>
      </c>
    </row>
    <row r="494" spans="1:6" x14ac:dyDescent="0.25">
      <c r="A494" s="5">
        <v>92145</v>
      </c>
      <c r="B494" s="10">
        <v>2900</v>
      </c>
      <c r="C494" s="11" t="s">
        <v>102</v>
      </c>
      <c r="D494" s="5" t="s">
        <v>103</v>
      </c>
      <c r="E494" s="5" t="s">
        <v>189</v>
      </c>
      <c r="F494" s="5" t="s">
        <v>190</v>
      </c>
    </row>
    <row r="495" spans="1:6" x14ac:dyDescent="0.25">
      <c r="A495" s="5">
        <v>92163</v>
      </c>
      <c r="B495" s="10">
        <v>2900</v>
      </c>
      <c r="C495" s="11" t="s">
        <v>50</v>
      </c>
      <c r="D495" s="5" t="s">
        <v>51</v>
      </c>
      <c r="E495" s="5" t="s">
        <v>189</v>
      </c>
      <c r="F495" s="5" t="s">
        <v>190</v>
      </c>
    </row>
    <row r="496" spans="1:6" x14ac:dyDescent="0.25">
      <c r="A496" s="5">
        <v>92180</v>
      </c>
      <c r="B496" s="10">
        <v>2900</v>
      </c>
      <c r="C496" s="11" t="s">
        <v>64</v>
      </c>
      <c r="D496" s="5" t="s">
        <v>251</v>
      </c>
      <c r="E496" s="5" t="s">
        <v>189</v>
      </c>
      <c r="F496" s="5" t="s">
        <v>190</v>
      </c>
    </row>
    <row r="497" spans="1:6" x14ac:dyDescent="0.25">
      <c r="A497" s="5">
        <v>92186</v>
      </c>
      <c r="B497" s="10">
        <v>2900</v>
      </c>
      <c r="C497" s="11" t="s">
        <v>60</v>
      </c>
      <c r="D497" s="5" t="s">
        <v>245</v>
      </c>
      <c r="E497" s="5" t="s">
        <v>189</v>
      </c>
      <c r="F497" s="5" t="s">
        <v>190</v>
      </c>
    </row>
    <row r="498" spans="1:6" x14ac:dyDescent="0.25">
      <c r="A498" s="5">
        <v>92190</v>
      </c>
      <c r="B498" s="10">
        <v>2900</v>
      </c>
      <c r="C498" s="11" t="s">
        <v>78</v>
      </c>
      <c r="D498" s="5" t="s">
        <v>244</v>
      </c>
      <c r="E498" s="5" t="s">
        <v>189</v>
      </c>
      <c r="F498" s="5" t="s">
        <v>190</v>
      </c>
    </row>
    <row r="499" spans="1:6" x14ac:dyDescent="0.25">
      <c r="A499" s="5">
        <v>92196</v>
      </c>
      <c r="B499" s="10">
        <v>2900</v>
      </c>
      <c r="C499" s="11" t="s">
        <v>38</v>
      </c>
      <c r="D499" s="5" t="s">
        <v>246</v>
      </c>
      <c r="E499" s="5" t="s">
        <v>189</v>
      </c>
      <c r="F499" s="5" t="s">
        <v>190</v>
      </c>
    </row>
    <row r="500" spans="1:6" x14ac:dyDescent="0.25">
      <c r="A500" s="5">
        <v>92197</v>
      </c>
      <c r="B500" s="10">
        <v>2900</v>
      </c>
      <c r="C500" s="11" t="s">
        <v>50</v>
      </c>
      <c r="D500" s="5" t="s">
        <v>51</v>
      </c>
      <c r="E500" s="5" t="s">
        <v>189</v>
      </c>
      <c r="F500" s="5" t="s">
        <v>190</v>
      </c>
    </row>
    <row r="501" spans="1:6" x14ac:dyDescent="0.25">
      <c r="A501" s="5">
        <v>92198</v>
      </c>
      <c r="B501" s="10">
        <v>2900</v>
      </c>
      <c r="C501" s="11" t="s">
        <v>116</v>
      </c>
      <c r="D501" s="5" t="s">
        <v>117</v>
      </c>
      <c r="E501" s="5" t="s">
        <v>189</v>
      </c>
      <c r="F501" s="5" t="s">
        <v>190</v>
      </c>
    </row>
    <row r="502" spans="1:6" x14ac:dyDescent="0.25">
      <c r="A502" s="5">
        <v>92212</v>
      </c>
      <c r="B502" s="10">
        <v>2900</v>
      </c>
      <c r="C502" s="11" t="s">
        <v>48</v>
      </c>
      <c r="D502" s="5" t="s">
        <v>49</v>
      </c>
      <c r="E502" s="5" t="s">
        <v>189</v>
      </c>
      <c r="F502" s="5" t="s">
        <v>190</v>
      </c>
    </row>
    <row r="503" spans="1:6" x14ac:dyDescent="0.25">
      <c r="A503" s="5">
        <v>92215</v>
      </c>
      <c r="B503" s="10">
        <v>2900</v>
      </c>
      <c r="C503" s="11" t="s">
        <v>74</v>
      </c>
      <c r="D503" s="5" t="s">
        <v>243</v>
      </c>
      <c r="E503" s="5" t="s">
        <v>189</v>
      </c>
      <c r="F503" s="5" t="s">
        <v>190</v>
      </c>
    </row>
    <row r="504" spans="1:6" x14ac:dyDescent="0.25">
      <c r="A504" s="5">
        <v>92219</v>
      </c>
      <c r="B504" s="10">
        <v>2900</v>
      </c>
      <c r="C504" s="11" t="s">
        <v>110</v>
      </c>
      <c r="D504" s="5" t="s">
        <v>111</v>
      </c>
      <c r="E504" s="5" t="s">
        <v>189</v>
      </c>
      <c r="F504" s="5" t="s">
        <v>190</v>
      </c>
    </row>
    <row r="505" spans="1:6" x14ac:dyDescent="0.25">
      <c r="A505" s="5">
        <v>92226</v>
      </c>
      <c r="B505" s="10">
        <v>2900</v>
      </c>
      <c r="C505" s="11" t="s">
        <v>82</v>
      </c>
      <c r="D505" s="5" t="s">
        <v>256</v>
      </c>
      <c r="E505" s="5" t="s">
        <v>189</v>
      </c>
      <c r="F505" s="5" t="s">
        <v>190</v>
      </c>
    </row>
    <row r="506" spans="1:6" x14ac:dyDescent="0.25">
      <c r="A506" s="5">
        <v>92229</v>
      </c>
      <c r="B506" s="10">
        <v>2900</v>
      </c>
      <c r="C506" s="11" t="s">
        <v>38</v>
      </c>
      <c r="D506" s="5" t="s">
        <v>246</v>
      </c>
      <c r="E506" s="5" t="s">
        <v>189</v>
      </c>
      <c r="F506" s="5" t="s">
        <v>190</v>
      </c>
    </row>
    <row r="507" spans="1:6" x14ac:dyDescent="0.25">
      <c r="A507" s="5">
        <v>92231</v>
      </c>
      <c r="B507" s="10">
        <v>2900</v>
      </c>
      <c r="C507" s="11" t="s">
        <v>64</v>
      </c>
      <c r="D507" s="5" t="s">
        <v>251</v>
      </c>
      <c r="E507" s="5" t="s">
        <v>189</v>
      </c>
      <c r="F507" s="5" t="s">
        <v>190</v>
      </c>
    </row>
    <row r="508" spans="1:6" x14ac:dyDescent="0.25">
      <c r="A508" s="5">
        <v>92241</v>
      </c>
      <c r="B508" s="10">
        <v>2900</v>
      </c>
      <c r="C508" s="11" t="s">
        <v>64</v>
      </c>
      <c r="D508" s="5" t="s">
        <v>251</v>
      </c>
      <c r="E508" s="5" t="s">
        <v>189</v>
      </c>
      <c r="F508" s="5" t="s">
        <v>190</v>
      </c>
    </row>
    <row r="509" spans="1:6" x14ac:dyDescent="0.25">
      <c r="A509" s="5">
        <v>92248</v>
      </c>
      <c r="B509" s="10">
        <v>2900</v>
      </c>
      <c r="C509" s="11" t="s">
        <v>74</v>
      </c>
      <c r="D509" s="5" t="s">
        <v>243</v>
      </c>
      <c r="E509" s="5" t="s">
        <v>189</v>
      </c>
      <c r="F509" s="5" t="s">
        <v>190</v>
      </c>
    </row>
    <row r="510" spans="1:6" x14ac:dyDescent="0.25">
      <c r="A510" s="5">
        <v>92250</v>
      </c>
      <c r="B510" s="10">
        <v>2900</v>
      </c>
      <c r="C510" s="11" t="s">
        <v>74</v>
      </c>
      <c r="D510" s="5" t="s">
        <v>243</v>
      </c>
      <c r="E510" s="5" t="s">
        <v>189</v>
      </c>
      <c r="F510" s="5" t="s">
        <v>190</v>
      </c>
    </row>
    <row r="511" spans="1:6" x14ac:dyDescent="0.25">
      <c r="A511" s="5">
        <v>92253</v>
      </c>
      <c r="B511" s="10">
        <v>2900</v>
      </c>
      <c r="C511" s="11" t="s">
        <v>74</v>
      </c>
      <c r="D511" s="5" t="s">
        <v>243</v>
      </c>
      <c r="E511" s="5" t="s">
        <v>189</v>
      </c>
      <c r="F511" s="5" t="s">
        <v>190</v>
      </c>
    </row>
    <row r="512" spans="1:6" x14ac:dyDescent="0.25">
      <c r="A512" s="5">
        <v>92255</v>
      </c>
      <c r="B512" s="10">
        <v>2900</v>
      </c>
      <c r="C512" s="11" t="s">
        <v>60</v>
      </c>
      <c r="D512" s="5" t="s">
        <v>245</v>
      </c>
      <c r="E512" s="5" t="s">
        <v>189</v>
      </c>
      <c r="F512" s="5" t="s">
        <v>190</v>
      </c>
    </row>
    <row r="513" spans="1:6" x14ac:dyDescent="0.25">
      <c r="A513" s="5">
        <v>92259</v>
      </c>
      <c r="B513" s="10">
        <v>2900</v>
      </c>
      <c r="C513" s="11" t="s">
        <v>96</v>
      </c>
      <c r="D513" s="5" t="s">
        <v>242</v>
      </c>
      <c r="E513" s="5" t="s">
        <v>189</v>
      </c>
      <c r="F513" s="5" t="s">
        <v>190</v>
      </c>
    </row>
    <row r="514" spans="1:6" x14ac:dyDescent="0.25">
      <c r="A514" s="5">
        <v>92275</v>
      </c>
      <c r="B514" s="10">
        <v>2900</v>
      </c>
      <c r="C514" s="11" t="s">
        <v>96</v>
      </c>
      <c r="D514" s="5" t="s">
        <v>242</v>
      </c>
      <c r="E514" s="5" t="s">
        <v>189</v>
      </c>
      <c r="F514" s="5" t="s">
        <v>190</v>
      </c>
    </row>
    <row r="515" spans="1:6" x14ac:dyDescent="0.25">
      <c r="A515" s="5">
        <v>92276</v>
      </c>
      <c r="B515" s="10">
        <v>2900</v>
      </c>
      <c r="C515" s="11" t="s">
        <v>96</v>
      </c>
      <c r="D515" s="5" t="s">
        <v>242</v>
      </c>
      <c r="E515" s="5" t="s">
        <v>189</v>
      </c>
      <c r="F515" s="5" t="s">
        <v>190</v>
      </c>
    </row>
    <row r="516" spans="1:6" x14ac:dyDescent="0.25">
      <c r="A516" s="5">
        <v>92279</v>
      </c>
      <c r="B516" s="10">
        <v>2900</v>
      </c>
      <c r="C516" s="11" t="s">
        <v>98</v>
      </c>
      <c r="D516" s="5" t="s">
        <v>250</v>
      </c>
      <c r="E516" s="5" t="s">
        <v>189</v>
      </c>
      <c r="F516" s="5" t="s">
        <v>190</v>
      </c>
    </row>
    <row r="517" spans="1:6" x14ac:dyDescent="0.25">
      <c r="A517" s="5">
        <v>92301</v>
      </c>
      <c r="B517" s="10">
        <v>2900</v>
      </c>
      <c r="C517" s="11" t="s">
        <v>50</v>
      </c>
      <c r="D517" s="5" t="s">
        <v>51</v>
      </c>
      <c r="E517" s="5" t="s">
        <v>189</v>
      </c>
      <c r="F517" s="5" t="s">
        <v>190</v>
      </c>
    </row>
    <row r="518" spans="1:6" x14ac:dyDescent="0.25">
      <c r="A518" s="5">
        <v>92307</v>
      </c>
      <c r="B518" s="10">
        <v>2900</v>
      </c>
      <c r="C518" s="11" t="s">
        <v>74</v>
      </c>
      <c r="D518" s="5" t="s">
        <v>243</v>
      </c>
      <c r="E518" s="5" t="s">
        <v>189</v>
      </c>
      <c r="F518" s="5" t="s">
        <v>190</v>
      </c>
    </row>
    <row r="519" spans="1:6" x14ac:dyDescent="0.25">
      <c r="A519" s="5">
        <v>92311</v>
      </c>
      <c r="B519" s="10">
        <v>2900</v>
      </c>
      <c r="C519" s="11" t="s">
        <v>54</v>
      </c>
      <c r="D519" s="5" t="s">
        <v>55</v>
      </c>
      <c r="E519" s="5" t="s">
        <v>189</v>
      </c>
      <c r="F519" s="5" t="s">
        <v>190</v>
      </c>
    </row>
    <row r="520" spans="1:6" x14ac:dyDescent="0.25">
      <c r="A520" s="5">
        <v>92320</v>
      </c>
      <c r="B520" s="10">
        <v>2900</v>
      </c>
      <c r="C520" s="11" t="s">
        <v>78</v>
      </c>
      <c r="D520" s="5" t="s">
        <v>244</v>
      </c>
      <c r="E520" s="5" t="s">
        <v>189</v>
      </c>
      <c r="F520" s="5" t="s">
        <v>190</v>
      </c>
    </row>
    <row r="521" spans="1:6" x14ac:dyDescent="0.25">
      <c r="A521" s="5">
        <v>92322</v>
      </c>
      <c r="B521" s="10">
        <v>2900</v>
      </c>
      <c r="C521" s="11" t="s">
        <v>84</v>
      </c>
      <c r="D521" s="5" t="s">
        <v>247</v>
      </c>
      <c r="E521" s="5" t="s">
        <v>189</v>
      </c>
      <c r="F521" s="5" t="s">
        <v>190</v>
      </c>
    </row>
    <row r="522" spans="1:6" x14ac:dyDescent="0.25">
      <c r="A522" s="5">
        <v>92323</v>
      </c>
      <c r="B522" s="10">
        <v>2900</v>
      </c>
      <c r="C522" s="11" t="s">
        <v>62</v>
      </c>
      <c r="D522" s="5" t="s">
        <v>63</v>
      </c>
      <c r="E522" s="5" t="s">
        <v>189</v>
      </c>
      <c r="F522" s="5" t="s">
        <v>190</v>
      </c>
    </row>
    <row r="523" spans="1:6" x14ac:dyDescent="0.25">
      <c r="A523" s="5">
        <v>92324</v>
      </c>
      <c r="B523" s="10">
        <v>2900</v>
      </c>
      <c r="C523" s="11" t="s">
        <v>82</v>
      </c>
      <c r="D523" s="5" t="s">
        <v>256</v>
      </c>
      <c r="E523" s="5" t="s">
        <v>189</v>
      </c>
      <c r="F523" s="5" t="s">
        <v>190</v>
      </c>
    </row>
    <row r="524" spans="1:6" x14ac:dyDescent="0.25">
      <c r="A524" s="5">
        <v>92325</v>
      </c>
      <c r="B524" s="10">
        <v>2900</v>
      </c>
      <c r="C524" s="11" t="s">
        <v>110</v>
      </c>
      <c r="D524" s="5" t="s">
        <v>111</v>
      </c>
      <c r="E524" s="5" t="s">
        <v>189</v>
      </c>
      <c r="F524" s="5" t="s">
        <v>190</v>
      </c>
    </row>
    <row r="525" spans="1:6" x14ac:dyDescent="0.25">
      <c r="A525" s="5">
        <v>92329</v>
      </c>
      <c r="B525" s="10">
        <v>2900</v>
      </c>
      <c r="C525" s="11" t="s">
        <v>78</v>
      </c>
      <c r="D525" s="5" t="s">
        <v>244</v>
      </c>
      <c r="E525" s="5" t="s">
        <v>189</v>
      </c>
      <c r="F525" s="5" t="s">
        <v>190</v>
      </c>
    </row>
    <row r="526" spans="1:6" x14ac:dyDescent="0.25">
      <c r="A526" s="5">
        <v>92331</v>
      </c>
      <c r="B526" s="10">
        <v>2900</v>
      </c>
      <c r="C526" s="11" t="s">
        <v>74</v>
      </c>
      <c r="D526" s="5" t="s">
        <v>243</v>
      </c>
      <c r="E526" s="5" t="s">
        <v>189</v>
      </c>
      <c r="F526" s="5" t="s">
        <v>190</v>
      </c>
    </row>
    <row r="527" spans="1:6" x14ac:dyDescent="0.25">
      <c r="A527" s="5">
        <v>92335</v>
      </c>
      <c r="B527" s="10">
        <v>2900</v>
      </c>
      <c r="C527" s="11" t="s">
        <v>74</v>
      </c>
      <c r="D527" s="5" t="s">
        <v>243</v>
      </c>
      <c r="E527" s="5" t="s">
        <v>189</v>
      </c>
      <c r="F527" s="5" t="s">
        <v>190</v>
      </c>
    </row>
    <row r="528" spans="1:6" x14ac:dyDescent="0.25">
      <c r="A528" s="5">
        <v>92343</v>
      </c>
      <c r="B528" s="10">
        <v>2900</v>
      </c>
      <c r="C528" s="11" t="s">
        <v>118</v>
      </c>
      <c r="D528" s="5" t="s">
        <v>119</v>
      </c>
      <c r="E528" s="5" t="s">
        <v>189</v>
      </c>
      <c r="F528" s="5" t="s">
        <v>190</v>
      </c>
    </row>
    <row r="529" spans="1:6" x14ac:dyDescent="0.25">
      <c r="A529" s="5">
        <v>92346</v>
      </c>
      <c r="B529" s="10">
        <v>2900</v>
      </c>
      <c r="C529" s="11" t="s">
        <v>62</v>
      </c>
      <c r="D529" s="5" t="s">
        <v>63</v>
      </c>
      <c r="E529" s="5" t="s">
        <v>189</v>
      </c>
      <c r="F529" s="5" t="s">
        <v>190</v>
      </c>
    </row>
    <row r="530" spans="1:6" x14ac:dyDescent="0.25">
      <c r="A530" s="5">
        <v>92348</v>
      </c>
      <c r="B530" s="10">
        <v>2900</v>
      </c>
      <c r="C530" s="11" t="s">
        <v>74</v>
      </c>
      <c r="D530" s="5" t="s">
        <v>243</v>
      </c>
      <c r="E530" s="5" t="s">
        <v>189</v>
      </c>
      <c r="F530" s="5" t="s">
        <v>190</v>
      </c>
    </row>
    <row r="531" spans="1:6" x14ac:dyDescent="0.25">
      <c r="A531" s="5">
        <v>92350</v>
      </c>
      <c r="B531" s="10">
        <v>2900</v>
      </c>
      <c r="C531" s="11" t="s">
        <v>74</v>
      </c>
      <c r="D531" s="5" t="s">
        <v>243</v>
      </c>
      <c r="E531" s="5" t="s">
        <v>189</v>
      </c>
      <c r="F531" s="5" t="s">
        <v>190</v>
      </c>
    </row>
    <row r="532" spans="1:6" x14ac:dyDescent="0.25">
      <c r="A532" s="5">
        <v>92353</v>
      </c>
      <c r="B532" s="10">
        <v>2900</v>
      </c>
      <c r="C532" s="11" t="s">
        <v>74</v>
      </c>
      <c r="D532" s="5" t="s">
        <v>243</v>
      </c>
      <c r="E532" s="5" t="s">
        <v>189</v>
      </c>
      <c r="F532" s="5" t="s">
        <v>190</v>
      </c>
    </row>
    <row r="533" spans="1:6" x14ac:dyDescent="0.25">
      <c r="A533" s="5">
        <v>92363</v>
      </c>
      <c r="B533" s="10">
        <v>2900</v>
      </c>
      <c r="C533" s="11" t="s">
        <v>64</v>
      </c>
      <c r="D533" s="5" t="s">
        <v>251</v>
      </c>
      <c r="E533" s="5" t="s">
        <v>189</v>
      </c>
      <c r="F533" s="5" t="s">
        <v>190</v>
      </c>
    </row>
    <row r="534" spans="1:6" x14ac:dyDescent="0.25">
      <c r="A534" s="5">
        <v>92372</v>
      </c>
      <c r="B534" s="10">
        <v>2900</v>
      </c>
      <c r="C534" s="11" t="s">
        <v>110</v>
      </c>
      <c r="D534" s="5" t="s">
        <v>111</v>
      </c>
      <c r="E534" s="5" t="s">
        <v>189</v>
      </c>
      <c r="F534" s="5" t="s">
        <v>190</v>
      </c>
    </row>
    <row r="535" spans="1:6" x14ac:dyDescent="0.25">
      <c r="A535" s="5">
        <v>92378</v>
      </c>
      <c r="B535" s="10">
        <v>2900</v>
      </c>
      <c r="C535" s="11" t="s">
        <v>74</v>
      </c>
      <c r="D535" s="5" t="s">
        <v>243</v>
      </c>
      <c r="E535" s="5" t="s">
        <v>189</v>
      </c>
      <c r="F535" s="5" t="s">
        <v>190</v>
      </c>
    </row>
    <row r="536" spans="1:6" x14ac:dyDescent="0.25">
      <c r="A536" s="5">
        <v>92380</v>
      </c>
      <c r="B536" s="10">
        <v>2900</v>
      </c>
      <c r="C536" s="11" t="s">
        <v>68</v>
      </c>
      <c r="D536" s="5" t="s">
        <v>69</v>
      </c>
      <c r="E536" s="5" t="s">
        <v>189</v>
      </c>
      <c r="F536" s="5" t="s">
        <v>190</v>
      </c>
    </row>
    <row r="537" spans="1:6" x14ac:dyDescent="0.25">
      <c r="A537" s="5">
        <v>92386</v>
      </c>
      <c r="B537" s="10">
        <v>2900</v>
      </c>
      <c r="C537" s="11" t="s">
        <v>48</v>
      </c>
      <c r="D537" s="5" t="s">
        <v>49</v>
      </c>
      <c r="E537" s="5" t="s">
        <v>189</v>
      </c>
      <c r="F537" s="5" t="s">
        <v>190</v>
      </c>
    </row>
    <row r="538" spans="1:6" x14ac:dyDescent="0.25">
      <c r="A538" s="5">
        <v>92404</v>
      </c>
      <c r="B538" s="10">
        <v>2900</v>
      </c>
      <c r="C538" s="11" t="s">
        <v>96</v>
      </c>
      <c r="D538" s="5" t="s">
        <v>242</v>
      </c>
      <c r="E538" s="5" t="s">
        <v>189</v>
      </c>
      <c r="F538" s="5" t="s">
        <v>190</v>
      </c>
    </row>
    <row r="539" spans="1:6" x14ac:dyDescent="0.25">
      <c r="A539" s="5">
        <v>92406</v>
      </c>
      <c r="B539" s="10">
        <v>2900</v>
      </c>
      <c r="C539" s="11" t="s">
        <v>96</v>
      </c>
      <c r="D539" s="5" t="s">
        <v>242</v>
      </c>
      <c r="E539" s="5" t="s">
        <v>189</v>
      </c>
      <c r="F539" s="5" t="s">
        <v>190</v>
      </c>
    </row>
    <row r="540" spans="1:6" x14ac:dyDescent="0.25">
      <c r="A540" s="5">
        <v>92407</v>
      </c>
      <c r="B540" s="10">
        <v>2900</v>
      </c>
      <c r="C540" s="11" t="s">
        <v>96</v>
      </c>
      <c r="D540" s="5" t="s">
        <v>242</v>
      </c>
      <c r="E540" s="5" t="s">
        <v>189</v>
      </c>
      <c r="F540" s="5" t="s">
        <v>190</v>
      </c>
    </row>
    <row r="541" spans="1:6" x14ac:dyDescent="0.25">
      <c r="A541" s="5">
        <v>92411</v>
      </c>
      <c r="B541" s="10">
        <v>2900</v>
      </c>
      <c r="C541" s="11" t="s">
        <v>38</v>
      </c>
      <c r="D541" s="5" t="s">
        <v>246</v>
      </c>
      <c r="E541" s="5" t="s">
        <v>189</v>
      </c>
      <c r="F541" s="5" t="s">
        <v>190</v>
      </c>
    </row>
    <row r="542" spans="1:6" x14ac:dyDescent="0.25">
      <c r="A542" s="5">
        <v>92423</v>
      </c>
      <c r="B542" s="10">
        <v>2900</v>
      </c>
      <c r="C542" s="11" t="s">
        <v>74</v>
      </c>
      <c r="D542" s="5" t="s">
        <v>243</v>
      </c>
      <c r="E542" s="5" t="s">
        <v>189</v>
      </c>
      <c r="F542" s="5" t="s">
        <v>190</v>
      </c>
    </row>
    <row r="543" spans="1:6" x14ac:dyDescent="0.25">
      <c r="A543" s="5">
        <v>92424</v>
      </c>
      <c r="B543" s="10">
        <v>2900</v>
      </c>
      <c r="C543" s="11" t="s">
        <v>74</v>
      </c>
      <c r="D543" s="5" t="s">
        <v>243</v>
      </c>
      <c r="E543" s="5" t="s">
        <v>189</v>
      </c>
      <c r="F543" s="5" t="s">
        <v>190</v>
      </c>
    </row>
    <row r="544" spans="1:6" x14ac:dyDescent="0.25">
      <c r="A544" s="5">
        <v>92425</v>
      </c>
      <c r="B544" s="10">
        <v>2900</v>
      </c>
      <c r="C544" s="11" t="s">
        <v>38</v>
      </c>
      <c r="D544" s="5" t="s">
        <v>246</v>
      </c>
      <c r="E544" s="5" t="s">
        <v>189</v>
      </c>
      <c r="F544" s="5" t="s">
        <v>190</v>
      </c>
    </row>
    <row r="545" spans="1:6" x14ac:dyDescent="0.25">
      <c r="A545" s="5">
        <v>92427</v>
      </c>
      <c r="B545" s="10">
        <v>2900</v>
      </c>
      <c r="C545" s="11" t="s">
        <v>84</v>
      </c>
      <c r="D545" s="5" t="s">
        <v>247</v>
      </c>
      <c r="E545" s="5" t="s">
        <v>189</v>
      </c>
      <c r="F545" s="5" t="s">
        <v>190</v>
      </c>
    </row>
    <row r="546" spans="1:6" x14ac:dyDescent="0.25">
      <c r="A546" s="5">
        <v>92429</v>
      </c>
      <c r="B546" s="10">
        <v>2900</v>
      </c>
      <c r="C546" s="11" t="s">
        <v>80</v>
      </c>
      <c r="D546" s="5" t="s">
        <v>249</v>
      </c>
      <c r="E546" s="5" t="s">
        <v>189</v>
      </c>
      <c r="F546" s="5" t="s">
        <v>190</v>
      </c>
    </row>
    <row r="547" spans="1:6" x14ac:dyDescent="0.25">
      <c r="A547" s="5">
        <v>92433</v>
      </c>
      <c r="B547" s="10">
        <v>2900</v>
      </c>
      <c r="C547" s="11" t="s">
        <v>82</v>
      </c>
      <c r="D547" s="5" t="s">
        <v>256</v>
      </c>
      <c r="E547" s="5" t="s">
        <v>189</v>
      </c>
      <c r="F547" s="5" t="s">
        <v>190</v>
      </c>
    </row>
    <row r="548" spans="1:6" x14ac:dyDescent="0.25">
      <c r="A548" s="5">
        <v>92435</v>
      </c>
      <c r="B548" s="10">
        <v>2900</v>
      </c>
      <c r="C548" s="11" t="s">
        <v>96</v>
      </c>
      <c r="D548" s="5" t="s">
        <v>242</v>
      </c>
      <c r="E548" s="5" t="s">
        <v>189</v>
      </c>
      <c r="F548" s="5" t="s">
        <v>190</v>
      </c>
    </row>
    <row r="549" spans="1:6" x14ac:dyDescent="0.25">
      <c r="A549" s="5">
        <v>92441</v>
      </c>
      <c r="B549" s="10">
        <v>2900</v>
      </c>
      <c r="C549" s="11" t="s">
        <v>96</v>
      </c>
      <c r="D549" s="5" t="s">
        <v>242</v>
      </c>
      <c r="E549" s="5" t="s">
        <v>189</v>
      </c>
      <c r="F549" s="5" t="s">
        <v>190</v>
      </c>
    </row>
    <row r="550" spans="1:6" x14ac:dyDescent="0.25">
      <c r="A550" s="5">
        <v>92442</v>
      </c>
      <c r="B550" s="10">
        <v>2900</v>
      </c>
      <c r="C550" s="11" t="s">
        <v>60</v>
      </c>
      <c r="D550" s="5" t="s">
        <v>245</v>
      </c>
      <c r="E550" s="5" t="s">
        <v>189</v>
      </c>
      <c r="F550" s="5" t="s">
        <v>190</v>
      </c>
    </row>
    <row r="551" spans="1:6" x14ac:dyDescent="0.25">
      <c r="A551" s="5">
        <v>92443</v>
      </c>
      <c r="B551" s="10">
        <v>2900</v>
      </c>
      <c r="C551" s="11" t="s">
        <v>48</v>
      </c>
      <c r="D551" s="5" t="s">
        <v>49</v>
      </c>
      <c r="E551" s="5" t="s">
        <v>189</v>
      </c>
      <c r="F551" s="5" t="s">
        <v>190</v>
      </c>
    </row>
    <row r="552" spans="1:6" x14ac:dyDescent="0.25">
      <c r="A552" s="5">
        <v>92444</v>
      </c>
      <c r="B552" s="10">
        <v>2900</v>
      </c>
      <c r="C552" s="11" t="s">
        <v>60</v>
      </c>
      <c r="D552" s="5" t="s">
        <v>245</v>
      </c>
      <c r="E552" s="5" t="s">
        <v>189</v>
      </c>
      <c r="F552" s="5" t="s">
        <v>190</v>
      </c>
    </row>
    <row r="553" spans="1:6" x14ac:dyDescent="0.25">
      <c r="A553" s="5">
        <v>92446</v>
      </c>
      <c r="B553" s="10">
        <v>2900</v>
      </c>
      <c r="C553" s="11" t="s">
        <v>96</v>
      </c>
      <c r="D553" s="5" t="s">
        <v>242</v>
      </c>
      <c r="E553" s="5" t="s">
        <v>189</v>
      </c>
      <c r="F553" s="5" t="s">
        <v>190</v>
      </c>
    </row>
    <row r="554" spans="1:6" x14ac:dyDescent="0.25">
      <c r="A554" s="5">
        <v>92457</v>
      </c>
      <c r="B554" s="10">
        <v>2900</v>
      </c>
      <c r="C554" s="11" t="s">
        <v>96</v>
      </c>
      <c r="D554" s="5" t="s">
        <v>242</v>
      </c>
      <c r="E554" s="5" t="s">
        <v>189</v>
      </c>
      <c r="F554" s="5" t="s">
        <v>190</v>
      </c>
    </row>
    <row r="555" spans="1:6" x14ac:dyDescent="0.25">
      <c r="A555" s="5">
        <v>92467</v>
      </c>
      <c r="B555" s="10">
        <v>2900</v>
      </c>
      <c r="C555" s="11" t="s">
        <v>96</v>
      </c>
      <c r="D555" s="5" t="s">
        <v>242</v>
      </c>
      <c r="E555" s="5" t="s">
        <v>189</v>
      </c>
      <c r="F555" s="5" t="s">
        <v>190</v>
      </c>
    </row>
    <row r="556" spans="1:6" x14ac:dyDescent="0.25">
      <c r="A556" s="5">
        <v>92468</v>
      </c>
      <c r="B556" s="10">
        <v>2900</v>
      </c>
      <c r="C556" s="11" t="s">
        <v>60</v>
      </c>
      <c r="D556" s="5" t="s">
        <v>245</v>
      </c>
      <c r="E556" s="5" t="s">
        <v>189</v>
      </c>
      <c r="F556" s="5" t="s">
        <v>190</v>
      </c>
    </row>
    <row r="557" spans="1:6" x14ac:dyDescent="0.25">
      <c r="A557" s="5">
        <v>92471</v>
      </c>
      <c r="B557" s="10">
        <v>2900</v>
      </c>
      <c r="C557" s="11" t="s">
        <v>86</v>
      </c>
      <c r="D557" s="5" t="s">
        <v>87</v>
      </c>
      <c r="E557" s="5" t="s">
        <v>189</v>
      </c>
      <c r="F557" s="5" t="s">
        <v>190</v>
      </c>
    </row>
    <row r="558" spans="1:6" x14ac:dyDescent="0.25">
      <c r="A558" s="5">
        <v>92472</v>
      </c>
      <c r="B558" s="10">
        <v>2900</v>
      </c>
      <c r="C558" s="11" t="s">
        <v>86</v>
      </c>
      <c r="D558" s="5" t="s">
        <v>87</v>
      </c>
      <c r="E558" s="5" t="s">
        <v>189</v>
      </c>
      <c r="F558" s="5" t="s">
        <v>190</v>
      </c>
    </row>
    <row r="559" spans="1:6" x14ac:dyDescent="0.25">
      <c r="A559" s="5">
        <v>92474</v>
      </c>
      <c r="B559" s="10">
        <v>2900</v>
      </c>
      <c r="C559" s="11" t="s">
        <v>86</v>
      </c>
      <c r="D559" s="5" t="s">
        <v>87</v>
      </c>
      <c r="E559" s="5" t="s">
        <v>189</v>
      </c>
      <c r="F559" s="5" t="s">
        <v>190</v>
      </c>
    </row>
    <row r="560" spans="1:6" x14ac:dyDescent="0.25">
      <c r="A560" s="5">
        <v>92476</v>
      </c>
      <c r="B560" s="10">
        <v>2900</v>
      </c>
      <c r="C560" s="11" t="s">
        <v>86</v>
      </c>
      <c r="D560" s="5" t="s">
        <v>87</v>
      </c>
      <c r="E560" s="5" t="s">
        <v>189</v>
      </c>
      <c r="F560" s="5" t="s">
        <v>190</v>
      </c>
    </row>
    <row r="561" spans="1:6" x14ac:dyDescent="0.25">
      <c r="A561" s="5">
        <v>92479</v>
      </c>
      <c r="B561" s="10">
        <v>2900</v>
      </c>
      <c r="C561" s="11" t="s">
        <v>74</v>
      </c>
      <c r="D561" s="5" t="s">
        <v>243</v>
      </c>
      <c r="E561" s="5" t="s">
        <v>189</v>
      </c>
      <c r="F561" s="5" t="s">
        <v>190</v>
      </c>
    </row>
    <row r="562" spans="1:6" x14ac:dyDescent="0.25">
      <c r="A562" s="5">
        <v>92482</v>
      </c>
      <c r="B562" s="10">
        <v>2900</v>
      </c>
      <c r="C562" s="11" t="s">
        <v>102</v>
      </c>
      <c r="D562" s="5" t="s">
        <v>103</v>
      </c>
      <c r="E562" s="5" t="s">
        <v>189</v>
      </c>
      <c r="F562" s="5" t="s">
        <v>190</v>
      </c>
    </row>
    <row r="563" spans="1:6" x14ac:dyDescent="0.25">
      <c r="A563" s="5">
        <v>92484</v>
      </c>
      <c r="B563" s="10">
        <v>2900</v>
      </c>
      <c r="C563" s="11" t="s">
        <v>74</v>
      </c>
      <c r="D563" s="5" t="s">
        <v>243</v>
      </c>
      <c r="E563" s="5" t="s">
        <v>189</v>
      </c>
      <c r="F563" s="5" t="s">
        <v>190</v>
      </c>
    </row>
    <row r="564" spans="1:6" x14ac:dyDescent="0.25">
      <c r="A564" s="5">
        <v>92485</v>
      </c>
      <c r="B564" s="10">
        <v>2900</v>
      </c>
      <c r="C564" s="11" t="s">
        <v>82</v>
      </c>
      <c r="D564" s="5" t="s">
        <v>256</v>
      </c>
      <c r="E564" s="5" t="s">
        <v>189</v>
      </c>
      <c r="F564" s="5" t="s">
        <v>190</v>
      </c>
    </row>
    <row r="565" spans="1:6" x14ac:dyDescent="0.25">
      <c r="A565" s="5">
        <v>92487</v>
      </c>
      <c r="B565" s="10">
        <v>2900</v>
      </c>
      <c r="C565" s="11" t="s">
        <v>50</v>
      </c>
      <c r="D565" s="5" t="s">
        <v>51</v>
      </c>
      <c r="E565" s="5" t="s">
        <v>189</v>
      </c>
      <c r="F565" s="5" t="s">
        <v>190</v>
      </c>
    </row>
    <row r="566" spans="1:6" x14ac:dyDescent="0.25">
      <c r="A566" s="5">
        <v>92488</v>
      </c>
      <c r="B566" s="10">
        <v>2900</v>
      </c>
      <c r="C566" s="11" t="s">
        <v>74</v>
      </c>
      <c r="D566" s="5" t="s">
        <v>243</v>
      </c>
      <c r="E566" s="5" t="s">
        <v>189</v>
      </c>
      <c r="F566" s="5" t="s">
        <v>190</v>
      </c>
    </row>
    <row r="567" spans="1:6" x14ac:dyDescent="0.25">
      <c r="A567" s="5">
        <v>92489</v>
      </c>
      <c r="B567" s="10">
        <v>2900</v>
      </c>
      <c r="C567" s="11" t="s">
        <v>74</v>
      </c>
      <c r="D567" s="5" t="s">
        <v>243</v>
      </c>
      <c r="E567" s="5" t="s">
        <v>189</v>
      </c>
      <c r="F567" s="5" t="s">
        <v>190</v>
      </c>
    </row>
    <row r="568" spans="1:6" x14ac:dyDescent="0.25">
      <c r="A568" s="5">
        <v>92490</v>
      </c>
      <c r="B568" s="10">
        <v>2900</v>
      </c>
      <c r="C568" s="11" t="s">
        <v>48</v>
      </c>
      <c r="D568" s="5" t="s">
        <v>49</v>
      </c>
      <c r="E568" s="5" t="s">
        <v>189</v>
      </c>
      <c r="F568" s="5" t="s">
        <v>190</v>
      </c>
    </row>
    <row r="569" spans="1:6" x14ac:dyDescent="0.25">
      <c r="A569" s="5">
        <v>92492</v>
      </c>
      <c r="B569" s="10">
        <v>2900</v>
      </c>
      <c r="C569" s="11" t="s">
        <v>48</v>
      </c>
      <c r="D569" s="5" t="s">
        <v>49</v>
      </c>
      <c r="E569" s="5" t="s">
        <v>189</v>
      </c>
      <c r="F569" s="5" t="s">
        <v>190</v>
      </c>
    </row>
    <row r="570" spans="1:6" x14ac:dyDescent="0.25">
      <c r="A570" s="5">
        <v>92493</v>
      </c>
      <c r="B570" s="10">
        <v>2900</v>
      </c>
      <c r="C570" s="11" t="s">
        <v>48</v>
      </c>
      <c r="D570" s="5" t="s">
        <v>49</v>
      </c>
      <c r="E570" s="5" t="s">
        <v>189</v>
      </c>
      <c r="F570" s="5" t="s">
        <v>190</v>
      </c>
    </row>
    <row r="571" spans="1:6" x14ac:dyDescent="0.25">
      <c r="A571" s="5">
        <v>92494</v>
      </c>
      <c r="B571" s="10">
        <v>2900</v>
      </c>
      <c r="C571" s="11" t="s">
        <v>48</v>
      </c>
      <c r="D571" s="5" t="s">
        <v>49</v>
      </c>
      <c r="E571" s="5" t="s">
        <v>189</v>
      </c>
      <c r="F571" s="5" t="s">
        <v>190</v>
      </c>
    </row>
    <row r="572" spans="1:6" x14ac:dyDescent="0.25">
      <c r="A572" s="5">
        <v>92496</v>
      </c>
      <c r="B572" s="10">
        <v>2900</v>
      </c>
      <c r="C572" s="11" t="s">
        <v>60</v>
      </c>
      <c r="D572" s="5" t="s">
        <v>245</v>
      </c>
      <c r="E572" s="5" t="s">
        <v>189</v>
      </c>
      <c r="F572" s="5" t="s">
        <v>190</v>
      </c>
    </row>
    <row r="573" spans="1:6" x14ac:dyDescent="0.25">
      <c r="A573" s="5">
        <v>92498</v>
      </c>
      <c r="B573" s="10">
        <v>2900</v>
      </c>
      <c r="C573" s="11" t="s">
        <v>78</v>
      </c>
      <c r="D573" s="5" t="s">
        <v>244</v>
      </c>
      <c r="E573" s="5" t="s">
        <v>189</v>
      </c>
      <c r="F573" s="5" t="s">
        <v>190</v>
      </c>
    </row>
    <row r="574" spans="1:6" x14ac:dyDescent="0.25">
      <c r="A574" s="5">
        <v>92512</v>
      </c>
      <c r="B574" s="10">
        <v>2900</v>
      </c>
      <c r="C574" s="11" t="s">
        <v>78</v>
      </c>
      <c r="D574" s="5" t="s">
        <v>244</v>
      </c>
      <c r="E574" s="5" t="s">
        <v>189</v>
      </c>
      <c r="F574" s="5" t="s">
        <v>190</v>
      </c>
    </row>
    <row r="575" spans="1:6" x14ac:dyDescent="0.25">
      <c r="A575" s="5">
        <v>92513</v>
      </c>
      <c r="B575" s="10">
        <v>2900</v>
      </c>
      <c r="C575" s="11" t="s">
        <v>116</v>
      </c>
      <c r="D575" s="5" t="s">
        <v>117</v>
      </c>
      <c r="E575" s="5" t="s">
        <v>189</v>
      </c>
      <c r="F575" s="5" t="s">
        <v>190</v>
      </c>
    </row>
    <row r="576" spans="1:6" x14ac:dyDescent="0.25">
      <c r="A576" s="5">
        <v>92520</v>
      </c>
      <c r="B576" s="10">
        <v>2900</v>
      </c>
      <c r="C576" s="11" t="s">
        <v>116</v>
      </c>
      <c r="D576" s="5" t="s">
        <v>117</v>
      </c>
      <c r="E576" s="5" t="s">
        <v>189</v>
      </c>
      <c r="F576" s="5" t="s">
        <v>190</v>
      </c>
    </row>
    <row r="577" spans="1:6" x14ac:dyDescent="0.25">
      <c r="A577" s="5">
        <v>92521</v>
      </c>
      <c r="B577" s="10">
        <v>2900</v>
      </c>
      <c r="C577" s="11" t="s">
        <v>116</v>
      </c>
      <c r="D577" s="5" t="s">
        <v>117</v>
      </c>
      <c r="E577" s="5" t="s">
        <v>189</v>
      </c>
      <c r="F577" s="5" t="s">
        <v>190</v>
      </c>
    </row>
    <row r="578" spans="1:6" x14ac:dyDescent="0.25">
      <c r="A578" s="5">
        <v>92523</v>
      </c>
      <c r="B578" s="10">
        <v>2900</v>
      </c>
      <c r="C578" s="11" t="s">
        <v>118</v>
      </c>
      <c r="D578" s="5" t="s">
        <v>119</v>
      </c>
      <c r="E578" s="5" t="s">
        <v>189</v>
      </c>
      <c r="F578" s="5" t="s">
        <v>190</v>
      </c>
    </row>
    <row r="579" spans="1:6" x14ac:dyDescent="0.25">
      <c r="A579" s="5">
        <v>92524</v>
      </c>
      <c r="B579" s="10">
        <v>2900</v>
      </c>
      <c r="C579" s="11" t="s">
        <v>74</v>
      </c>
      <c r="D579" s="5" t="s">
        <v>243</v>
      </c>
      <c r="E579" s="5" t="s">
        <v>189</v>
      </c>
      <c r="F579" s="5" t="s">
        <v>190</v>
      </c>
    </row>
    <row r="580" spans="1:6" x14ac:dyDescent="0.25">
      <c r="A580" s="5">
        <v>92525</v>
      </c>
      <c r="B580" s="10">
        <v>2900</v>
      </c>
      <c r="C580" s="11" t="s">
        <v>50</v>
      </c>
      <c r="D580" s="5" t="s">
        <v>51</v>
      </c>
      <c r="E580" s="5" t="s">
        <v>189</v>
      </c>
      <c r="F580" s="5" t="s">
        <v>190</v>
      </c>
    </row>
    <row r="581" spans="1:6" x14ac:dyDescent="0.25">
      <c r="A581" s="5">
        <v>92528</v>
      </c>
      <c r="B581" s="10">
        <v>2900</v>
      </c>
      <c r="C581" s="11" t="s">
        <v>50</v>
      </c>
      <c r="D581" s="5" t="s">
        <v>51</v>
      </c>
      <c r="E581" s="5" t="s">
        <v>189</v>
      </c>
      <c r="F581" s="5" t="s">
        <v>190</v>
      </c>
    </row>
    <row r="582" spans="1:6" x14ac:dyDescent="0.25">
      <c r="A582" s="5">
        <v>92530</v>
      </c>
      <c r="B582" s="10">
        <v>2900</v>
      </c>
      <c r="C582" s="11" t="s">
        <v>74</v>
      </c>
      <c r="D582" s="5" t="s">
        <v>243</v>
      </c>
      <c r="E582" s="5" t="s">
        <v>189</v>
      </c>
      <c r="F582" s="5" t="s">
        <v>190</v>
      </c>
    </row>
    <row r="583" spans="1:6" x14ac:dyDescent="0.25">
      <c r="A583" s="5">
        <v>92532</v>
      </c>
      <c r="B583" s="10">
        <v>2900</v>
      </c>
      <c r="C583" s="11" t="s">
        <v>70</v>
      </c>
      <c r="D583" s="5" t="s">
        <v>257</v>
      </c>
      <c r="E583" s="5" t="s">
        <v>189</v>
      </c>
      <c r="F583" s="5" t="s">
        <v>190</v>
      </c>
    </row>
    <row r="584" spans="1:6" x14ac:dyDescent="0.25">
      <c r="A584" s="5">
        <v>92533</v>
      </c>
      <c r="B584" s="10">
        <v>2900</v>
      </c>
      <c r="C584" s="11" t="s">
        <v>74</v>
      </c>
      <c r="D584" s="5" t="s">
        <v>243</v>
      </c>
      <c r="E584" s="5" t="s">
        <v>189</v>
      </c>
      <c r="F584" s="5" t="s">
        <v>190</v>
      </c>
    </row>
    <row r="585" spans="1:6" x14ac:dyDescent="0.25">
      <c r="A585" s="5">
        <v>92554</v>
      </c>
      <c r="B585" s="10">
        <v>2900</v>
      </c>
      <c r="C585" s="11" t="s">
        <v>50</v>
      </c>
      <c r="D585" s="5" t="s">
        <v>51</v>
      </c>
      <c r="E585" s="5" t="s">
        <v>189</v>
      </c>
      <c r="F585" s="5" t="s">
        <v>190</v>
      </c>
    </row>
    <row r="586" spans="1:6" x14ac:dyDescent="0.25">
      <c r="A586" s="5">
        <v>92559</v>
      </c>
      <c r="B586" s="10">
        <v>2900</v>
      </c>
      <c r="C586" s="11" t="s">
        <v>50</v>
      </c>
      <c r="D586" s="5" t="s">
        <v>51</v>
      </c>
      <c r="E586" s="5" t="s">
        <v>189</v>
      </c>
      <c r="F586" s="5" t="s">
        <v>190</v>
      </c>
    </row>
    <row r="587" spans="1:6" x14ac:dyDescent="0.25">
      <c r="A587" s="5">
        <v>92563</v>
      </c>
      <c r="B587" s="10">
        <v>2900</v>
      </c>
      <c r="C587" s="11" t="s">
        <v>96</v>
      </c>
      <c r="D587" s="5" t="s">
        <v>242</v>
      </c>
      <c r="E587" s="5" t="s">
        <v>189</v>
      </c>
      <c r="F587" s="5" t="s">
        <v>190</v>
      </c>
    </row>
    <row r="588" spans="1:6" x14ac:dyDescent="0.25">
      <c r="A588" s="5">
        <v>92565</v>
      </c>
      <c r="B588" s="10">
        <v>2900</v>
      </c>
      <c r="C588" s="11" t="s">
        <v>96</v>
      </c>
      <c r="D588" s="5" t="s">
        <v>242</v>
      </c>
      <c r="E588" s="5" t="s">
        <v>189</v>
      </c>
      <c r="F588" s="5" t="s">
        <v>190</v>
      </c>
    </row>
    <row r="589" spans="1:6" x14ac:dyDescent="0.25">
      <c r="A589" s="5">
        <v>92566</v>
      </c>
      <c r="B589" s="10">
        <v>2900</v>
      </c>
      <c r="C589" s="11" t="s">
        <v>96</v>
      </c>
      <c r="D589" s="5" t="s">
        <v>242</v>
      </c>
      <c r="E589" s="5" t="s">
        <v>189</v>
      </c>
      <c r="F589" s="5" t="s">
        <v>190</v>
      </c>
    </row>
    <row r="590" spans="1:6" x14ac:dyDescent="0.25">
      <c r="A590" s="5">
        <v>92567</v>
      </c>
      <c r="B590" s="10">
        <v>2900</v>
      </c>
      <c r="C590" s="11" t="s">
        <v>96</v>
      </c>
      <c r="D590" s="5" t="s">
        <v>242</v>
      </c>
      <c r="E590" s="5" t="s">
        <v>189</v>
      </c>
      <c r="F590" s="5" t="s">
        <v>190</v>
      </c>
    </row>
    <row r="591" spans="1:6" x14ac:dyDescent="0.25">
      <c r="A591" s="5">
        <v>92568</v>
      </c>
      <c r="B591" s="10">
        <v>2900</v>
      </c>
      <c r="C591" s="11" t="s">
        <v>74</v>
      </c>
      <c r="D591" s="5" t="s">
        <v>243</v>
      </c>
      <c r="E591" s="5" t="s">
        <v>189</v>
      </c>
      <c r="F591" s="5" t="s">
        <v>190</v>
      </c>
    </row>
    <row r="592" spans="1:6" x14ac:dyDescent="0.25">
      <c r="A592" s="5">
        <v>92577</v>
      </c>
      <c r="B592" s="10">
        <v>2900</v>
      </c>
      <c r="C592" s="11" t="s">
        <v>86</v>
      </c>
      <c r="D592" s="5" t="s">
        <v>87</v>
      </c>
      <c r="E592" s="5" t="s">
        <v>189</v>
      </c>
      <c r="F592" s="5" t="s">
        <v>190</v>
      </c>
    </row>
    <row r="593" spans="1:6" x14ac:dyDescent="0.25">
      <c r="A593" s="5">
        <v>92580</v>
      </c>
      <c r="B593" s="10">
        <v>2900</v>
      </c>
      <c r="C593" s="11" t="s">
        <v>86</v>
      </c>
      <c r="D593" s="5" t="s">
        <v>87</v>
      </c>
      <c r="E593" s="5" t="s">
        <v>189</v>
      </c>
      <c r="F593" s="5" t="s">
        <v>190</v>
      </c>
    </row>
    <row r="594" spans="1:6" x14ac:dyDescent="0.25">
      <c r="A594" s="5">
        <v>92584</v>
      </c>
      <c r="B594" s="10">
        <v>2900</v>
      </c>
      <c r="C594" s="11" t="s">
        <v>74</v>
      </c>
      <c r="D594" s="5" t="s">
        <v>243</v>
      </c>
      <c r="E594" s="5" t="s">
        <v>189</v>
      </c>
      <c r="F594" s="5" t="s">
        <v>190</v>
      </c>
    </row>
    <row r="595" spans="1:6" x14ac:dyDescent="0.25">
      <c r="A595" s="5">
        <v>92586</v>
      </c>
      <c r="B595" s="10">
        <v>2900</v>
      </c>
      <c r="C595" s="11" t="s">
        <v>74</v>
      </c>
      <c r="D595" s="5" t="s">
        <v>243</v>
      </c>
      <c r="E595" s="5" t="s">
        <v>189</v>
      </c>
      <c r="F595" s="5" t="s">
        <v>190</v>
      </c>
    </row>
    <row r="596" spans="1:6" x14ac:dyDescent="0.25">
      <c r="A596" s="5">
        <v>92588</v>
      </c>
      <c r="B596" s="10">
        <v>2900</v>
      </c>
      <c r="C596" s="11" t="s">
        <v>80</v>
      </c>
      <c r="D596" s="5" t="s">
        <v>249</v>
      </c>
      <c r="E596" s="5" t="s">
        <v>189</v>
      </c>
      <c r="F596" s="5" t="s">
        <v>190</v>
      </c>
    </row>
    <row r="597" spans="1:6" x14ac:dyDescent="0.25">
      <c r="A597" s="5">
        <v>92597</v>
      </c>
      <c r="B597" s="10">
        <v>2900</v>
      </c>
      <c r="C597" s="11" t="s">
        <v>74</v>
      </c>
      <c r="D597" s="5" t="s">
        <v>243</v>
      </c>
      <c r="E597" s="5" t="s">
        <v>189</v>
      </c>
      <c r="F597" s="5" t="s">
        <v>190</v>
      </c>
    </row>
    <row r="598" spans="1:6" x14ac:dyDescent="0.25">
      <c r="A598" s="5">
        <v>92598</v>
      </c>
      <c r="B598" s="10">
        <v>2900</v>
      </c>
      <c r="C598" s="11" t="s">
        <v>118</v>
      </c>
      <c r="D598" s="5" t="s">
        <v>119</v>
      </c>
      <c r="E598" s="5" t="s">
        <v>189</v>
      </c>
      <c r="F598" s="5" t="s">
        <v>190</v>
      </c>
    </row>
    <row r="599" spans="1:6" x14ac:dyDescent="0.25">
      <c r="A599" s="5">
        <v>92604</v>
      </c>
      <c r="B599" s="10">
        <v>2900</v>
      </c>
      <c r="C599" s="11" t="s">
        <v>48</v>
      </c>
      <c r="D599" s="5" t="s">
        <v>49</v>
      </c>
      <c r="E599" s="5" t="s">
        <v>189</v>
      </c>
      <c r="F599" s="5" t="s">
        <v>190</v>
      </c>
    </row>
    <row r="600" spans="1:6" x14ac:dyDescent="0.25">
      <c r="A600" s="5">
        <v>92608</v>
      </c>
      <c r="B600" s="10">
        <v>2900</v>
      </c>
      <c r="C600" s="11" t="s">
        <v>48</v>
      </c>
      <c r="D600" s="5" t="s">
        <v>49</v>
      </c>
      <c r="E600" s="5" t="s">
        <v>189</v>
      </c>
      <c r="F600" s="5" t="s">
        <v>190</v>
      </c>
    </row>
    <row r="601" spans="1:6" x14ac:dyDescent="0.25">
      <c r="A601" s="5">
        <v>92613</v>
      </c>
      <c r="B601" s="10">
        <v>2900</v>
      </c>
      <c r="C601" s="11" t="s">
        <v>96</v>
      </c>
      <c r="D601" s="5" t="s">
        <v>242</v>
      </c>
      <c r="E601" s="5" t="s">
        <v>189</v>
      </c>
      <c r="F601" s="5" t="s">
        <v>190</v>
      </c>
    </row>
    <row r="602" spans="1:6" x14ac:dyDescent="0.25">
      <c r="A602" s="5">
        <v>92619</v>
      </c>
      <c r="B602" s="10">
        <v>2900</v>
      </c>
      <c r="C602" s="11" t="s">
        <v>96</v>
      </c>
      <c r="D602" s="5" t="s">
        <v>242</v>
      </c>
      <c r="E602" s="5" t="s">
        <v>189</v>
      </c>
      <c r="F602" s="5" t="s">
        <v>190</v>
      </c>
    </row>
    <row r="603" spans="1:6" x14ac:dyDescent="0.25">
      <c r="A603" s="5">
        <v>92620</v>
      </c>
      <c r="B603" s="10">
        <v>2900</v>
      </c>
      <c r="C603" s="11" t="s">
        <v>48</v>
      </c>
      <c r="D603" s="5" t="s">
        <v>49</v>
      </c>
      <c r="E603" s="5" t="s">
        <v>189</v>
      </c>
      <c r="F603" s="5" t="s">
        <v>190</v>
      </c>
    </row>
    <row r="604" spans="1:6" x14ac:dyDescent="0.25">
      <c r="A604" s="5">
        <v>92622</v>
      </c>
      <c r="B604" s="10">
        <v>2900</v>
      </c>
      <c r="C604" s="11" t="s">
        <v>86</v>
      </c>
      <c r="D604" s="5" t="s">
        <v>87</v>
      </c>
      <c r="E604" s="5" t="s">
        <v>189</v>
      </c>
      <c r="F604" s="5" t="s">
        <v>190</v>
      </c>
    </row>
    <row r="605" spans="1:6" x14ac:dyDescent="0.25">
      <c r="A605" s="5">
        <v>92626</v>
      </c>
      <c r="B605" s="10">
        <v>2900</v>
      </c>
      <c r="C605" s="11" t="s">
        <v>96</v>
      </c>
      <c r="D605" s="5" t="s">
        <v>242</v>
      </c>
      <c r="E605" s="5" t="s">
        <v>189</v>
      </c>
      <c r="F605" s="5" t="s">
        <v>190</v>
      </c>
    </row>
    <row r="606" spans="1:6" x14ac:dyDescent="0.25">
      <c r="A606" s="5">
        <v>92630</v>
      </c>
      <c r="B606" s="10">
        <v>2900</v>
      </c>
      <c r="C606" s="11" t="s">
        <v>96</v>
      </c>
      <c r="D606" s="5" t="s">
        <v>242</v>
      </c>
      <c r="E606" s="5" t="s">
        <v>189</v>
      </c>
      <c r="F606" s="5" t="s">
        <v>190</v>
      </c>
    </row>
    <row r="607" spans="1:6" x14ac:dyDescent="0.25">
      <c r="A607" s="5">
        <v>92633</v>
      </c>
      <c r="B607" s="10">
        <v>2900</v>
      </c>
      <c r="C607" s="11" t="s">
        <v>74</v>
      </c>
      <c r="D607" s="5" t="s">
        <v>243</v>
      </c>
      <c r="E607" s="5" t="s">
        <v>189</v>
      </c>
      <c r="F607" s="5" t="s">
        <v>190</v>
      </c>
    </row>
    <row r="608" spans="1:6" x14ac:dyDescent="0.25">
      <c r="A608" s="5">
        <v>92645</v>
      </c>
      <c r="B608" s="10">
        <v>2900</v>
      </c>
      <c r="C608" s="11" t="s">
        <v>74</v>
      </c>
      <c r="D608" s="5" t="s">
        <v>243</v>
      </c>
      <c r="E608" s="5" t="s">
        <v>189</v>
      </c>
      <c r="F608" s="5" t="s">
        <v>190</v>
      </c>
    </row>
    <row r="609" spans="1:6" x14ac:dyDescent="0.25">
      <c r="A609" s="5">
        <v>92649</v>
      </c>
      <c r="B609" s="10">
        <v>2900</v>
      </c>
      <c r="C609" s="11" t="s">
        <v>96</v>
      </c>
      <c r="D609" s="5" t="s">
        <v>242</v>
      </c>
      <c r="E609" s="5" t="s">
        <v>189</v>
      </c>
      <c r="F609" s="5" t="s">
        <v>190</v>
      </c>
    </row>
    <row r="610" spans="1:6" x14ac:dyDescent="0.25">
      <c r="A610" s="5">
        <v>92652</v>
      </c>
      <c r="B610" s="10">
        <v>2900</v>
      </c>
      <c r="C610" s="11" t="s">
        <v>74</v>
      </c>
      <c r="D610" s="5" t="s">
        <v>243</v>
      </c>
      <c r="E610" s="5" t="s">
        <v>189</v>
      </c>
      <c r="F610" s="5" t="s">
        <v>190</v>
      </c>
    </row>
    <row r="611" spans="1:6" x14ac:dyDescent="0.25">
      <c r="A611" s="5">
        <v>92654</v>
      </c>
      <c r="B611" s="10">
        <v>2900</v>
      </c>
      <c r="C611" s="11" t="s">
        <v>118</v>
      </c>
      <c r="D611" s="5" t="s">
        <v>119</v>
      </c>
      <c r="E611" s="5" t="s">
        <v>189</v>
      </c>
      <c r="F611" s="5" t="s">
        <v>190</v>
      </c>
    </row>
    <row r="612" spans="1:6" x14ac:dyDescent="0.25">
      <c r="A612" s="5">
        <v>92663</v>
      </c>
      <c r="B612" s="10">
        <v>2900</v>
      </c>
      <c r="C612" s="11" t="s">
        <v>74</v>
      </c>
      <c r="D612" s="5" t="s">
        <v>243</v>
      </c>
      <c r="E612" s="5" t="s">
        <v>189</v>
      </c>
      <c r="F612" s="5" t="s">
        <v>190</v>
      </c>
    </row>
    <row r="613" spans="1:6" x14ac:dyDescent="0.25">
      <c r="A613" s="5">
        <v>92671</v>
      </c>
      <c r="B613" s="10">
        <v>2900</v>
      </c>
      <c r="C613" s="11" t="s">
        <v>60</v>
      </c>
      <c r="D613" s="5" t="s">
        <v>245</v>
      </c>
      <c r="E613" s="5" t="s">
        <v>189</v>
      </c>
      <c r="F613" s="5" t="s">
        <v>190</v>
      </c>
    </row>
    <row r="614" spans="1:6" x14ac:dyDescent="0.25">
      <c r="A614" s="5">
        <v>92673</v>
      </c>
      <c r="B614" s="10">
        <v>2900</v>
      </c>
      <c r="C614" s="11" t="s">
        <v>110</v>
      </c>
      <c r="D614" s="5" t="s">
        <v>111</v>
      </c>
      <c r="E614" s="5" t="s">
        <v>189</v>
      </c>
      <c r="F614" s="5" t="s">
        <v>190</v>
      </c>
    </row>
    <row r="615" spans="1:6" x14ac:dyDescent="0.25">
      <c r="A615" s="5">
        <v>92675</v>
      </c>
      <c r="B615" s="10">
        <v>2900</v>
      </c>
      <c r="C615" s="11" t="s">
        <v>48</v>
      </c>
      <c r="D615" s="5" t="s">
        <v>49</v>
      </c>
      <c r="E615" s="5" t="s">
        <v>189</v>
      </c>
      <c r="F615" s="5" t="s">
        <v>190</v>
      </c>
    </row>
    <row r="616" spans="1:6" x14ac:dyDescent="0.25">
      <c r="A616" s="5">
        <v>92678</v>
      </c>
      <c r="B616" s="10">
        <v>2900</v>
      </c>
      <c r="C616" s="11" t="s">
        <v>78</v>
      </c>
      <c r="D616" s="5" t="s">
        <v>244</v>
      </c>
      <c r="E616" s="5" t="s">
        <v>189</v>
      </c>
      <c r="F616" s="5" t="s">
        <v>190</v>
      </c>
    </row>
    <row r="617" spans="1:6" x14ac:dyDescent="0.25">
      <c r="A617" s="5">
        <v>92679</v>
      </c>
      <c r="B617" s="10">
        <v>2900</v>
      </c>
      <c r="C617" s="11" t="s">
        <v>74</v>
      </c>
      <c r="D617" s="5" t="s">
        <v>243</v>
      </c>
      <c r="E617" s="5" t="s">
        <v>189</v>
      </c>
      <c r="F617" s="5" t="s">
        <v>190</v>
      </c>
    </row>
    <row r="618" spans="1:6" x14ac:dyDescent="0.25">
      <c r="A618" s="5">
        <v>92680</v>
      </c>
      <c r="B618" s="10">
        <v>2900</v>
      </c>
      <c r="C618" s="11" t="s">
        <v>48</v>
      </c>
      <c r="D618" s="5" t="s">
        <v>49</v>
      </c>
      <c r="E618" s="5" t="s">
        <v>189</v>
      </c>
      <c r="F618" s="5" t="s">
        <v>190</v>
      </c>
    </row>
    <row r="619" spans="1:6" x14ac:dyDescent="0.25">
      <c r="A619" s="5">
        <v>92683</v>
      </c>
      <c r="B619" s="10">
        <v>2900</v>
      </c>
      <c r="C619" s="11" t="s">
        <v>48</v>
      </c>
      <c r="D619" s="5" t="s">
        <v>49</v>
      </c>
      <c r="E619" s="5" t="s">
        <v>189</v>
      </c>
      <c r="F619" s="5" t="s">
        <v>190</v>
      </c>
    </row>
    <row r="620" spans="1:6" x14ac:dyDescent="0.25">
      <c r="A620" s="5">
        <v>92686</v>
      </c>
      <c r="B620" s="10">
        <v>2900</v>
      </c>
      <c r="C620" s="11" t="s">
        <v>74</v>
      </c>
      <c r="D620" s="5" t="s">
        <v>243</v>
      </c>
      <c r="E620" s="5" t="s">
        <v>189</v>
      </c>
      <c r="F620" s="5" t="s">
        <v>190</v>
      </c>
    </row>
    <row r="621" spans="1:6" x14ac:dyDescent="0.25">
      <c r="A621" s="5">
        <v>92688</v>
      </c>
      <c r="B621" s="10">
        <v>2900</v>
      </c>
      <c r="C621" s="11" t="s">
        <v>138</v>
      </c>
      <c r="D621" s="5" t="s">
        <v>139</v>
      </c>
      <c r="E621" s="5" t="s">
        <v>189</v>
      </c>
      <c r="F621" s="5" t="s">
        <v>190</v>
      </c>
    </row>
    <row r="622" spans="1:6" x14ac:dyDescent="0.25">
      <c r="A622" s="5">
        <v>92689</v>
      </c>
      <c r="B622" s="10">
        <v>2900</v>
      </c>
      <c r="C622" s="11" t="s">
        <v>96</v>
      </c>
      <c r="D622" s="5" t="s">
        <v>242</v>
      </c>
      <c r="E622" s="5" t="s">
        <v>189</v>
      </c>
      <c r="F622" s="5" t="s">
        <v>190</v>
      </c>
    </row>
    <row r="623" spans="1:6" x14ac:dyDescent="0.25">
      <c r="A623" s="5">
        <v>92690</v>
      </c>
      <c r="B623" s="10">
        <v>2900</v>
      </c>
      <c r="C623" s="11" t="s">
        <v>96</v>
      </c>
      <c r="D623" s="5" t="s">
        <v>242</v>
      </c>
      <c r="E623" s="5" t="s">
        <v>189</v>
      </c>
      <c r="F623" s="5" t="s">
        <v>190</v>
      </c>
    </row>
    <row r="624" spans="1:6" x14ac:dyDescent="0.25">
      <c r="A624" s="5">
        <v>92692</v>
      </c>
      <c r="B624" s="10">
        <v>2900</v>
      </c>
      <c r="C624" s="11" t="s">
        <v>96</v>
      </c>
      <c r="D624" s="5" t="s">
        <v>242</v>
      </c>
      <c r="E624" s="5" t="s">
        <v>189</v>
      </c>
      <c r="F624" s="5" t="s">
        <v>190</v>
      </c>
    </row>
    <row r="625" spans="1:6" x14ac:dyDescent="0.25">
      <c r="A625" s="5">
        <v>92696</v>
      </c>
      <c r="B625" s="10">
        <v>2900</v>
      </c>
      <c r="C625" s="11" t="s">
        <v>74</v>
      </c>
      <c r="D625" s="5" t="s">
        <v>243</v>
      </c>
      <c r="E625" s="5" t="s">
        <v>189</v>
      </c>
      <c r="F625" s="5" t="s">
        <v>190</v>
      </c>
    </row>
    <row r="626" spans="1:6" x14ac:dyDescent="0.25">
      <c r="A626" s="5">
        <v>92699</v>
      </c>
      <c r="B626" s="10">
        <v>2900</v>
      </c>
      <c r="C626" s="11" t="s">
        <v>74</v>
      </c>
      <c r="D626" s="5" t="s">
        <v>243</v>
      </c>
      <c r="E626" s="5" t="s">
        <v>189</v>
      </c>
      <c r="F626" s="5" t="s">
        <v>190</v>
      </c>
    </row>
    <row r="627" spans="1:6" x14ac:dyDescent="0.25">
      <c r="A627" s="5">
        <v>92703</v>
      </c>
      <c r="B627" s="10">
        <v>2900</v>
      </c>
      <c r="C627" s="11" t="s">
        <v>82</v>
      </c>
      <c r="D627" s="5" t="s">
        <v>256</v>
      </c>
      <c r="E627" s="5" t="s">
        <v>189</v>
      </c>
      <c r="F627" s="5" t="s">
        <v>190</v>
      </c>
    </row>
    <row r="628" spans="1:6" x14ac:dyDescent="0.25">
      <c r="A628" s="5">
        <v>92706</v>
      </c>
      <c r="B628" s="10">
        <v>2900</v>
      </c>
      <c r="C628" s="11" t="s">
        <v>74</v>
      </c>
      <c r="D628" s="5" t="s">
        <v>243</v>
      </c>
      <c r="E628" s="5" t="s">
        <v>189</v>
      </c>
      <c r="F628" s="5" t="s">
        <v>190</v>
      </c>
    </row>
    <row r="629" spans="1:6" x14ac:dyDescent="0.25">
      <c r="A629" s="5">
        <v>92712</v>
      </c>
      <c r="B629" s="10">
        <v>2900</v>
      </c>
      <c r="C629" s="11" t="s">
        <v>64</v>
      </c>
      <c r="D629" s="5" t="s">
        <v>251</v>
      </c>
      <c r="E629" s="5" t="s">
        <v>189</v>
      </c>
      <c r="F629" s="5" t="s">
        <v>190</v>
      </c>
    </row>
    <row r="630" spans="1:6" x14ac:dyDescent="0.25">
      <c r="A630" s="5">
        <v>92713</v>
      </c>
      <c r="B630" s="10">
        <v>2900</v>
      </c>
      <c r="C630" s="11" t="s">
        <v>74</v>
      </c>
      <c r="D630" s="5" t="s">
        <v>243</v>
      </c>
      <c r="E630" s="5" t="s">
        <v>189</v>
      </c>
      <c r="F630" s="5" t="s">
        <v>190</v>
      </c>
    </row>
    <row r="631" spans="1:6" x14ac:dyDescent="0.25">
      <c r="A631" s="5">
        <v>92714</v>
      </c>
      <c r="B631" s="10">
        <v>2900</v>
      </c>
      <c r="C631" s="11" t="s">
        <v>74</v>
      </c>
      <c r="D631" s="5" t="s">
        <v>243</v>
      </c>
      <c r="E631" s="5" t="s">
        <v>189</v>
      </c>
      <c r="F631" s="5" t="s">
        <v>190</v>
      </c>
    </row>
    <row r="632" spans="1:6" x14ac:dyDescent="0.25">
      <c r="A632" s="5">
        <v>92717</v>
      </c>
      <c r="B632" s="10">
        <v>2900</v>
      </c>
      <c r="C632" s="11" t="s">
        <v>96</v>
      </c>
      <c r="D632" s="5" t="s">
        <v>242</v>
      </c>
      <c r="E632" s="5" t="s">
        <v>189</v>
      </c>
      <c r="F632" s="5" t="s">
        <v>190</v>
      </c>
    </row>
    <row r="633" spans="1:6" x14ac:dyDescent="0.25">
      <c r="A633" s="5">
        <v>92718</v>
      </c>
      <c r="B633" s="10">
        <v>2900</v>
      </c>
      <c r="C633" s="11" t="s">
        <v>74</v>
      </c>
      <c r="D633" s="5" t="s">
        <v>243</v>
      </c>
      <c r="E633" s="5" t="s">
        <v>189</v>
      </c>
      <c r="F633" s="5" t="s">
        <v>190</v>
      </c>
    </row>
    <row r="634" spans="1:6" x14ac:dyDescent="0.25">
      <c r="A634" s="5">
        <v>92719</v>
      </c>
      <c r="B634" s="10">
        <v>2900</v>
      </c>
      <c r="C634" s="11" t="s">
        <v>96</v>
      </c>
      <c r="D634" s="5" t="s">
        <v>242</v>
      </c>
      <c r="E634" s="5" t="s">
        <v>189</v>
      </c>
      <c r="F634" s="5" t="s">
        <v>190</v>
      </c>
    </row>
    <row r="635" spans="1:6" x14ac:dyDescent="0.25">
      <c r="A635" s="5">
        <v>92722</v>
      </c>
      <c r="B635" s="10">
        <v>2900</v>
      </c>
      <c r="C635" s="11" t="s">
        <v>102</v>
      </c>
      <c r="D635" s="5" t="s">
        <v>103</v>
      </c>
      <c r="E635" s="5" t="s">
        <v>189</v>
      </c>
      <c r="F635" s="5" t="s">
        <v>190</v>
      </c>
    </row>
    <row r="636" spans="1:6" x14ac:dyDescent="0.25">
      <c r="A636" s="5">
        <v>92733</v>
      </c>
      <c r="B636" s="10">
        <v>2900</v>
      </c>
      <c r="C636" s="11" t="s">
        <v>62</v>
      </c>
      <c r="D636" s="5" t="s">
        <v>63</v>
      </c>
      <c r="E636" s="5" t="s">
        <v>189</v>
      </c>
      <c r="F636" s="5" t="s">
        <v>190</v>
      </c>
    </row>
    <row r="637" spans="1:6" x14ac:dyDescent="0.25">
      <c r="A637" s="5">
        <v>92736</v>
      </c>
      <c r="B637" s="10">
        <v>2900</v>
      </c>
      <c r="C637" s="11" t="s">
        <v>96</v>
      </c>
      <c r="D637" s="5" t="s">
        <v>242</v>
      </c>
      <c r="E637" s="5" t="s">
        <v>189</v>
      </c>
      <c r="F637" s="5" t="s">
        <v>190</v>
      </c>
    </row>
    <row r="638" spans="1:6" x14ac:dyDescent="0.25">
      <c r="A638" s="5">
        <v>92737</v>
      </c>
      <c r="B638" s="10">
        <v>2900</v>
      </c>
      <c r="C638" s="11" t="s">
        <v>96</v>
      </c>
      <c r="D638" s="5" t="s">
        <v>242</v>
      </c>
      <c r="E638" s="5" t="s">
        <v>189</v>
      </c>
      <c r="F638" s="5" t="s">
        <v>190</v>
      </c>
    </row>
    <row r="639" spans="1:6" x14ac:dyDescent="0.25">
      <c r="A639" s="5">
        <v>92738</v>
      </c>
      <c r="B639" s="10">
        <v>2900</v>
      </c>
      <c r="C639" s="11" t="s">
        <v>74</v>
      </c>
      <c r="D639" s="5" t="s">
        <v>243</v>
      </c>
      <c r="E639" s="5" t="s">
        <v>189</v>
      </c>
      <c r="F639" s="5" t="s">
        <v>190</v>
      </c>
    </row>
    <row r="640" spans="1:6" x14ac:dyDescent="0.25">
      <c r="A640" s="5">
        <v>92744</v>
      </c>
      <c r="B640" s="10">
        <v>2900</v>
      </c>
      <c r="C640" s="11" t="s">
        <v>68</v>
      </c>
      <c r="D640" s="5" t="s">
        <v>69</v>
      </c>
      <c r="E640" s="5" t="s">
        <v>189</v>
      </c>
      <c r="F640" s="5" t="s">
        <v>190</v>
      </c>
    </row>
    <row r="641" spans="1:6" x14ac:dyDescent="0.25">
      <c r="A641" s="5">
        <v>92745</v>
      </c>
      <c r="B641" s="10">
        <v>2900</v>
      </c>
      <c r="C641" s="11" t="s">
        <v>96</v>
      </c>
      <c r="D641" s="5" t="s">
        <v>242</v>
      </c>
      <c r="E641" s="5" t="s">
        <v>189</v>
      </c>
      <c r="F641" s="5" t="s">
        <v>190</v>
      </c>
    </row>
    <row r="642" spans="1:6" x14ac:dyDescent="0.25">
      <c r="A642" s="5">
        <v>92749</v>
      </c>
      <c r="B642" s="10">
        <v>2900</v>
      </c>
      <c r="C642" s="11" t="s">
        <v>78</v>
      </c>
      <c r="D642" s="5" t="s">
        <v>244</v>
      </c>
      <c r="E642" s="5" t="s">
        <v>189</v>
      </c>
      <c r="F642" s="5" t="s">
        <v>190</v>
      </c>
    </row>
    <row r="643" spans="1:6" x14ac:dyDescent="0.25">
      <c r="A643" s="5">
        <v>92753</v>
      </c>
      <c r="B643" s="10">
        <v>2900</v>
      </c>
      <c r="C643" s="11" t="s">
        <v>50</v>
      </c>
      <c r="D643" s="5" t="s">
        <v>51</v>
      </c>
      <c r="E643" s="5" t="s">
        <v>189</v>
      </c>
      <c r="F643" s="5" t="s">
        <v>190</v>
      </c>
    </row>
    <row r="644" spans="1:6" x14ac:dyDescent="0.25">
      <c r="A644" s="5">
        <v>92756</v>
      </c>
      <c r="B644" s="10">
        <v>2900</v>
      </c>
      <c r="C644" s="11" t="s">
        <v>110</v>
      </c>
      <c r="D644" s="5" t="s">
        <v>111</v>
      </c>
      <c r="E644" s="5" t="s">
        <v>189</v>
      </c>
      <c r="F644" s="5" t="s">
        <v>190</v>
      </c>
    </row>
    <row r="645" spans="1:6" x14ac:dyDescent="0.25">
      <c r="A645" s="5">
        <v>92757</v>
      </c>
      <c r="B645" s="10">
        <v>2900</v>
      </c>
      <c r="C645" s="11" t="s">
        <v>96</v>
      </c>
      <c r="D645" s="5" t="s">
        <v>242</v>
      </c>
      <c r="E645" s="5" t="s">
        <v>189</v>
      </c>
      <c r="F645" s="5" t="s">
        <v>190</v>
      </c>
    </row>
    <row r="646" spans="1:6" x14ac:dyDescent="0.25">
      <c r="A646" s="5">
        <v>92762</v>
      </c>
      <c r="B646" s="10">
        <v>2900</v>
      </c>
      <c r="C646" s="11" t="s">
        <v>96</v>
      </c>
      <c r="D646" s="5" t="s">
        <v>242</v>
      </c>
      <c r="E646" s="5" t="s">
        <v>189</v>
      </c>
      <c r="F646" s="5" t="s">
        <v>190</v>
      </c>
    </row>
    <row r="647" spans="1:6" x14ac:dyDescent="0.25">
      <c r="A647" s="5">
        <v>92773</v>
      </c>
      <c r="B647" s="10">
        <v>2900</v>
      </c>
      <c r="C647" s="11" t="s">
        <v>100</v>
      </c>
      <c r="D647" s="5" t="s">
        <v>101</v>
      </c>
      <c r="E647" s="5" t="s">
        <v>189</v>
      </c>
      <c r="F647" s="5" t="s">
        <v>190</v>
      </c>
    </row>
    <row r="648" spans="1:6" x14ac:dyDescent="0.25">
      <c r="A648" s="5">
        <v>92783</v>
      </c>
      <c r="B648" s="10">
        <v>2900</v>
      </c>
      <c r="C648" s="11" t="s">
        <v>84</v>
      </c>
      <c r="D648" s="5" t="s">
        <v>247</v>
      </c>
      <c r="E648" s="5" t="s">
        <v>189</v>
      </c>
      <c r="F648" s="5" t="s">
        <v>190</v>
      </c>
    </row>
    <row r="649" spans="1:6" x14ac:dyDescent="0.25">
      <c r="A649" s="5">
        <v>92787</v>
      </c>
      <c r="B649" s="10">
        <v>2900</v>
      </c>
      <c r="C649" s="11" t="s">
        <v>96</v>
      </c>
      <c r="D649" s="5" t="s">
        <v>242</v>
      </c>
      <c r="E649" s="5" t="s">
        <v>189</v>
      </c>
      <c r="F649" s="5" t="s">
        <v>190</v>
      </c>
    </row>
    <row r="650" spans="1:6" x14ac:dyDescent="0.25">
      <c r="A650" s="5">
        <v>92789</v>
      </c>
      <c r="B650" s="10">
        <v>2900</v>
      </c>
      <c r="C650" s="11" t="s">
        <v>118</v>
      </c>
      <c r="D650" s="5" t="s">
        <v>119</v>
      </c>
      <c r="E650" s="5" t="s">
        <v>189</v>
      </c>
      <c r="F650" s="5" t="s">
        <v>190</v>
      </c>
    </row>
    <row r="651" spans="1:6" x14ac:dyDescent="0.25">
      <c r="A651" s="5">
        <v>92792</v>
      </c>
      <c r="B651" s="10">
        <v>2900</v>
      </c>
      <c r="C651" s="11" t="s">
        <v>84</v>
      </c>
      <c r="D651" s="5" t="s">
        <v>247</v>
      </c>
      <c r="E651" s="5" t="s">
        <v>189</v>
      </c>
      <c r="F651" s="5" t="s">
        <v>190</v>
      </c>
    </row>
    <row r="652" spans="1:6" x14ac:dyDescent="0.25">
      <c r="A652" s="5">
        <v>92794</v>
      </c>
      <c r="B652" s="10">
        <v>2900</v>
      </c>
      <c r="C652" s="11" t="s">
        <v>96</v>
      </c>
      <c r="D652" s="5" t="s">
        <v>242</v>
      </c>
      <c r="E652" s="5" t="s">
        <v>189</v>
      </c>
      <c r="F652" s="5" t="s">
        <v>190</v>
      </c>
    </row>
    <row r="653" spans="1:6" x14ac:dyDescent="0.25">
      <c r="A653" s="5">
        <v>92797</v>
      </c>
      <c r="B653" s="10">
        <v>2900</v>
      </c>
      <c r="C653" s="11" t="s">
        <v>96</v>
      </c>
      <c r="D653" s="5" t="s">
        <v>242</v>
      </c>
      <c r="E653" s="5" t="s">
        <v>189</v>
      </c>
      <c r="F653" s="5" t="s">
        <v>190</v>
      </c>
    </row>
    <row r="654" spans="1:6" x14ac:dyDescent="0.25">
      <c r="A654" s="5">
        <v>92800</v>
      </c>
      <c r="B654" s="10">
        <v>2900</v>
      </c>
      <c r="C654" s="11" t="s">
        <v>96</v>
      </c>
      <c r="D654" s="5" t="s">
        <v>242</v>
      </c>
      <c r="E654" s="5" t="s">
        <v>189</v>
      </c>
      <c r="F654" s="5" t="s">
        <v>190</v>
      </c>
    </row>
    <row r="655" spans="1:6" x14ac:dyDescent="0.25">
      <c r="A655" s="5">
        <v>92802</v>
      </c>
      <c r="B655" s="10">
        <v>2900</v>
      </c>
      <c r="C655" s="11" t="s">
        <v>96</v>
      </c>
      <c r="D655" s="5" t="s">
        <v>242</v>
      </c>
      <c r="E655" s="5" t="s">
        <v>189</v>
      </c>
      <c r="F655" s="5" t="s">
        <v>190</v>
      </c>
    </row>
    <row r="656" spans="1:6" x14ac:dyDescent="0.25">
      <c r="A656" s="5">
        <v>92804</v>
      </c>
      <c r="B656" s="10">
        <v>2900</v>
      </c>
      <c r="C656" s="11" t="s">
        <v>80</v>
      </c>
      <c r="D656" s="5" t="s">
        <v>249</v>
      </c>
      <c r="E656" s="5" t="s">
        <v>189</v>
      </c>
      <c r="F656" s="5" t="s">
        <v>190</v>
      </c>
    </row>
    <row r="657" spans="1:6" x14ac:dyDescent="0.25">
      <c r="A657" s="5">
        <v>92808</v>
      </c>
      <c r="B657" s="10">
        <v>2900</v>
      </c>
      <c r="C657" s="11" t="s">
        <v>62</v>
      </c>
      <c r="D657" s="5" t="s">
        <v>63</v>
      </c>
      <c r="E657" s="5" t="s">
        <v>189</v>
      </c>
      <c r="F657" s="5" t="s">
        <v>190</v>
      </c>
    </row>
    <row r="658" spans="1:6" x14ac:dyDescent="0.25">
      <c r="A658" s="5">
        <v>92811</v>
      </c>
      <c r="B658" s="10">
        <v>2900</v>
      </c>
      <c r="C658" s="11" t="s">
        <v>68</v>
      </c>
      <c r="D658" s="5" t="s">
        <v>69</v>
      </c>
      <c r="E658" s="5" t="s">
        <v>189</v>
      </c>
      <c r="F658" s="5" t="s">
        <v>190</v>
      </c>
    </row>
    <row r="659" spans="1:6" x14ac:dyDescent="0.25">
      <c r="A659" s="5">
        <v>92812</v>
      </c>
      <c r="B659" s="10">
        <v>2900</v>
      </c>
      <c r="C659" s="11" t="s">
        <v>74</v>
      </c>
      <c r="D659" s="5" t="s">
        <v>243</v>
      </c>
      <c r="E659" s="5" t="s">
        <v>189</v>
      </c>
      <c r="F659" s="5" t="s">
        <v>190</v>
      </c>
    </row>
    <row r="660" spans="1:6" x14ac:dyDescent="0.25">
      <c r="A660" s="5">
        <v>92813</v>
      </c>
      <c r="B660" s="10">
        <v>2900</v>
      </c>
      <c r="C660" s="11" t="s">
        <v>118</v>
      </c>
      <c r="D660" s="5" t="s">
        <v>119</v>
      </c>
      <c r="E660" s="5" t="s">
        <v>189</v>
      </c>
      <c r="F660" s="5" t="s">
        <v>190</v>
      </c>
    </row>
    <row r="661" spans="1:6" x14ac:dyDescent="0.25">
      <c r="A661" s="5">
        <v>92827</v>
      </c>
      <c r="B661" s="10">
        <v>2900</v>
      </c>
      <c r="C661" s="11" t="s">
        <v>102</v>
      </c>
      <c r="D661" s="5" t="s">
        <v>103</v>
      </c>
      <c r="E661" s="5" t="s">
        <v>189</v>
      </c>
      <c r="F661" s="5" t="s">
        <v>190</v>
      </c>
    </row>
    <row r="662" spans="1:6" x14ac:dyDescent="0.25">
      <c r="A662" s="5">
        <v>92831</v>
      </c>
      <c r="B662" s="10">
        <v>2900</v>
      </c>
      <c r="C662" s="11" t="s">
        <v>102</v>
      </c>
      <c r="D662" s="5" t="s">
        <v>103</v>
      </c>
      <c r="E662" s="5" t="s">
        <v>189</v>
      </c>
      <c r="F662" s="5" t="s">
        <v>190</v>
      </c>
    </row>
    <row r="663" spans="1:6" x14ac:dyDescent="0.25">
      <c r="A663" s="5">
        <v>92836</v>
      </c>
      <c r="B663" s="10">
        <v>2900</v>
      </c>
      <c r="C663" s="11" t="s">
        <v>96</v>
      </c>
      <c r="D663" s="5" t="s">
        <v>242</v>
      </c>
      <c r="E663" s="5" t="s">
        <v>189</v>
      </c>
      <c r="F663" s="5" t="s">
        <v>190</v>
      </c>
    </row>
    <row r="664" spans="1:6" x14ac:dyDescent="0.25">
      <c r="A664" s="5">
        <v>92837</v>
      </c>
      <c r="B664" s="10">
        <v>2900</v>
      </c>
      <c r="C664" s="11" t="s">
        <v>62</v>
      </c>
      <c r="D664" s="5" t="s">
        <v>63</v>
      </c>
      <c r="E664" s="5" t="s">
        <v>189</v>
      </c>
      <c r="F664" s="5" t="s">
        <v>190</v>
      </c>
    </row>
    <row r="665" spans="1:6" x14ac:dyDescent="0.25">
      <c r="A665" s="5">
        <v>92847</v>
      </c>
      <c r="B665" s="10">
        <v>2900</v>
      </c>
      <c r="C665" s="11" t="s">
        <v>64</v>
      </c>
      <c r="D665" s="5" t="s">
        <v>251</v>
      </c>
      <c r="E665" s="5" t="s">
        <v>189</v>
      </c>
      <c r="F665" s="5" t="s">
        <v>190</v>
      </c>
    </row>
    <row r="666" spans="1:6" x14ac:dyDescent="0.25">
      <c r="A666" s="5">
        <v>92848</v>
      </c>
      <c r="B666" s="10">
        <v>2900</v>
      </c>
      <c r="C666" s="11" t="s">
        <v>64</v>
      </c>
      <c r="D666" s="5" t="s">
        <v>251</v>
      </c>
      <c r="E666" s="5" t="s">
        <v>189</v>
      </c>
      <c r="F666" s="5" t="s">
        <v>190</v>
      </c>
    </row>
    <row r="667" spans="1:6" x14ac:dyDescent="0.25">
      <c r="A667" s="5">
        <v>92853</v>
      </c>
      <c r="B667" s="10">
        <v>2900</v>
      </c>
      <c r="C667" s="11" t="s">
        <v>96</v>
      </c>
      <c r="D667" s="5" t="s">
        <v>242</v>
      </c>
      <c r="E667" s="5" t="s">
        <v>189</v>
      </c>
      <c r="F667" s="5" t="s">
        <v>190</v>
      </c>
    </row>
    <row r="668" spans="1:6" x14ac:dyDescent="0.25">
      <c r="A668" s="5">
        <v>92854</v>
      </c>
      <c r="B668" s="10">
        <v>2900</v>
      </c>
      <c r="C668" s="11" t="s">
        <v>96</v>
      </c>
      <c r="D668" s="5" t="s">
        <v>242</v>
      </c>
      <c r="E668" s="5" t="s">
        <v>189</v>
      </c>
      <c r="F668" s="5" t="s">
        <v>190</v>
      </c>
    </row>
    <row r="669" spans="1:6" x14ac:dyDescent="0.25">
      <c r="A669" s="5">
        <v>92858</v>
      </c>
      <c r="B669" s="10">
        <v>2900</v>
      </c>
      <c r="C669" s="11" t="s">
        <v>96</v>
      </c>
      <c r="D669" s="5" t="s">
        <v>242</v>
      </c>
      <c r="E669" s="5" t="s">
        <v>189</v>
      </c>
      <c r="F669" s="5" t="s">
        <v>190</v>
      </c>
    </row>
    <row r="670" spans="1:6" x14ac:dyDescent="0.25">
      <c r="A670" s="5">
        <v>92859</v>
      </c>
      <c r="B670" s="10">
        <v>2900</v>
      </c>
      <c r="C670" s="11" t="s">
        <v>96</v>
      </c>
      <c r="D670" s="5" t="s">
        <v>242</v>
      </c>
      <c r="E670" s="5" t="s">
        <v>189</v>
      </c>
      <c r="F670" s="5" t="s">
        <v>190</v>
      </c>
    </row>
    <row r="671" spans="1:6" x14ac:dyDescent="0.25">
      <c r="A671" s="5">
        <v>92863</v>
      </c>
      <c r="B671" s="10">
        <v>2900</v>
      </c>
      <c r="C671" s="11" t="s">
        <v>74</v>
      </c>
      <c r="D671" s="5" t="s">
        <v>243</v>
      </c>
      <c r="E671" s="5" t="s">
        <v>189</v>
      </c>
      <c r="F671" s="5" t="s">
        <v>190</v>
      </c>
    </row>
    <row r="672" spans="1:6" x14ac:dyDescent="0.25">
      <c r="A672" s="5">
        <v>92866</v>
      </c>
      <c r="B672" s="10">
        <v>2900</v>
      </c>
      <c r="C672" s="11" t="s">
        <v>74</v>
      </c>
      <c r="D672" s="5" t="s">
        <v>243</v>
      </c>
      <c r="E672" s="5" t="s">
        <v>189</v>
      </c>
      <c r="F672" s="5" t="s">
        <v>190</v>
      </c>
    </row>
    <row r="673" spans="1:6" x14ac:dyDescent="0.25">
      <c r="A673" s="5">
        <v>92870</v>
      </c>
      <c r="B673" s="10">
        <v>2900</v>
      </c>
      <c r="C673" s="11" t="s">
        <v>74</v>
      </c>
      <c r="D673" s="5" t="s">
        <v>243</v>
      </c>
      <c r="E673" s="5" t="s">
        <v>189</v>
      </c>
      <c r="F673" s="5" t="s">
        <v>190</v>
      </c>
    </row>
    <row r="674" spans="1:6" x14ac:dyDescent="0.25">
      <c r="A674" s="5">
        <v>92876</v>
      </c>
      <c r="B674" s="10">
        <v>2900</v>
      </c>
      <c r="C674" s="11" t="s">
        <v>74</v>
      </c>
      <c r="D674" s="5" t="s">
        <v>243</v>
      </c>
      <c r="E674" s="5" t="s">
        <v>189</v>
      </c>
      <c r="F674" s="5" t="s">
        <v>190</v>
      </c>
    </row>
    <row r="675" spans="1:6" x14ac:dyDescent="0.25">
      <c r="A675" s="5">
        <v>92877</v>
      </c>
      <c r="B675" s="10">
        <v>2900</v>
      </c>
      <c r="C675" s="11" t="s">
        <v>64</v>
      </c>
      <c r="D675" s="5" t="s">
        <v>251</v>
      </c>
      <c r="E675" s="5" t="s">
        <v>189</v>
      </c>
      <c r="F675" s="5" t="s">
        <v>190</v>
      </c>
    </row>
    <row r="676" spans="1:6" x14ac:dyDescent="0.25">
      <c r="A676" s="5">
        <v>92878</v>
      </c>
      <c r="B676" s="10">
        <v>2900</v>
      </c>
      <c r="C676" s="11" t="s">
        <v>74</v>
      </c>
      <c r="D676" s="5" t="s">
        <v>243</v>
      </c>
      <c r="E676" s="5" t="s">
        <v>189</v>
      </c>
      <c r="F676" s="5" t="s">
        <v>190</v>
      </c>
    </row>
    <row r="677" spans="1:6" x14ac:dyDescent="0.25">
      <c r="A677" s="5">
        <v>92881</v>
      </c>
      <c r="B677" s="10">
        <v>2900</v>
      </c>
      <c r="C677" s="11" t="s">
        <v>96</v>
      </c>
      <c r="D677" s="5" t="s">
        <v>242</v>
      </c>
      <c r="E677" s="5" t="s">
        <v>189</v>
      </c>
      <c r="F677" s="5" t="s">
        <v>190</v>
      </c>
    </row>
    <row r="678" spans="1:6" x14ac:dyDescent="0.25">
      <c r="A678" s="5">
        <v>92895</v>
      </c>
      <c r="B678" s="10">
        <v>2900</v>
      </c>
      <c r="C678" s="11" t="s">
        <v>96</v>
      </c>
      <c r="D678" s="5" t="s">
        <v>242</v>
      </c>
      <c r="E678" s="5" t="s">
        <v>189</v>
      </c>
      <c r="F678" s="5" t="s">
        <v>190</v>
      </c>
    </row>
    <row r="679" spans="1:6" x14ac:dyDescent="0.25">
      <c r="A679" s="5">
        <v>92906</v>
      </c>
      <c r="B679" s="10">
        <v>2900</v>
      </c>
      <c r="C679" s="11" t="s">
        <v>82</v>
      </c>
      <c r="D679" s="5" t="s">
        <v>256</v>
      </c>
      <c r="E679" s="5" t="s">
        <v>189</v>
      </c>
      <c r="F679" s="5" t="s">
        <v>190</v>
      </c>
    </row>
    <row r="680" spans="1:6" x14ac:dyDescent="0.25">
      <c r="A680" s="5">
        <v>92924</v>
      </c>
      <c r="B680" s="10">
        <v>2900</v>
      </c>
      <c r="C680" s="11" t="s">
        <v>78</v>
      </c>
      <c r="D680" s="5" t="s">
        <v>244</v>
      </c>
      <c r="E680" s="5" t="s">
        <v>189</v>
      </c>
      <c r="F680" s="5" t="s">
        <v>190</v>
      </c>
    </row>
    <row r="681" spans="1:6" x14ac:dyDescent="0.25">
      <c r="A681" s="5">
        <v>92928</v>
      </c>
      <c r="B681" s="10">
        <v>2900</v>
      </c>
      <c r="C681" s="11" t="s">
        <v>96</v>
      </c>
      <c r="D681" s="5" t="s">
        <v>242</v>
      </c>
      <c r="E681" s="5" t="s">
        <v>189</v>
      </c>
      <c r="F681" s="5" t="s">
        <v>190</v>
      </c>
    </row>
    <row r="682" spans="1:6" x14ac:dyDescent="0.25">
      <c r="A682" s="5">
        <v>92929</v>
      </c>
      <c r="B682" s="10">
        <v>2900</v>
      </c>
      <c r="C682" s="11" t="s">
        <v>60</v>
      </c>
      <c r="D682" s="5" t="s">
        <v>245</v>
      </c>
      <c r="E682" s="5" t="s">
        <v>189</v>
      </c>
      <c r="F682" s="5" t="s">
        <v>190</v>
      </c>
    </row>
    <row r="683" spans="1:6" x14ac:dyDescent="0.25">
      <c r="A683" s="5">
        <v>92931</v>
      </c>
      <c r="B683" s="10">
        <v>2900</v>
      </c>
      <c r="C683" s="11" t="s">
        <v>96</v>
      </c>
      <c r="D683" s="5" t="s">
        <v>242</v>
      </c>
      <c r="E683" s="5" t="s">
        <v>189</v>
      </c>
      <c r="F683" s="5" t="s">
        <v>190</v>
      </c>
    </row>
    <row r="684" spans="1:6" x14ac:dyDescent="0.25">
      <c r="A684" s="5">
        <v>92933</v>
      </c>
      <c r="B684" s="10">
        <v>2900</v>
      </c>
      <c r="C684" s="11" t="s">
        <v>96</v>
      </c>
      <c r="D684" s="5" t="s">
        <v>242</v>
      </c>
      <c r="E684" s="5" t="s">
        <v>189</v>
      </c>
      <c r="F684" s="5" t="s">
        <v>190</v>
      </c>
    </row>
    <row r="685" spans="1:6" x14ac:dyDescent="0.25">
      <c r="A685" s="5">
        <v>92934</v>
      </c>
      <c r="B685" s="10">
        <v>2900</v>
      </c>
      <c r="C685" s="11" t="s">
        <v>100</v>
      </c>
      <c r="D685" s="5" t="s">
        <v>101</v>
      </c>
      <c r="E685" s="5" t="s">
        <v>189</v>
      </c>
      <c r="F685" s="5" t="s">
        <v>190</v>
      </c>
    </row>
    <row r="686" spans="1:6" x14ac:dyDescent="0.25">
      <c r="A686" s="5">
        <v>92939</v>
      </c>
      <c r="B686" s="10">
        <v>2900</v>
      </c>
      <c r="C686" s="11" t="s">
        <v>96</v>
      </c>
      <c r="D686" s="5" t="s">
        <v>242</v>
      </c>
      <c r="E686" s="5" t="s">
        <v>189</v>
      </c>
      <c r="F686" s="5" t="s">
        <v>190</v>
      </c>
    </row>
    <row r="687" spans="1:6" x14ac:dyDescent="0.25">
      <c r="A687" s="5">
        <v>92940</v>
      </c>
      <c r="B687" s="10">
        <v>2900</v>
      </c>
      <c r="C687" s="11" t="s">
        <v>96</v>
      </c>
      <c r="D687" s="5" t="s">
        <v>242</v>
      </c>
      <c r="E687" s="5" t="s">
        <v>189</v>
      </c>
      <c r="F687" s="5" t="s">
        <v>190</v>
      </c>
    </row>
    <row r="688" spans="1:6" x14ac:dyDescent="0.25">
      <c r="A688" s="5">
        <v>92941</v>
      </c>
      <c r="B688" s="10">
        <v>2900</v>
      </c>
      <c r="C688" s="11" t="s">
        <v>74</v>
      </c>
      <c r="D688" s="5" t="s">
        <v>243</v>
      </c>
      <c r="E688" s="5" t="s">
        <v>189</v>
      </c>
      <c r="F688" s="5" t="s">
        <v>190</v>
      </c>
    </row>
    <row r="689" spans="1:6" x14ac:dyDescent="0.25">
      <c r="A689" s="5">
        <v>92943</v>
      </c>
      <c r="B689" s="10">
        <v>2900</v>
      </c>
      <c r="C689" s="11" t="s">
        <v>60</v>
      </c>
      <c r="D689" s="5" t="s">
        <v>245</v>
      </c>
      <c r="E689" s="5" t="s">
        <v>189</v>
      </c>
      <c r="F689" s="5" t="s">
        <v>190</v>
      </c>
    </row>
    <row r="690" spans="1:6" x14ac:dyDescent="0.25">
      <c r="A690" s="5">
        <v>92954</v>
      </c>
      <c r="B690" s="10">
        <v>2900</v>
      </c>
      <c r="C690" s="11" t="s">
        <v>102</v>
      </c>
      <c r="D690" s="5" t="s">
        <v>103</v>
      </c>
      <c r="E690" s="5" t="s">
        <v>189</v>
      </c>
      <c r="F690" s="5" t="s">
        <v>190</v>
      </c>
    </row>
    <row r="691" spans="1:6" x14ac:dyDescent="0.25">
      <c r="A691" s="5">
        <v>92960</v>
      </c>
      <c r="B691" s="10">
        <v>2900</v>
      </c>
      <c r="C691" s="11" t="s">
        <v>78</v>
      </c>
      <c r="D691" s="5" t="s">
        <v>244</v>
      </c>
      <c r="E691" s="5" t="s">
        <v>189</v>
      </c>
      <c r="F691" s="5" t="s">
        <v>190</v>
      </c>
    </row>
    <row r="692" spans="1:6" x14ac:dyDescent="0.25">
      <c r="A692" s="5">
        <v>92964</v>
      </c>
      <c r="B692" s="10">
        <v>2900</v>
      </c>
      <c r="C692" s="11" t="s">
        <v>74</v>
      </c>
      <c r="D692" s="5" t="s">
        <v>243</v>
      </c>
      <c r="E692" s="5" t="s">
        <v>189</v>
      </c>
      <c r="F692" s="5" t="s">
        <v>190</v>
      </c>
    </row>
    <row r="693" spans="1:6" x14ac:dyDescent="0.25">
      <c r="A693" s="5">
        <v>92967</v>
      </c>
      <c r="B693" s="10">
        <v>2900</v>
      </c>
      <c r="C693" s="11" t="s">
        <v>74</v>
      </c>
      <c r="D693" s="5" t="s">
        <v>243</v>
      </c>
      <c r="E693" s="5" t="s">
        <v>189</v>
      </c>
      <c r="F693" s="5" t="s">
        <v>190</v>
      </c>
    </row>
    <row r="694" spans="1:6" x14ac:dyDescent="0.25">
      <c r="A694" s="5">
        <v>92972</v>
      </c>
      <c r="B694" s="10">
        <v>2900</v>
      </c>
      <c r="C694" s="11" t="s">
        <v>74</v>
      </c>
      <c r="D694" s="5" t="s">
        <v>243</v>
      </c>
      <c r="E694" s="5" t="s">
        <v>189</v>
      </c>
      <c r="F694" s="5" t="s">
        <v>190</v>
      </c>
    </row>
    <row r="695" spans="1:6" x14ac:dyDescent="0.25">
      <c r="A695" s="5">
        <v>92975</v>
      </c>
      <c r="B695" s="10">
        <v>2900</v>
      </c>
      <c r="C695" s="11" t="s">
        <v>60</v>
      </c>
      <c r="D695" s="5" t="s">
        <v>245</v>
      </c>
      <c r="E695" s="5" t="s">
        <v>189</v>
      </c>
      <c r="F695" s="5" t="s">
        <v>190</v>
      </c>
    </row>
    <row r="696" spans="1:6" x14ac:dyDescent="0.25">
      <c r="A696" s="5">
        <v>92981</v>
      </c>
      <c r="B696" s="10">
        <v>2900</v>
      </c>
      <c r="C696" s="11" t="s">
        <v>96</v>
      </c>
      <c r="D696" s="5" t="s">
        <v>242</v>
      </c>
      <c r="E696" s="5" t="s">
        <v>189</v>
      </c>
      <c r="F696" s="5" t="s">
        <v>190</v>
      </c>
    </row>
    <row r="697" spans="1:6" x14ac:dyDescent="0.25">
      <c r="A697" s="5">
        <v>92983</v>
      </c>
      <c r="B697" s="10">
        <v>2900</v>
      </c>
      <c r="C697" s="11" t="s">
        <v>74</v>
      </c>
      <c r="D697" s="5" t="s">
        <v>243</v>
      </c>
      <c r="E697" s="5" t="s">
        <v>189</v>
      </c>
      <c r="F697" s="5" t="s">
        <v>190</v>
      </c>
    </row>
    <row r="698" spans="1:6" x14ac:dyDescent="0.25">
      <c r="A698" s="5">
        <v>92991</v>
      </c>
      <c r="B698" s="10">
        <v>2900</v>
      </c>
      <c r="C698" s="11" t="s">
        <v>96</v>
      </c>
      <c r="D698" s="5" t="s">
        <v>242</v>
      </c>
      <c r="E698" s="5" t="s">
        <v>189</v>
      </c>
      <c r="F698" s="5" t="s">
        <v>190</v>
      </c>
    </row>
    <row r="699" spans="1:6" x14ac:dyDescent="0.25">
      <c r="A699" s="5">
        <v>92999</v>
      </c>
      <c r="B699" s="10">
        <v>2900</v>
      </c>
      <c r="C699" s="11" t="s">
        <v>96</v>
      </c>
      <c r="D699" s="5" t="s">
        <v>242</v>
      </c>
      <c r="E699" s="5" t="s">
        <v>189</v>
      </c>
      <c r="F699" s="5" t="s">
        <v>190</v>
      </c>
    </row>
    <row r="700" spans="1:6" x14ac:dyDescent="0.25">
      <c r="A700" s="5">
        <v>93000</v>
      </c>
      <c r="B700" s="10">
        <v>2900</v>
      </c>
      <c r="C700" s="11" t="s">
        <v>74</v>
      </c>
      <c r="D700" s="5" t="s">
        <v>243</v>
      </c>
      <c r="E700" s="5" t="s">
        <v>189</v>
      </c>
      <c r="F700" s="5" t="s">
        <v>190</v>
      </c>
    </row>
    <row r="701" spans="1:6" x14ac:dyDescent="0.25">
      <c r="A701" s="5">
        <v>93003</v>
      </c>
      <c r="B701" s="10">
        <v>2900</v>
      </c>
      <c r="C701" s="11" t="s">
        <v>74</v>
      </c>
      <c r="D701" s="5" t="s">
        <v>243</v>
      </c>
      <c r="E701" s="5" t="s">
        <v>189</v>
      </c>
      <c r="F701" s="5" t="s">
        <v>190</v>
      </c>
    </row>
    <row r="702" spans="1:6" x14ac:dyDescent="0.25">
      <c r="A702" s="5">
        <v>93007</v>
      </c>
      <c r="B702" s="10">
        <v>2900</v>
      </c>
      <c r="C702" s="11" t="s">
        <v>60</v>
      </c>
      <c r="D702" s="5" t="s">
        <v>245</v>
      </c>
      <c r="E702" s="5" t="s">
        <v>189</v>
      </c>
      <c r="F702" s="5" t="s">
        <v>190</v>
      </c>
    </row>
    <row r="703" spans="1:6" x14ac:dyDescent="0.25">
      <c r="A703" s="5">
        <v>93008</v>
      </c>
      <c r="B703" s="10">
        <v>2900</v>
      </c>
      <c r="C703" s="11" t="s">
        <v>48</v>
      </c>
      <c r="D703" s="5" t="s">
        <v>49</v>
      </c>
      <c r="E703" s="5" t="s">
        <v>189</v>
      </c>
      <c r="F703" s="5" t="s">
        <v>190</v>
      </c>
    </row>
    <row r="704" spans="1:6" x14ac:dyDescent="0.25">
      <c r="A704" s="5">
        <v>93014</v>
      </c>
      <c r="B704" s="10">
        <v>2900</v>
      </c>
      <c r="C704" s="11" t="s">
        <v>116</v>
      </c>
      <c r="D704" s="5" t="s">
        <v>117</v>
      </c>
      <c r="E704" s="5" t="s">
        <v>189</v>
      </c>
      <c r="F704" s="5" t="s">
        <v>190</v>
      </c>
    </row>
    <row r="705" spans="1:6" x14ac:dyDescent="0.25">
      <c r="A705" s="5">
        <v>93015</v>
      </c>
      <c r="B705" s="10">
        <v>2900</v>
      </c>
      <c r="C705" s="11" t="s">
        <v>116</v>
      </c>
      <c r="D705" s="5" t="s">
        <v>117</v>
      </c>
      <c r="E705" s="5" t="s">
        <v>189</v>
      </c>
      <c r="F705" s="5" t="s">
        <v>190</v>
      </c>
    </row>
    <row r="706" spans="1:6" x14ac:dyDescent="0.25">
      <c r="A706" s="5">
        <v>93016</v>
      </c>
      <c r="B706" s="10">
        <v>2900</v>
      </c>
      <c r="C706" s="11" t="s">
        <v>48</v>
      </c>
      <c r="D706" s="5" t="s">
        <v>49</v>
      </c>
      <c r="E706" s="5" t="s">
        <v>189</v>
      </c>
      <c r="F706" s="5" t="s">
        <v>190</v>
      </c>
    </row>
    <row r="707" spans="1:6" x14ac:dyDescent="0.25">
      <c r="A707" s="5">
        <v>93018</v>
      </c>
      <c r="B707" s="10">
        <v>2900</v>
      </c>
      <c r="C707" s="11" t="s">
        <v>116</v>
      </c>
      <c r="D707" s="5" t="s">
        <v>117</v>
      </c>
      <c r="E707" s="5" t="s">
        <v>189</v>
      </c>
      <c r="F707" s="5" t="s">
        <v>190</v>
      </c>
    </row>
    <row r="708" spans="1:6" x14ac:dyDescent="0.25">
      <c r="A708" s="5">
        <v>93022</v>
      </c>
      <c r="B708" s="10">
        <v>2900</v>
      </c>
      <c r="C708" s="11" t="s">
        <v>82</v>
      </c>
      <c r="D708" s="5" t="s">
        <v>256</v>
      </c>
      <c r="E708" s="5" t="s">
        <v>189</v>
      </c>
      <c r="F708" s="5" t="s">
        <v>190</v>
      </c>
    </row>
    <row r="709" spans="1:6" x14ac:dyDescent="0.25">
      <c r="A709" s="5">
        <v>93024</v>
      </c>
      <c r="B709" s="10">
        <v>2900</v>
      </c>
      <c r="C709" s="11" t="s">
        <v>96</v>
      </c>
      <c r="D709" s="5" t="s">
        <v>242</v>
      </c>
      <c r="E709" s="5" t="s">
        <v>189</v>
      </c>
      <c r="F709" s="5" t="s">
        <v>190</v>
      </c>
    </row>
    <row r="710" spans="1:6" x14ac:dyDescent="0.25">
      <c r="A710" s="5">
        <v>93025</v>
      </c>
      <c r="B710" s="10">
        <v>2900</v>
      </c>
      <c r="C710" s="11" t="s">
        <v>38</v>
      </c>
      <c r="D710" s="5" t="s">
        <v>246</v>
      </c>
      <c r="E710" s="5" t="s">
        <v>189</v>
      </c>
      <c r="F710" s="5" t="s">
        <v>190</v>
      </c>
    </row>
    <row r="711" spans="1:6" x14ac:dyDescent="0.25">
      <c r="A711" s="5">
        <v>93029</v>
      </c>
      <c r="B711" s="10">
        <v>2900</v>
      </c>
      <c r="C711" s="11" t="s">
        <v>116</v>
      </c>
      <c r="D711" s="5" t="s">
        <v>117</v>
      </c>
      <c r="E711" s="5" t="s">
        <v>189</v>
      </c>
      <c r="F711" s="5" t="s">
        <v>190</v>
      </c>
    </row>
    <row r="712" spans="1:6" x14ac:dyDescent="0.25">
      <c r="A712" s="5">
        <v>93030</v>
      </c>
      <c r="B712" s="10">
        <v>2900</v>
      </c>
      <c r="C712" s="11" t="s">
        <v>62</v>
      </c>
      <c r="D712" s="5" t="s">
        <v>63</v>
      </c>
      <c r="E712" s="5" t="s">
        <v>189</v>
      </c>
      <c r="F712" s="5" t="s">
        <v>190</v>
      </c>
    </row>
    <row r="713" spans="1:6" x14ac:dyDescent="0.25">
      <c r="A713" s="5">
        <v>93033</v>
      </c>
      <c r="B713" s="10">
        <v>2900</v>
      </c>
      <c r="C713" s="11" t="s">
        <v>48</v>
      </c>
      <c r="D713" s="5" t="s">
        <v>49</v>
      </c>
      <c r="E713" s="5" t="s">
        <v>189</v>
      </c>
      <c r="F713" s="5" t="s">
        <v>190</v>
      </c>
    </row>
    <row r="714" spans="1:6" x14ac:dyDescent="0.25">
      <c r="A714" s="5">
        <v>93037</v>
      </c>
      <c r="B714" s="10">
        <v>2900</v>
      </c>
      <c r="C714" s="11" t="s">
        <v>110</v>
      </c>
      <c r="D714" s="5" t="s">
        <v>111</v>
      </c>
      <c r="E714" s="5" t="s">
        <v>189</v>
      </c>
      <c r="F714" s="5" t="s">
        <v>190</v>
      </c>
    </row>
    <row r="715" spans="1:6" x14ac:dyDescent="0.25">
      <c r="A715" s="5">
        <v>93038</v>
      </c>
      <c r="B715" s="10">
        <v>2900</v>
      </c>
      <c r="C715" s="11" t="s">
        <v>110</v>
      </c>
      <c r="D715" s="5" t="s">
        <v>111</v>
      </c>
      <c r="E715" s="5" t="s">
        <v>189</v>
      </c>
      <c r="F715" s="5" t="s">
        <v>190</v>
      </c>
    </row>
    <row r="716" spans="1:6" x14ac:dyDescent="0.25">
      <c r="A716" s="5">
        <v>93039</v>
      </c>
      <c r="B716" s="10">
        <v>2900</v>
      </c>
      <c r="C716" s="11" t="s">
        <v>60</v>
      </c>
      <c r="D716" s="5" t="s">
        <v>245</v>
      </c>
      <c r="E716" s="5" t="s">
        <v>189</v>
      </c>
      <c r="F716" s="5" t="s">
        <v>190</v>
      </c>
    </row>
    <row r="717" spans="1:6" x14ac:dyDescent="0.25">
      <c r="A717" s="5">
        <v>93040</v>
      </c>
      <c r="B717" s="10">
        <v>2900</v>
      </c>
      <c r="C717" s="11" t="s">
        <v>82</v>
      </c>
      <c r="D717" s="5" t="s">
        <v>256</v>
      </c>
      <c r="E717" s="5" t="s">
        <v>189</v>
      </c>
      <c r="F717" s="5" t="s">
        <v>190</v>
      </c>
    </row>
    <row r="718" spans="1:6" x14ac:dyDescent="0.25">
      <c r="A718" s="5">
        <v>93043</v>
      </c>
      <c r="B718" s="10">
        <v>2900</v>
      </c>
      <c r="C718" s="11" t="s">
        <v>48</v>
      </c>
      <c r="D718" s="5" t="s">
        <v>49</v>
      </c>
      <c r="E718" s="5" t="s">
        <v>189</v>
      </c>
      <c r="F718" s="5" t="s">
        <v>190</v>
      </c>
    </row>
    <row r="719" spans="1:6" x14ac:dyDescent="0.25">
      <c r="A719" s="5">
        <v>93054</v>
      </c>
      <c r="B719" s="10">
        <v>2900</v>
      </c>
      <c r="C719" s="11" t="s">
        <v>74</v>
      </c>
      <c r="D719" s="5" t="s">
        <v>243</v>
      </c>
      <c r="E719" s="5" t="s">
        <v>189</v>
      </c>
      <c r="F719" s="5" t="s">
        <v>190</v>
      </c>
    </row>
    <row r="720" spans="1:6" x14ac:dyDescent="0.25">
      <c r="A720" s="5">
        <v>93056</v>
      </c>
      <c r="B720" s="10">
        <v>2900</v>
      </c>
      <c r="C720" s="11" t="s">
        <v>74</v>
      </c>
      <c r="D720" s="5" t="s">
        <v>243</v>
      </c>
      <c r="E720" s="5" t="s">
        <v>189</v>
      </c>
      <c r="F720" s="5" t="s">
        <v>190</v>
      </c>
    </row>
    <row r="721" spans="1:6" x14ac:dyDescent="0.25">
      <c r="A721" s="5">
        <v>93062</v>
      </c>
      <c r="B721" s="10">
        <v>2900</v>
      </c>
      <c r="C721" s="11" t="s">
        <v>48</v>
      </c>
      <c r="D721" s="5" t="s">
        <v>49</v>
      </c>
      <c r="E721" s="5" t="s">
        <v>189</v>
      </c>
      <c r="F721" s="5" t="s">
        <v>190</v>
      </c>
    </row>
    <row r="722" spans="1:6" x14ac:dyDescent="0.25">
      <c r="A722" s="5">
        <v>93070</v>
      </c>
      <c r="B722" s="10">
        <v>2900</v>
      </c>
      <c r="C722" s="11" t="s">
        <v>52</v>
      </c>
      <c r="D722" s="5" t="s">
        <v>252</v>
      </c>
      <c r="E722" s="5" t="s">
        <v>189</v>
      </c>
      <c r="F722" s="5" t="s">
        <v>190</v>
      </c>
    </row>
    <row r="723" spans="1:6" x14ac:dyDescent="0.25">
      <c r="A723" s="5">
        <v>93071</v>
      </c>
      <c r="B723" s="10">
        <v>2900</v>
      </c>
      <c r="C723" s="11" t="s">
        <v>84</v>
      </c>
      <c r="D723" s="5" t="s">
        <v>247</v>
      </c>
      <c r="E723" s="5" t="s">
        <v>189</v>
      </c>
      <c r="F723" s="5" t="s">
        <v>190</v>
      </c>
    </row>
    <row r="724" spans="1:6" x14ac:dyDescent="0.25">
      <c r="A724" s="5">
        <v>93077</v>
      </c>
      <c r="B724" s="10">
        <v>2900</v>
      </c>
      <c r="C724" s="11" t="s">
        <v>96</v>
      </c>
      <c r="D724" s="5" t="s">
        <v>242</v>
      </c>
      <c r="E724" s="5" t="s">
        <v>189</v>
      </c>
      <c r="F724" s="5" t="s">
        <v>190</v>
      </c>
    </row>
    <row r="725" spans="1:6" x14ac:dyDescent="0.25">
      <c r="A725" s="5">
        <v>93080</v>
      </c>
      <c r="B725" s="10">
        <v>2900</v>
      </c>
      <c r="C725" s="11" t="s">
        <v>118</v>
      </c>
      <c r="D725" s="5" t="s">
        <v>119</v>
      </c>
      <c r="E725" s="5" t="s">
        <v>189</v>
      </c>
      <c r="F725" s="5" t="s">
        <v>190</v>
      </c>
    </row>
    <row r="726" spans="1:6" x14ac:dyDescent="0.25">
      <c r="A726" s="5">
        <v>93087</v>
      </c>
      <c r="B726" s="10">
        <v>2900</v>
      </c>
      <c r="C726" s="11" t="s">
        <v>96</v>
      </c>
      <c r="D726" s="5" t="s">
        <v>242</v>
      </c>
      <c r="E726" s="5" t="s">
        <v>189</v>
      </c>
      <c r="F726" s="5" t="s">
        <v>190</v>
      </c>
    </row>
    <row r="727" spans="1:6" x14ac:dyDescent="0.25">
      <c r="A727" s="5">
        <v>93099</v>
      </c>
      <c r="B727" s="10">
        <v>2900</v>
      </c>
      <c r="C727" s="11" t="s">
        <v>74</v>
      </c>
      <c r="D727" s="5" t="s">
        <v>243</v>
      </c>
      <c r="E727" s="5" t="s">
        <v>189</v>
      </c>
      <c r="F727" s="5" t="s">
        <v>190</v>
      </c>
    </row>
    <row r="728" spans="1:6" x14ac:dyDescent="0.25">
      <c r="A728" s="5">
        <v>93105</v>
      </c>
      <c r="B728" s="10">
        <v>2900</v>
      </c>
      <c r="C728" s="11" t="s">
        <v>74</v>
      </c>
      <c r="D728" s="5" t="s">
        <v>243</v>
      </c>
      <c r="E728" s="5" t="s">
        <v>189</v>
      </c>
      <c r="F728" s="5" t="s">
        <v>190</v>
      </c>
    </row>
    <row r="729" spans="1:6" x14ac:dyDescent="0.25">
      <c r="A729" s="5">
        <v>93110</v>
      </c>
      <c r="B729" s="10">
        <v>2900</v>
      </c>
      <c r="C729" s="11" t="s">
        <v>74</v>
      </c>
      <c r="D729" s="5" t="s">
        <v>243</v>
      </c>
      <c r="E729" s="5" t="s">
        <v>189</v>
      </c>
      <c r="F729" s="5" t="s">
        <v>190</v>
      </c>
    </row>
    <row r="730" spans="1:6" x14ac:dyDescent="0.25">
      <c r="A730" s="5">
        <v>93112</v>
      </c>
      <c r="B730" s="10">
        <v>2900</v>
      </c>
      <c r="C730" s="11" t="s">
        <v>74</v>
      </c>
      <c r="D730" s="5" t="s">
        <v>243</v>
      </c>
      <c r="E730" s="5" t="s">
        <v>189</v>
      </c>
      <c r="F730" s="5" t="s">
        <v>190</v>
      </c>
    </row>
    <row r="731" spans="1:6" x14ac:dyDescent="0.25">
      <c r="A731" s="5">
        <v>93113</v>
      </c>
      <c r="B731" s="10">
        <v>2900</v>
      </c>
      <c r="C731" s="11" t="s">
        <v>74</v>
      </c>
      <c r="D731" s="5" t="s">
        <v>243</v>
      </c>
      <c r="E731" s="5" t="s">
        <v>189</v>
      </c>
      <c r="F731" s="5" t="s">
        <v>190</v>
      </c>
    </row>
    <row r="732" spans="1:6" x14ac:dyDescent="0.25">
      <c r="A732" s="5">
        <v>93118</v>
      </c>
      <c r="B732" s="10">
        <v>2900</v>
      </c>
      <c r="C732" s="11" t="s">
        <v>96</v>
      </c>
      <c r="D732" s="5" t="s">
        <v>242</v>
      </c>
      <c r="E732" s="5" t="s">
        <v>189</v>
      </c>
      <c r="F732" s="5" t="s">
        <v>190</v>
      </c>
    </row>
    <row r="733" spans="1:6" x14ac:dyDescent="0.25">
      <c r="A733" s="5">
        <v>93122</v>
      </c>
      <c r="B733" s="10">
        <v>2900</v>
      </c>
      <c r="C733" s="11" t="s">
        <v>74</v>
      </c>
      <c r="D733" s="5" t="s">
        <v>243</v>
      </c>
      <c r="E733" s="5" t="s">
        <v>189</v>
      </c>
      <c r="F733" s="5" t="s">
        <v>190</v>
      </c>
    </row>
    <row r="734" spans="1:6" x14ac:dyDescent="0.25">
      <c r="A734" s="5">
        <v>93124</v>
      </c>
      <c r="B734" s="10">
        <v>2900</v>
      </c>
      <c r="C734" s="11" t="s">
        <v>74</v>
      </c>
      <c r="D734" s="5" t="s">
        <v>243</v>
      </c>
      <c r="E734" s="5" t="s">
        <v>189</v>
      </c>
      <c r="F734" s="5" t="s">
        <v>190</v>
      </c>
    </row>
    <row r="735" spans="1:6" x14ac:dyDescent="0.25">
      <c r="A735" s="5">
        <v>93137</v>
      </c>
      <c r="B735" s="10">
        <v>2900</v>
      </c>
      <c r="C735" s="11" t="s">
        <v>96</v>
      </c>
      <c r="D735" s="5" t="s">
        <v>242</v>
      </c>
      <c r="E735" s="5" t="s">
        <v>189</v>
      </c>
      <c r="F735" s="5" t="s">
        <v>190</v>
      </c>
    </row>
    <row r="736" spans="1:6" x14ac:dyDescent="0.25">
      <c r="A736" s="5">
        <v>93140</v>
      </c>
      <c r="B736" s="10">
        <v>2900</v>
      </c>
      <c r="C736" s="11" t="s">
        <v>80</v>
      </c>
      <c r="D736" s="5" t="s">
        <v>249</v>
      </c>
      <c r="E736" s="5" t="s">
        <v>189</v>
      </c>
      <c r="F736" s="5" t="s">
        <v>190</v>
      </c>
    </row>
    <row r="737" spans="1:6" x14ac:dyDescent="0.25">
      <c r="A737" s="5">
        <v>93141</v>
      </c>
      <c r="B737" s="10">
        <v>2900</v>
      </c>
      <c r="C737" s="11" t="s">
        <v>118</v>
      </c>
      <c r="D737" s="5" t="s">
        <v>119</v>
      </c>
      <c r="E737" s="5" t="s">
        <v>189</v>
      </c>
      <c r="F737" s="5" t="s">
        <v>190</v>
      </c>
    </row>
    <row r="738" spans="1:6" x14ac:dyDescent="0.25">
      <c r="A738" s="5">
        <v>93144</v>
      </c>
      <c r="B738" s="10">
        <v>2900</v>
      </c>
      <c r="C738" s="11" t="s">
        <v>74</v>
      </c>
      <c r="D738" s="5" t="s">
        <v>243</v>
      </c>
      <c r="E738" s="5" t="s">
        <v>189</v>
      </c>
      <c r="F738" s="5" t="s">
        <v>190</v>
      </c>
    </row>
    <row r="739" spans="1:6" x14ac:dyDescent="0.25">
      <c r="A739" s="5">
        <v>93145</v>
      </c>
      <c r="B739" s="10">
        <v>2900</v>
      </c>
      <c r="C739" s="11" t="s">
        <v>74</v>
      </c>
      <c r="D739" s="5" t="s">
        <v>243</v>
      </c>
      <c r="E739" s="5" t="s">
        <v>189</v>
      </c>
      <c r="F739" s="5" t="s">
        <v>190</v>
      </c>
    </row>
    <row r="740" spans="1:6" x14ac:dyDescent="0.25">
      <c r="A740" s="5">
        <v>93150</v>
      </c>
      <c r="B740" s="10">
        <v>2900</v>
      </c>
      <c r="C740" s="11" t="s">
        <v>78</v>
      </c>
      <c r="D740" s="5" t="s">
        <v>244</v>
      </c>
      <c r="E740" s="5" t="s">
        <v>189</v>
      </c>
      <c r="F740" s="5" t="s">
        <v>190</v>
      </c>
    </row>
    <row r="741" spans="1:6" x14ac:dyDescent="0.25">
      <c r="A741" s="5">
        <v>93152</v>
      </c>
      <c r="B741" s="10">
        <v>2900</v>
      </c>
      <c r="C741" s="11" t="s">
        <v>110</v>
      </c>
      <c r="D741" s="5" t="s">
        <v>111</v>
      </c>
      <c r="E741" s="5" t="s">
        <v>189</v>
      </c>
      <c r="F741" s="5" t="s">
        <v>190</v>
      </c>
    </row>
    <row r="742" spans="1:6" x14ac:dyDescent="0.25">
      <c r="A742" s="5">
        <v>93154</v>
      </c>
      <c r="B742" s="10">
        <v>2900</v>
      </c>
      <c r="C742" s="11" t="s">
        <v>74</v>
      </c>
      <c r="D742" s="5" t="s">
        <v>243</v>
      </c>
      <c r="E742" s="5" t="s">
        <v>189</v>
      </c>
      <c r="F742" s="5" t="s">
        <v>190</v>
      </c>
    </row>
    <row r="743" spans="1:6" x14ac:dyDescent="0.25">
      <c r="A743" s="5">
        <v>93155</v>
      </c>
      <c r="B743" s="10">
        <v>2900</v>
      </c>
      <c r="C743" s="11" t="s">
        <v>74</v>
      </c>
      <c r="D743" s="5" t="s">
        <v>243</v>
      </c>
      <c r="E743" s="5" t="s">
        <v>189</v>
      </c>
      <c r="F743" s="5" t="s">
        <v>190</v>
      </c>
    </row>
    <row r="744" spans="1:6" x14ac:dyDescent="0.25">
      <c r="A744" s="5">
        <v>93156</v>
      </c>
      <c r="B744" s="10">
        <v>2900</v>
      </c>
      <c r="C744" s="11" t="s">
        <v>74</v>
      </c>
      <c r="D744" s="5" t="s">
        <v>243</v>
      </c>
      <c r="E744" s="5" t="s">
        <v>189</v>
      </c>
      <c r="F744" s="5" t="s">
        <v>190</v>
      </c>
    </row>
    <row r="745" spans="1:6" x14ac:dyDescent="0.25">
      <c r="A745" s="5">
        <v>93157</v>
      </c>
      <c r="B745" s="10">
        <v>2900</v>
      </c>
      <c r="C745" s="11" t="s">
        <v>78</v>
      </c>
      <c r="D745" s="5" t="s">
        <v>244</v>
      </c>
      <c r="E745" s="5" t="s">
        <v>189</v>
      </c>
      <c r="F745" s="5" t="s">
        <v>190</v>
      </c>
    </row>
    <row r="746" spans="1:6" x14ac:dyDescent="0.25">
      <c r="A746" s="5">
        <v>93164</v>
      </c>
      <c r="B746" s="10">
        <v>2900</v>
      </c>
      <c r="C746" s="11" t="s">
        <v>74</v>
      </c>
      <c r="D746" s="5" t="s">
        <v>243</v>
      </c>
      <c r="E746" s="5" t="s">
        <v>189</v>
      </c>
      <c r="F746" s="5" t="s">
        <v>190</v>
      </c>
    </row>
    <row r="747" spans="1:6" x14ac:dyDescent="0.25">
      <c r="A747" s="5">
        <v>93166</v>
      </c>
      <c r="B747" s="10">
        <v>2900</v>
      </c>
      <c r="C747" s="11" t="s">
        <v>74</v>
      </c>
      <c r="D747" s="5" t="s">
        <v>243</v>
      </c>
      <c r="E747" s="5" t="s">
        <v>189</v>
      </c>
      <c r="F747" s="5" t="s">
        <v>190</v>
      </c>
    </row>
    <row r="748" spans="1:6" x14ac:dyDescent="0.25">
      <c r="A748" s="5">
        <v>93169</v>
      </c>
      <c r="B748" s="10">
        <v>2900</v>
      </c>
      <c r="C748" s="11" t="s">
        <v>116</v>
      </c>
      <c r="D748" s="5" t="s">
        <v>117</v>
      </c>
      <c r="E748" s="5" t="s">
        <v>189</v>
      </c>
      <c r="F748" s="5" t="s">
        <v>190</v>
      </c>
    </row>
    <row r="749" spans="1:6" x14ac:dyDescent="0.25">
      <c r="A749" s="5">
        <v>93171</v>
      </c>
      <c r="B749" s="10">
        <v>2900</v>
      </c>
      <c r="C749" s="11" t="s">
        <v>102</v>
      </c>
      <c r="D749" s="5" t="s">
        <v>103</v>
      </c>
      <c r="E749" s="5" t="s">
        <v>189</v>
      </c>
      <c r="F749" s="5" t="s">
        <v>190</v>
      </c>
    </row>
    <row r="750" spans="1:6" x14ac:dyDescent="0.25">
      <c r="A750" s="5">
        <v>93173</v>
      </c>
      <c r="B750" s="10">
        <v>2900</v>
      </c>
      <c r="C750" s="11" t="s">
        <v>74</v>
      </c>
      <c r="D750" s="5" t="s">
        <v>243</v>
      </c>
      <c r="E750" s="5" t="s">
        <v>189</v>
      </c>
      <c r="F750" s="5" t="s">
        <v>190</v>
      </c>
    </row>
    <row r="751" spans="1:6" x14ac:dyDescent="0.25">
      <c r="A751" s="5">
        <v>93181</v>
      </c>
      <c r="B751" s="10">
        <v>2900</v>
      </c>
      <c r="C751" s="11" t="s">
        <v>116</v>
      </c>
      <c r="D751" s="5" t="s">
        <v>117</v>
      </c>
      <c r="E751" s="5" t="s">
        <v>189</v>
      </c>
      <c r="F751" s="5" t="s">
        <v>190</v>
      </c>
    </row>
    <row r="752" spans="1:6" x14ac:dyDescent="0.25">
      <c r="A752" s="5">
        <v>93191</v>
      </c>
      <c r="B752" s="10">
        <v>2900</v>
      </c>
      <c r="C752" s="11" t="s">
        <v>96</v>
      </c>
      <c r="D752" s="5" t="s">
        <v>242</v>
      </c>
      <c r="E752" s="5" t="s">
        <v>189</v>
      </c>
      <c r="F752" s="5" t="s">
        <v>190</v>
      </c>
    </row>
    <row r="753" spans="1:6" x14ac:dyDescent="0.25">
      <c r="A753" s="5">
        <v>93192</v>
      </c>
      <c r="B753" s="10">
        <v>2900</v>
      </c>
      <c r="C753" s="11" t="s">
        <v>64</v>
      </c>
      <c r="D753" s="5" t="s">
        <v>251</v>
      </c>
      <c r="E753" s="5" t="s">
        <v>189</v>
      </c>
      <c r="F753" s="5" t="s">
        <v>190</v>
      </c>
    </row>
    <row r="754" spans="1:6" x14ac:dyDescent="0.25">
      <c r="A754" s="5">
        <v>93201</v>
      </c>
      <c r="B754" s="10">
        <v>2900</v>
      </c>
      <c r="C754" s="11" t="s">
        <v>96</v>
      </c>
      <c r="D754" s="5" t="s">
        <v>242</v>
      </c>
      <c r="E754" s="5" t="s">
        <v>189</v>
      </c>
      <c r="F754" s="5" t="s">
        <v>190</v>
      </c>
    </row>
    <row r="755" spans="1:6" x14ac:dyDescent="0.25">
      <c r="A755" s="5">
        <v>93202</v>
      </c>
      <c r="B755" s="10">
        <v>2900</v>
      </c>
      <c r="C755" s="11" t="s">
        <v>96</v>
      </c>
      <c r="D755" s="5" t="s">
        <v>242</v>
      </c>
      <c r="E755" s="5" t="s">
        <v>189</v>
      </c>
      <c r="F755" s="5" t="s">
        <v>190</v>
      </c>
    </row>
    <row r="756" spans="1:6" x14ac:dyDescent="0.25">
      <c r="A756" s="5">
        <v>93207</v>
      </c>
      <c r="B756" s="10">
        <v>2900</v>
      </c>
      <c r="C756" s="11" t="s">
        <v>96</v>
      </c>
      <c r="D756" s="5" t="s">
        <v>242</v>
      </c>
      <c r="E756" s="5" t="s">
        <v>189</v>
      </c>
      <c r="F756" s="5" t="s">
        <v>190</v>
      </c>
    </row>
    <row r="757" spans="1:6" x14ac:dyDescent="0.25">
      <c r="A757" s="5">
        <v>93209</v>
      </c>
      <c r="B757" s="10">
        <v>2900</v>
      </c>
      <c r="C757" s="11" t="s">
        <v>82</v>
      </c>
      <c r="D757" s="5" t="s">
        <v>256</v>
      </c>
      <c r="E757" s="5" t="s">
        <v>189</v>
      </c>
      <c r="F757" s="5" t="s">
        <v>190</v>
      </c>
    </row>
    <row r="758" spans="1:6" x14ac:dyDescent="0.25">
      <c r="A758" s="5">
        <v>93212</v>
      </c>
      <c r="B758" s="10">
        <v>2900</v>
      </c>
      <c r="C758" s="11" t="s">
        <v>52</v>
      </c>
      <c r="D758" s="5" t="s">
        <v>252</v>
      </c>
      <c r="E758" s="5" t="s">
        <v>189</v>
      </c>
      <c r="F758" s="5" t="s">
        <v>190</v>
      </c>
    </row>
    <row r="759" spans="1:6" x14ac:dyDescent="0.25">
      <c r="A759" s="5">
        <v>93217</v>
      </c>
      <c r="B759" s="10">
        <v>2900</v>
      </c>
      <c r="C759" s="11" t="s">
        <v>96</v>
      </c>
      <c r="D759" s="5" t="s">
        <v>242</v>
      </c>
      <c r="E759" s="5" t="s">
        <v>189</v>
      </c>
      <c r="F759" s="5" t="s">
        <v>190</v>
      </c>
    </row>
    <row r="760" spans="1:6" x14ac:dyDescent="0.25">
      <c r="A760" s="5">
        <v>93221</v>
      </c>
      <c r="B760" s="10">
        <v>2900</v>
      </c>
      <c r="C760" s="11" t="s">
        <v>78</v>
      </c>
      <c r="D760" s="5" t="s">
        <v>244</v>
      </c>
      <c r="E760" s="5" t="s">
        <v>189</v>
      </c>
      <c r="F760" s="5" t="s">
        <v>190</v>
      </c>
    </row>
    <row r="761" spans="1:6" x14ac:dyDescent="0.25">
      <c r="A761" s="5">
        <v>93223</v>
      </c>
      <c r="B761" s="10">
        <v>2900</v>
      </c>
      <c r="C761" s="11" t="s">
        <v>50</v>
      </c>
      <c r="D761" s="5" t="s">
        <v>51</v>
      </c>
      <c r="E761" s="5" t="s">
        <v>189</v>
      </c>
      <c r="F761" s="5" t="s">
        <v>190</v>
      </c>
    </row>
    <row r="762" spans="1:6" x14ac:dyDescent="0.25">
      <c r="A762" s="5">
        <v>93240</v>
      </c>
      <c r="B762" s="10">
        <v>2900</v>
      </c>
      <c r="C762" s="11" t="s">
        <v>96</v>
      </c>
      <c r="D762" s="5" t="s">
        <v>242</v>
      </c>
      <c r="E762" s="5" t="s">
        <v>189</v>
      </c>
      <c r="F762" s="5" t="s">
        <v>190</v>
      </c>
    </row>
    <row r="763" spans="1:6" x14ac:dyDescent="0.25">
      <c r="A763" s="5">
        <v>93243</v>
      </c>
      <c r="B763" s="10">
        <v>2900</v>
      </c>
      <c r="C763" s="11" t="s">
        <v>64</v>
      </c>
      <c r="D763" s="5" t="s">
        <v>251</v>
      </c>
      <c r="E763" s="5" t="s">
        <v>189</v>
      </c>
      <c r="F763" s="5" t="s">
        <v>190</v>
      </c>
    </row>
    <row r="764" spans="1:6" x14ac:dyDescent="0.25">
      <c r="A764" s="5">
        <v>93248</v>
      </c>
      <c r="B764" s="10">
        <v>2900</v>
      </c>
      <c r="C764" s="11" t="s">
        <v>86</v>
      </c>
      <c r="D764" s="5" t="s">
        <v>87</v>
      </c>
      <c r="E764" s="5" t="s">
        <v>189</v>
      </c>
      <c r="F764" s="5" t="s">
        <v>190</v>
      </c>
    </row>
    <row r="765" spans="1:6" x14ac:dyDescent="0.25">
      <c r="A765" s="5">
        <v>93251</v>
      </c>
      <c r="B765" s="10">
        <v>2900</v>
      </c>
      <c r="C765" s="11" t="s">
        <v>86</v>
      </c>
      <c r="D765" s="5" t="s">
        <v>87</v>
      </c>
      <c r="E765" s="5" t="s">
        <v>189</v>
      </c>
      <c r="F765" s="5" t="s">
        <v>190</v>
      </c>
    </row>
    <row r="766" spans="1:6" x14ac:dyDescent="0.25">
      <c r="A766" s="5">
        <v>93259</v>
      </c>
      <c r="B766" s="10">
        <v>2900</v>
      </c>
      <c r="C766" s="11" t="s">
        <v>86</v>
      </c>
      <c r="D766" s="5" t="s">
        <v>87</v>
      </c>
      <c r="E766" s="5" t="s">
        <v>189</v>
      </c>
      <c r="F766" s="5" t="s">
        <v>190</v>
      </c>
    </row>
    <row r="767" spans="1:6" x14ac:dyDescent="0.25">
      <c r="A767" s="5">
        <v>93265</v>
      </c>
      <c r="B767" s="10">
        <v>2900</v>
      </c>
      <c r="C767" s="11" t="s">
        <v>78</v>
      </c>
      <c r="D767" s="5" t="s">
        <v>244</v>
      </c>
      <c r="E767" s="5" t="s">
        <v>189</v>
      </c>
      <c r="F767" s="5" t="s">
        <v>190</v>
      </c>
    </row>
    <row r="768" spans="1:6" x14ac:dyDescent="0.25">
      <c r="A768" s="5">
        <v>93270</v>
      </c>
      <c r="B768" s="10">
        <v>2900</v>
      </c>
      <c r="C768" s="11" t="s">
        <v>110</v>
      </c>
      <c r="D768" s="5" t="s">
        <v>111</v>
      </c>
      <c r="E768" s="5" t="s">
        <v>189</v>
      </c>
      <c r="F768" s="5" t="s">
        <v>190</v>
      </c>
    </row>
    <row r="769" spans="1:6" x14ac:dyDescent="0.25">
      <c r="A769" s="5">
        <v>93274</v>
      </c>
      <c r="B769" s="10">
        <v>2900</v>
      </c>
      <c r="C769" s="11" t="s">
        <v>86</v>
      </c>
      <c r="D769" s="5" t="s">
        <v>87</v>
      </c>
      <c r="E769" s="5" t="s">
        <v>189</v>
      </c>
      <c r="F769" s="5" t="s">
        <v>190</v>
      </c>
    </row>
    <row r="770" spans="1:6" x14ac:dyDescent="0.25">
      <c r="A770" s="5">
        <v>93278</v>
      </c>
      <c r="B770" s="10">
        <v>2900</v>
      </c>
      <c r="C770" s="11" t="s">
        <v>38</v>
      </c>
      <c r="D770" s="5" t="s">
        <v>246</v>
      </c>
      <c r="E770" s="5" t="s">
        <v>189</v>
      </c>
      <c r="F770" s="5" t="s">
        <v>190</v>
      </c>
    </row>
    <row r="771" spans="1:6" x14ac:dyDescent="0.25">
      <c r="A771" s="5">
        <v>93281</v>
      </c>
      <c r="B771" s="10">
        <v>2900</v>
      </c>
      <c r="C771" s="11" t="s">
        <v>100</v>
      </c>
      <c r="D771" s="5" t="s">
        <v>101</v>
      </c>
      <c r="E771" s="5" t="s">
        <v>189</v>
      </c>
      <c r="F771" s="5" t="s">
        <v>190</v>
      </c>
    </row>
    <row r="772" spans="1:6" x14ac:dyDescent="0.25">
      <c r="A772" s="5">
        <v>93283</v>
      </c>
      <c r="B772" s="10">
        <v>2900</v>
      </c>
      <c r="C772" s="11" t="s">
        <v>74</v>
      </c>
      <c r="D772" s="5" t="s">
        <v>243</v>
      </c>
      <c r="E772" s="5" t="s">
        <v>189</v>
      </c>
      <c r="F772" s="5" t="s">
        <v>190</v>
      </c>
    </row>
    <row r="773" spans="1:6" x14ac:dyDescent="0.25">
      <c r="A773" s="5">
        <v>93284</v>
      </c>
      <c r="B773" s="10">
        <v>2900</v>
      </c>
      <c r="C773" s="11" t="s">
        <v>100</v>
      </c>
      <c r="D773" s="5" t="s">
        <v>101</v>
      </c>
      <c r="E773" s="5" t="s">
        <v>189</v>
      </c>
      <c r="F773" s="5" t="s">
        <v>190</v>
      </c>
    </row>
    <row r="774" spans="1:6" x14ac:dyDescent="0.25">
      <c r="A774" s="5">
        <v>93285</v>
      </c>
      <c r="B774" s="10">
        <v>2900</v>
      </c>
      <c r="C774" s="11" t="s">
        <v>100</v>
      </c>
      <c r="D774" s="5" t="s">
        <v>101</v>
      </c>
      <c r="E774" s="5" t="s">
        <v>189</v>
      </c>
      <c r="F774" s="5" t="s">
        <v>190</v>
      </c>
    </row>
    <row r="775" spans="1:6" x14ac:dyDescent="0.25">
      <c r="A775" s="5">
        <v>93287</v>
      </c>
      <c r="B775" s="10">
        <v>2900</v>
      </c>
      <c r="C775" s="11" t="s">
        <v>60</v>
      </c>
      <c r="D775" s="5" t="s">
        <v>245</v>
      </c>
      <c r="E775" s="5" t="s">
        <v>189</v>
      </c>
      <c r="F775" s="5" t="s">
        <v>190</v>
      </c>
    </row>
    <row r="776" spans="1:6" x14ac:dyDescent="0.25">
      <c r="A776" s="5">
        <v>93295</v>
      </c>
      <c r="B776" s="10">
        <v>2900</v>
      </c>
      <c r="C776" s="11" t="s">
        <v>96</v>
      </c>
      <c r="D776" s="5" t="s">
        <v>242</v>
      </c>
      <c r="E776" s="5" t="s">
        <v>189</v>
      </c>
      <c r="F776" s="5" t="s">
        <v>190</v>
      </c>
    </row>
    <row r="777" spans="1:6" x14ac:dyDescent="0.25">
      <c r="A777" s="5">
        <v>93299</v>
      </c>
      <c r="B777" s="10">
        <v>2900</v>
      </c>
      <c r="C777" s="11" t="s">
        <v>78</v>
      </c>
      <c r="D777" s="5" t="s">
        <v>244</v>
      </c>
      <c r="E777" s="5" t="s">
        <v>189</v>
      </c>
      <c r="F777" s="5" t="s">
        <v>190</v>
      </c>
    </row>
    <row r="778" spans="1:6" x14ac:dyDescent="0.25">
      <c r="A778" s="5">
        <v>93309</v>
      </c>
      <c r="B778" s="10">
        <v>2900</v>
      </c>
      <c r="C778" s="11" t="s">
        <v>100</v>
      </c>
      <c r="D778" s="5" t="s">
        <v>101</v>
      </c>
      <c r="E778" s="5" t="s">
        <v>189</v>
      </c>
      <c r="F778" s="5" t="s">
        <v>190</v>
      </c>
    </row>
    <row r="779" spans="1:6" x14ac:dyDescent="0.25">
      <c r="A779" s="5">
        <v>93310</v>
      </c>
      <c r="B779" s="10">
        <v>2900</v>
      </c>
      <c r="C779" s="11" t="s">
        <v>52</v>
      </c>
      <c r="D779" s="5" t="s">
        <v>252</v>
      </c>
      <c r="E779" s="5" t="s">
        <v>189</v>
      </c>
      <c r="F779" s="5" t="s">
        <v>190</v>
      </c>
    </row>
    <row r="780" spans="1:6" x14ac:dyDescent="0.25">
      <c r="A780" s="5">
        <v>93312</v>
      </c>
      <c r="B780" s="10">
        <v>2900</v>
      </c>
      <c r="C780" s="11" t="s">
        <v>74</v>
      </c>
      <c r="D780" s="5" t="s">
        <v>243</v>
      </c>
      <c r="E780" s="5" t="s">
        <v>189</v>
      </c>
      <c r="F780" s="5" t="s">
        <v>190</v>
      </c>
    </row>
    <row r="781" spans="1:6" x14ac:dyDescent="0.25">
      <c r="A781" s="5">
        <v>93314</v>
      </c>
      <c r="B781" s="10">
        <v>2900</v>
      </c>
      <c r="C781" s="11" t="s">
        <v>78</v>
      </c>
      <c r="D781" s="5" t="s">
        <v>244</v>
      </c>
      <c r="E781" s="5" t="s">
        <v>189</v>
      </c>
      <c r="F781" s="5" t="s">
        <v>190</v>
      </c>
    </row>
    <row r="782" spans="1:6" x14ac:dyDescent="0.25">
      <c r="A782" s="5">
        <v>93317</v>
      </c>
      <c r="B782" s="10">
        <v>2900</v>
      </c>
      <c r="C782" s="11" t="s">
        <v>78</v>
      </c>
      <c r="D782" s="5" t="s">
        <v>244</v>
      </c>
      <c r="E782" s="5" t="s">
        <v>189</v>
      </c>
      <c r="F782" s="5" t="s">
        <v>190</v>
      </c>
    </row>
    <row r="783" spans="1:6" x14ac:dyDescent="0.25">
      <c r="A783" s="5">
        <v>93325</v>
      </c>
      <c r="B783" s="10">
        <v>2900</v>
      </c>
      <c r="C783" s="11" t="s">
        <v>74</v>
      </c>
      <c r="D783" s="5" t="s">
        <v>243</v>
      </c>
      <c r="E783" s="5" t="s">
        <v>189</v>
      </c>
      <c r="F783" s="5" t="s">
        <v>190</v>
      </c>
    </row>
    <row r="784" spans="1:6" x14ac:dyDescent="0.25">
      <c r="A784" s="5">
        <v>93328</v>
      </c>
      <c r="B784" s="10">
        <v>2900</v>
      </c>
      <c r="C784" s="11" t="s">
        <v>96</v>
      </c>
      <c r="D784" s="5" t="s">
        <v>242</v>
      </c>
      <c r="E784" s="5" t="s">
        <v>189</v>
      </c>
      <c r="F784" s="5" t="s">
        <v>190</v>
      </c>
    </row>
    <row r="785" spans="1:6" x14ac:dyDescent="0.25">
      <c r="A785" s="5">
        <v>93336</v>
      </c>
      <c r="B785" s="10">
        <v>2900</v>
      </c>
      <c r="C785" s="11" t="s">
        <v>68</v>
      </c>
      <c r="D785" s="5" t="s">
        <v>69</v>
      </c>
      <c r="E785" s="5" t="s">
        <v>189</v>
      </c>
      <c r="F785" s="5" t="s">
        <v>190</v>
      </c>
    </row>
    <row r="786" spans="1:6" x14ac:dyDescent="0.25">
      <c r="A786" s="5">
        <v>93338</v>
      </c>
      <c r="B786" s="10">
        <v>2900</v>
      </c>
      <c r="C786" s="11" t="s">
        <v>64</v>
      </c>
      <c r="D786" s="5" t="s">
        <v>251</v>
      </c>
      <c r="E786" s="5" t="s">
        <v>189</v>
      </c>
      <c r="F786" s="5" t="s">
        <v>190</v>
      </c>
    </row>
    <row r="787" spans="1:6" x14ac:dyDescent="0.25">
      <c r="A787" s="5">
        <v>93345</v>
      </c>
      <c r="B787" s="10">
        <v>2900</v>
      </c>
      <c r="C787" s="11" t="s">
        <v>74</v>
      </c>
      <c r="D787" s="5" t="s">
        <v>243</v>
      </c>
      <c r="E787" s="5" t="s">
        <v>189</v>
      </c>
      <c r="F787" s="5" t="s">
        <v>190</v>
      </c>
    </row>
    <row r="788" spans="1:6" x14ac:dyDescent="0.25">
      <c r="A788" s="5">
        <v>93359</v>
      </c>
      <c r="B788" s="10">
        <v>2900</v>
      </c>
      <c r="C788" s="11" t="s">
        <v>96</v>
      </c>
      <c r="D788" s="5" t="s">
        <v>242</v>
      </c>
      <c r="E788" s="5" t="s">
        <v>189</v>
      </c>
      <c r="F788" s="5" t="s">
        <v>190</v>
      </c>
    </row>
    <row r="789" spans="1:6" x14ac:dyDescent="0.25">
      <c r="A789" s="5">
        <v>93360</v>
      </c>
      <c r="B789" s="10">
        <v>2900</v>
      </c>
      <c r="C789" s="11" t="s">
        <v>38</v>
      </c>
      <c r="D789" s="5" t="s">
        <v>246</v>
      </c>
      <c r="E789" s="5" t="s">
        <v>189</v>
      </c>
      <c r="F789" s="5" t="s">
        <v>190</v>
      </c>
    </row>
    <row r="790" spans="1:6" x14ac:dyDescent="0.25">
      <c r="A790" s="5">
        <v>93363</v>
      </c>
      <c r="B790" s="10">
        <v>2900</v>
      </c>
      <c r="C790" s="11" t="s">
        <v>74</v>
      </c>
      <c r="D790" s="5" t="s">
        <v>243</v>
      </c>
      <c r="E790" s="5" t="s">
        <v>189</v>
      </c>
      <c r="F790" s="5" t="s">
        <v>190</v>
      </c>
    </row>
    <row r="791" spans="1:6" x14ac:dyDescent="0.25">
      <c r="A791" s="5">
        <v>93364</v>
      </c>
      <c r="B791" s="10">
        <v>2900</v>
      </c>
      <c r="C791" s="11" t="s">
        <v>96</v>
      </c>
      <c r="D791" s="5" t="s">
        <v>242</v>
      </c>
      <c r="E791" s="5" t="s">
        <v>189</v>
      </c>
      <c r="F791" s="5" t="s">
        <v>190</v>
      </c>
    </row>
    <row r="792" spans="1:6" x14ac:dyDescent="0.25">
      <c r="A792" s="5">
        <v>93372</v>
      </c>
      <c r="B792" s="10">
        <v>2900</v>
      </c>
      <c r="C792" s="11" t="s">
        <v>106</v>
      </c>
      <c r="D792" s="5" t="s">
        <v>258</v>
      </c>
      <c r="E792" s="5" t="s">
        <v>189</v>
      </c>
      <c r="F792" s="5" t="s">
        <v>190</v>
      </c>
    </row>
    <row r="793" spans="1:6" x14ac:dyDescent="0.25">
      <c r="A793" s="5">
        <v>93373</v>
      </c>
      <c r="B793" s="10">
        <v>2900</v>
      </c>
      <c r="C793" s="11" t="s">
        <v>102</v>
      </c>
      <c r="D793" s="5" t="s">
        <v>103</v>
      </c>
      <c r="E793" s="5" t="s">
        <v>189</v>
      </c>
      <c r="F793" s="5" t="s">
        <v>190</v>
      </c>
    </row>
    <row r="794" spans="1:6" x14ac:dyDescent="0.25">
      <c r="A794" s="5">
        <v>93380</v>
      </c>
      <c r="B794" s="10">
        <v>2900</v>
      </c>
      <c r="C794" s="11" t="s">
        <v>96</v>
      </c>
      <c r="D794" s="5" t="s">
        <v>242</v>
      </c>
      <c r="E794" s="5" t="s">
        <v>189</v>
      </c>
      <c r="F794" s="5" t="s">
        <v>190</v>
      </c>
    </row>
    <row r="795" spans="1:6" x14ac:dyDescent="0.25">
      <c r="A795" s="5">
        <v>93382</v>
      </c>
      <c r="B795" s="10">
        <v>2900</v>
      </c>
      <c r="C795" s="11" t="s">
        <v>74</v>
      </c>
      <c r="D795" s="5" t="s">
        <v>243</v>
      </c>
      <c r="E795" s="5" t="s">
        <v>189</v>
      </c>
      <c r="F795" s="5" t="s">
        <v>190</v>
      </c>
    </row>
    <row r="796" spans="1:6" x14ac:dyDescent="0.25">
      <c r="A796" s="5">
        <v>93390</v>
      </c>
      <c r="B796" s="10">
        <v>2900</v>
      </c>
      <c r="C796" s="11" t="s">
        <v>82</v>
      </c>
      <c r="D796" s="5" t="s">
        <v>256</v>
      </c>
      <c r="E796" s="5" t="s">
        <v>189</v>
      </c>
      <c r="F796" s="5" t="s">
        <v>190</v>
      </c>
    </row>
    <row r="797" spans="1:6" x14ac:dyDescent="0.25">
      <c r="A797" s="5">
        <v>93394</v>
      </c>
      <c r="B797" s="10">
        <v>2900</v>
      </c>
      <c r="C797" s="11" t="s">
        <v>58</v>
      </c>
      <c r="D797" s="5" t="s">
        <v>59</v>
      </c>
      <c r="E797" s="5" t="s">
        <v>189</v>
      </c>
      <c r="F797" s="5" t="s">
        <v>190</v>
      </c>
    </row>
    <row r="798" spans="1:6" x14ac:dyDescent="0.25">
      <c r="A798" s="5">
        <v>93405</v>
      </c>
      <c r="B798" s="10">
        <v>2900</v>
      </c>
      <c r="C798" s="11" t="s">
        <v>78</v>
      </c>
      <c r="D798" s="5" t="s">
        <v>244</v>
      </c>
      <c r="E798" s="5" t="s">
        <v>189</v>
      </c>
      <c r="F798" s="5" t="s">
        <v>190</v>
      </c>
    </row>
    <row r="799" spans="1:6" x14ac:dyDescent="0.25">
      <c r="A799" s="5">
        <v>93413</v>
      </c>
      <c r="B799" s="10">
        <v>2900</v>
      </c>
      <c r="C799" s="11" t="s">
        <v>118</v>
      </c>
      <c r="D799" s="5" t="s">
        <v>119</v>
      </c>
      <c r="E799" s="5" t="s">
        <v>189</v>
      </c>
      <c r="F799" s="5" t="s">
        <v>190</v>
      </c>
    </row>
    <row r="800" spans="1:6" x14ac:dyDescent="0.25">
      <c r="A800" s="5">
        <v>93417</v>
      </c>
      <c r="B800" s="10">
        <v>2900</v>
      </c>
      <c r="C800" s="11" t="s">
        <v>110</v>
      </c>
      <c r="D800" s="5" t="s">
        <v>111</v>
      </c>
      <c r="E800" s="5" t="s">
        <v>189</v>
      </c>
      <c r="F800" s="5" t="s">
        <v>190</v>
      </c>
    </row>
    <row r="801" spans="1:6" x14ac:dyDescent="0.25">
      <c r="A801" s="5">
        <v>93418</v>
      </c>
      <c r="B801" s="10">
        <v>2900</v>
      </c>
      <c r="C801" s="11" t="s">
        <v>118</v>
      </c>
      <c r="D801" s="5" t="s">
        <v>119</v>
      </c>
      <c r="E801" s="5" t="s">
        <v>189</v>
      </c>
      <c r="F801" s="5" t="s">
        <v>190</v>
      </c>
    </row>
    <row r="802" spans="1:6" x14ac:dyDescent="0.25">
      <c r="A802" s="5">
        <v>93420</v>
      </c>
      <c r="B802" s="10">
        <v>2900</v>
      </c>
      <c r="C802" s="11" t="s">
        <v>72</v>
      </c>
      <c r="D802" s="5" t="s">
        <v>73</v>
      </c>
      <c r="E802" s="5" t="s">
        <v>189</v>
      </c>
      <c r="F802" s="5" t="s">
        <v>190</v>
      </c>
    </row>
    <row r="803" spans="1:6" x14ac:dyDescent="0.25">
      <c r="A803" s="5">
        <v>93422</v>
      </c>
      <c r="B803" s="10">
        <v>2900</v>
      </c>
      <c r="C803" s="11" t="s">
        <v>78</v>
      </c>
      <c r="D803" s="5" t="s">
        <v>244</v>
      </c>
      <c r="E803" s="5" t="s">
        <v>189</v>
      </c>
      <c r="F803" s="5" t="s">
        <v>190</v>
      </c>
    </row>
    <row r="804" spans="1:6" x14ac:dyDescent="0.25">
      <c r="A804" s="5">
        <v>93429</v>
      </c>
      <c r="B804" s="10">
        <v>2900</v>
      </c>
      <c r="C804" s="11" t="s">
        <v>74</v>
      </c>
      <c r="D804" s="5" t="s">
        <v>243</v>
      </c>
      <c r="E804" s="5" t="s">
        <v>189</v>
      </c>
      <c r="F804" s="5" t="s">
        <v>190</v>
      </c>
    </row>
    <row r="805" spans="1:6" x14ac:dyDescent="0.25">
      <c r="A805" s="5">
        <v>93430</v>
      </c>
      <c r="B805" s="10">
        <v>2900</v>
      </c>
      <c r="C805" s="11" t="s">
        <v>78</v>
      </c>
      <c r="D805" s="5" t="s">
        <v>244</v>
      </c>
      <c r="E805" s="5" t="s">
        <v>189</v>
      </c>
      <c r="F805" s="5" t="s">
        <v>190</v>
      </c>
    </row>
    <row r="806" spans="1:6" x14ac:dyDescent="0.25">
      <c r="A806" s="5">
        <v>93431</v>
      </c>
      <c r="B806" s="10">
        <v>2900</v>
      </c>
      <c r="C806" s="11" t="s">
        <v>78</v>
      </c>
      <c r="D806" s="5" t="s">
        <v>244</v>
      </c>
      <c r="E806" s="5" t="s">
        <v>189</v>
      </c>
      <c r="F806" s="5" t="s">
        <v>190</v>
      </c>
    </row>
    <row r="807" spans="1:6" x14ac:dyDescent="0.25">
      <c r="A807" s="5">
        <v>93438</v>
      </c>
      <c r="B807" s="10">
        <v>2900</v>
      </c>
      <c r="C807" s="11" t="s">
        <v>102</v>
      </c>
      <c r="D807" s="5" t="s">
        <v>103</v>
      </c>
      <c r="E807" s="5" t="s">
        <v>189</v>
      </c>
      <c r="F807" s="5" t="s">
        <v>190</v>
      </c>
    </row>
    <row r="808" spans="1:6" x14ac:dyDescent="0.25">
      <c r="A808" s="5">
        <v>93440</v>
      </c>
      <c r="B808" s="10">
        <v>2900</v>
      </c>
      <c r="C808" s="11" t="s">
        <v>60</v>
      </c>
      <c r="D808" s="5" t="s">
        <v>245</v>
      </c>
      <c r="E808" s="5" t="s">
        <v>189</v>
      </c>
      <c r="F808" s="5" t="s">
        <v>190</v>
      </c>
    </row>
    <row r="809" spans="1:6" x14ac:dyDescent="0.25">
      <c r="A809" s="5">
        <v>93449</v>
      </c>
      <c r="B809" s="10">
        <v>2900</v>
      </c>
      <c r="C809" s="11" t="s">
        <v>96</v>
      </c>
      <c r="D809" s="5" t="s">
        <v>242</v>
      </c>
      <c r="E809" s="5" t="s">
        <v>189</v>
      </c>
      <c r="F809" s="5" t="s">
        <v>190</v>
      </c>
    </row>
    <row r="810" spans="1:6" x14ac:dyDescent="0.25">
      <c r="A810" s="5">
        <v>93455</v>
      </c>
      <c r="B810" s="10">
        <v>2900</v>
      </c>
      <c r="C810" s="11" t="s">
        <v>138</v>
      </c>
      <c r="D810" s="5" t="s">
        <v>139</v>
      </c>
      <c r="E810" s="5" t="s">
        <v>189</v>
      </c>
      <c r="F810" s="5" t="s">
        <v>190</v>
      </c>
    </row>
    <row r="811" spans="1:6" x14ac:dyDescent="0.25">
      <c r="A811" s="5">
        <v>93469</v>
      </c>
      <c r="B811" s="10">
        <v>2900</v>
      </c>
      <c r="C811" s="11" t="s">
        <v>78</v>
      </c>
      <c r="D811" s="5" t="s">
        <v>244</v>
      </c>
      <c r="E811" s="5" t="s">
        <v>189</v>
      </c>
      <c r="F811" s="5" t="s">
        <v>190</v>
      </c>
    </row>
    <row r="812" spans="1:6" x14ac:dyDescent="0.25">
      <c r="A812" s="5">
        <v>93471</v>
      </c>
      <c r="B812" s="10">
        <v>2900</v>
      </c>
      <c r="C812" s="11" t="s">
        <v>78</v>
      </c>
      <c r="D812" s="5" t="s">
        <v>244</v>
      </c>
      <c r="E812" s="5" t="s">
        <v>189</v>
      </c>
      <c r="F812" s="5" t="s">
        <v>190</v>
      </c>
    </row>
    <row r="813" spans="1:6" x14ac:dyDescent="0.25">
      <c r="A813" s="5">
        <v>93472</v>
      </c>
      <c r="B813" s="10">
        <v>2900</v>
      </c>
      <c r="C813" s="11" t="s">
        <v>78</v>
      </c>
      <c r="D813" s="5" t="s">
        <v>244</v>
      </c>
      <c r="E813" s="5" t="s">
        <v>189</v>
      </c>
      <c r="F813" s="5" t="s">
        <v>190</v>
      </c>
    </row>
    <row r="814" spans="1:6" x14ac:dyDescent="0.25">
      <c r="A814" s="5">
        <v>93489</v>
      </c>
      <c r="B814" s="10">
        <v>2900</v>
      </c>
      <c r="C814" s="11" t="s">
        <v>102</v>
      </c>
      <c r="D814" s="5" t="s">
        <v>103</v>
      </c>
      <c r="E814" s="5" t="s">
        <v>189</v>
      </c>
      <c r="F814" s="5" t="s">
        <v>190</v>
      </c>
    </row>
    <row r="815" spans="1:6" x14ac:dyDescent="0.25">
      <c r="A815" s="5">
        <v>93491</v>
      </c>
      <c r="B815" s="10">
        <v>2900</v>
      </c>
      <c r="C815" s="11" t="s">
        <v>138</v>
      </c>
      <c r="D815" s="5" t="s">
        <v>139</v>
      </c>
      <c r="E815" s="5" t="s">
        <v>189</v>
      </c>
      <c r="F815" s="5" t="s">
        <v>190</v>
      </c>
    </row>
    <row r="816" spans="1:6" x14ac:dyDescent="0.25">
      <c r="A816" s="5">
        <v>93495</v>
      </c>
      <c r="B816" s="10">
        <v>2900</v>
      </c>
      <c r="C816" s="11" t="s">
        <v>96</v>
      </c>
      <c r="D816" s="5" t="s">
        <v>242</v>
      </c>
      <c r="E816" s="5" t="s">
        <v>189</v>
      </c>
      <c r="F816" s="5" t="s">
        <v>190</v>
      </c>
    </row>
    <row r="817" spans="1:6" x14ac:dyDescent="0.25">
      <c r="A817" s="5">
        <v>93496</v>
      </c>
      <c r="B817" s="10">
        <v>2900</v>
      </c>
      <c r="C817" s="11" t="s">
        <v>96</v>
      </c>
      <c r="D817" s="5" t="s">
        <v>242</v>
      </c>
      <c r="E817" s="5" t="s">
        <v>189</v>
      </c>
      <c r="F817" s="5" t="s">
        <v>190</v>
      </c>
    </row>
    <row r="818" spans="1:6" x14ac:dyDescent="0.25">
      <c r="A818" s="5">
        <v>93498</v>
      </c>
      <c r="B818" s="10">
        <v>2900</v>
      </c>
      <c r="C818" s="11" t="s">
        <v>96</v>
      </c>
      <c r="D818" s="5" t="s">
        <v>242</v>
      </c>
      <c r="E818" s="5" t="s">
        <v>189</v>
      </c>
      <c r="F818" s="5" t="s">
        <v>190</v>
      </c>
    </row>
    <row r="819" spans="1:6" x14ac:dyDescent="0.25">
      <c r="A819" s="5">
        <v>93503</v>
      </c>
      <c r="B819" s="10">
        <v>2900</v>
      </c>
      <c r="C819" s="11" t="s">
        <v>74</v>
      </c>
      <c r="D819" s="5" t="s">
        <v>243</v>
      </c>
      <c r="E819" s="5" t="s">
        <v>189</v>
      </c>
      <c r="F819" s="5" t="s">
        <v>190</v>
      </c>
    </row>
    <row r="820" spans="1:6" x14ac:dyDescent="0.25">
      <c r="A820" s="5">
        <v>93508</v>
      </c>
      <c r="B820" s="10">
        <v>2900</v>
      </c>
      <c r="C820" s="11" t="s">
        <v>64</v>
      </c>
      <c r="D820" s="5" t="s">
        <v>251</v>
      </c>
      <c r="E820" s="5" t="s">
        <v>189</v>
      </c>
      <c r="F820" s="5" t="s">
        <v>190</v>
      </c>
    </row>
    <row r="821" spans="1:6" x14ac:dyDescent="0.25">
      <c r="A821" s="5">
        <v>93510</v>
      </c>
      <c r="B821" s="10">
        <v>2900</v>
      </c>
      <c r="C821" s="11" t="s">
        <v>64</v>
      </c>
      <c r="D821" s="5" t="s">
        <v>251</v>
      </c>
      <c r="E821" s="5" t="s">
        <v>189</v>
      </c>
      <c r="F821" s="5" t="s">
        <v>190</v>
      </c>
    </row>
    <row r="822" spans="1:6" x14ac:dyDescent="0.25">
      <c r="A822" s="5">
        <v>93511</v>
      </c>
      <c r="B822" s="10">
        <v>2900</v>
      </c>
      <c r="C822" s="11" t="s">
        <v>96</v>
      </c>
      <c r="D822" s="5" t="s">
        <v>242</v>
      </c>
      <c r="E822" s="5" t="s">
        <v>189</v>
      </c>
      <c r="F822" s="5" t="s">
        <v>190</v>
      </c>
    </row>
    <row r="823" spans="1:6" x14ac:dyDescent="0.25">
      <c r="A823" s="5">
        <v>93522</v>
      </c>
      <c r="B823" s="10">
        <v>2900</v>
      </c>
      <c r="C823" s="11" t="s">
        <v>84</v>
      </c>
      <c r="D823" s="5" t="s">
        <v>247</v>
      </c>
      <c r="E823" s="5" t="s">
        <v>189</v>
      </c>
      <c r="F823" s="5" t="s">
        <v>190</v>
      </c>
    </row>
    <row r="824" spans="1:6" x14ac:dyDescent="0.25">
      <c r="A824" s="5">
        <v>93527</v>
      </c>
      <c r="B824" s="10">
        <v>2900</v>
      </c>
      <c r="C824" s="11" t="s">
        <v>62</v>
      </c>
      <c r="D824" s="5" t="s">
        <v>63</v>
      </c>
      <c r="E824" s="5" t="s">
        <v>189</v>
      </c>
      <c r="F824" s="5" t="s">
        <v>190</v>
      </c>
    </row>
    <row r="825" spans="1:6" x14ac:dyDescent="0.25">
      <c r="A825" s="5">
        <v>93532</v>
      </c>
      <c r="B825" s="10">
        <v>2900</v>
      </c>
      <c r="C825" s="11" t="s">
        <v>78</v>
      </c>
      <c r="D825" s="5" t="s">
        <v>244</v>
      </c>
      <c r="E825" s="5" t="s">
        <v>189</v>
      </c>
      <c r="F825" s="5" t="s">
        <v>190</v>
      </c>
    </row>
    <row r="826" spans="1:6" x14ac:dyDescent="0.25">
      <c r="A826" s="5">
        <v>93541</v>
      </c>
      <c r="B826" s="10">
        <v>2900</v>
      </c>
      <c r="C826" s="11" t="s">
        <v>96</v>
      </c>
      <c r="D826" s="5" t="s">
        <v>242</v>
      </c>
      <c r="E826" s="5" t="s">
        <v>189</v>
      </c>
      <c r="F826" s="5" t="s">
        <v>190</v>
      </c>
    </row>
    <row r="827" spans="1:6" x14ac:dyDescent="0.25">
      <c r="A827" s="5">
        <v>93546</v>
      </c>
      <c r="B827" s="10">
        <v>2900</v>
      </c>
      <c r="C827" s="11" t="s">
        <v>74</v>
      </c>
      <c r="D827" s="5" t="s">
        <v>243</v>
      </c>
      <c r="E827" s="5" t="s">
        <v>189</v>
      </c>
      <c r="F827" s="5" t="s">
        <v>190</v>
      </c>
    </row>
    <row r="828" spans="1:6" x14ac:dyDescent="0.25">
      <c r="A828" s="5">
        <v>93556</v>
      </c>
      <c r="B828" s="10">
        <v>2900</v>
      </c>
      <c r="C828" s="11" t="s">
        <v>104</v>
      </c>
      <c r="D828" s="5" t="s">
        <v>254</v>
      </c>
      <c r="E828" s="5" t="s">
        <v>189</v>
      </c>
      <c r="F828" s="5" t="s">
        <v>190</v>
      </c>
    </row>
    <row r="829" spans="1:6" x14ac:dyDescent="0.25">
      <c r="A829" s="5">
        <v>93567</v>
      </c>
      <c r="B829" s="10">
        <v>2900</v>
      </c>
      <c r="C829" s="11" t="s">
        <v>74</v>
      </c>
      <c r="D829" s="5" t="s">
        <v>243</v>
      </c>
      <c r="E829" s="5" t="s">
        <v>189</v>
      </c>
      <c r="F829" s="5" t="s">
        <v>190</v>
      </c>
    </row>
    <row r="830" spans="1:6" x14ac:dyDescent="0.25">
      <c r="A830" s="5">
        <v>93569</v>
      </c>
      <c r="B830" s="10">
        <v>2900</v>
      </c>
      <c r="C830" s="11" t="s">
        <v>96</v>
      </c>
      <c r="D830" s="5" t="s">
        <v>242</v>
      </c>
      <c r="E830" s="5" t="s">
        <v>189</v>
      </c>
      <c r="F830" s="5" t="s">
        <v>190</v>
      </c>
    </row>
    <row r="831" spans="1:6" x14ac:dyDescent="0.25">
      <c r="A831" s="5">
        <v>93570</v>
      </c>
      <c r="B831" s="10">
        <v>2900</v>
      </c>
      <c r="C831" s="11" t="s">
        <v>78</v>
      </c>
      <c r="D831" s="5" t="s">
        <v>244</v>
      </c>
      <c r="E831" s="5" t="s">
        <v>189</v>
      </c>
      <c r="F831" s="5" t="s">
        <v>190</v>
      </c>
    </row>
    <row r="832" spans="1:6" x14ac:dyDescent="0.25">
      <c r="A832" s="5">
        <v>93577</v>
      </c>
      <c r="B832" s="10">
        <v>2900</v>
      </c>
      <c r="C832" s="11" t="s">
        <v>70</v>
      </c>
      <c r="D832" s="5" t="s">
        <v>257</v>
      </c>
      <c r="E832" s="5" t="s">
        <v>189</v>
      </c>
      <c r="F832" s="5" t="s">
        <v>190</v>
      </c>
    </row>
    <row r="833" spans="1:6" x14ac:dyDescent="0.25">
      <c r="A833" s="5">
        <v>93578</v>
      </c>
      <c r="B833" s="10">
        <v>2900</v>
      </c>
      <c r="C833" s="11" t="s">
        <v>74</v>
      </c>
      <c r="D833" s="5" t="s">
        <v>243</v>
      </c>
      <c r="E833" s="5" t="s">
        <v>189</v>
      </c>
      <c r="F833" s="5" t="s">
        <v>190</v>
      </c>
    </row>
    <row r="834" spans="1:6" x14ac:dyDescent="0.25">
      <c r="A834" s="5">
        <v>93585</v>
      </c>
      <c r="B834" s="10">
        <v>2900</v>
      </c>
      <c r="C834" s="11" t="s">
        <v>48</v>
      </c>
      <c r="D834" s="5" t="s">
        <v>49</v>
      </c>
      <c r="E834" s="5" t="s">
        <v>189</v>
      </c>
      <c r="F834" s="5" t="s">
        <v>190</v>
      </c>
    </row>
    <row r="835" spans="1:6" x14ac:dyDescent="0.25">
      <c r="A835" s="5">
        <v>93601</v>
      </c>
      <c r="B835" s="10">
        <v>2900</v>
      </c>
      <c r="C835" s="11" t="s">
        <v>74</v>
      </c>
      <c r="D835" s="5" t="s">
        <v>243</v>
      </c>
      <c r="E835" s="5" t="s">
        <v>189</v>
      </c>
      <c r="F835" s="5" t="s">
        <v>190</v>
      </c>
    </row>
    <row r="836" spans="1:6" x14ac:dyDescent="0.25">
      <c r="A836" s="5">
        <v>93603</v>
      </c>
      <c r="B836" s="10">
        <v>2900</v>
      </c>
      <c r="C836" s="11" t="s">
        <v>102</v>
      </c>
      <c r="D836" s="5" t="s">
        <v>103</v>
      </c>
      <c r="E836" s="5" t="s">
        <v>189</v>
      </c>
      <c r="F836" s="5" t="s">
        <v>190</v>
      </c>
    </row>
    <row r="837" spans="1:6" x14ac:dyDescent="0.25">
      <c r="A837" s="5">
        <v>93606</v>
      </c>
      <c r="B837" s="10">
        <v>2900</v>
      </c>
      <c r="C837" s="11" t="s">
        <v>102</v>
      </c>
      <c r="D837" s="5" t="s">
        <v>103</v>
      </c>
      <c r="E837" s="5" t="s">
        <v>189</v>
      </c>
      <c r="F837" s="5" t="s">
        <v>190</v>
      </c>
    </row>
    <row r="838" spans="1:6" x14ac:dyDescent="0.25">
      <c r="A838" s="5">
        <v>93619</v>
      </c>
      <c r="B838" s="10">
        <v>2900</v>
      </c>
      <c r="C838" s="11" t="s">
        <v>110</v>
      </c>
      <c r="D838" s="5" t="s">
        <v>111</v>
      </c>
      <c r="E838" s="5" t="s">
        <v>189</v>
      </c>
      <c r="F838" s="5" t="s">
        <v>190</v>
      </c>
    </row>
    <row r="839" spans="1:6" x14ac:dyDescent="0.25">
      <c r="A839" s="5">
        <v>93621</v>
      </c>
      <c r="B839" s="10">
        <v>2900</v>
      </c>
      <c r="C839" s="11" t="s">
        <v>118</v>
      </c>
      <c r="D839" s="5" t="s">
        <v>119</v>
      </c>
      <c r="E839" s="5" t="s">
        <v>189</v>
      </c>
      <c r="F839" s="5" t="s">
        <v>190</v>
      </c>
    </row>
    <row r="840" spans="1:6" x14ac:dyDescent="0.25">
      <c r="A840" s="5">
        <v>93624</v>
      </c>
      <c r="B840" s="10">
        <v>2900</v>
      </c>
      <c r="C840" s="11" t="s">
        <v>78</v>
      </c>
      <c r="D840" s="5" t="s">
        <v>244</v>
      </c>
      <c r="E840" s="5" t="s">
        <v>189</v>
      </c>
      <c r="F840" s="5" t="s">
        <v>190</v>
      </c>
    </row>
    <row r="841" spans="1:6" x14ac:dyDescent="0.25">
      <c r="A841" s="5">
        <v>93638</v>
      </c>
      <c r="B841" s="10">
        <v>2900</v>
      </c>
      <c r="C841" s="11" t="s">
        <v>96</v>
      </c>
      <c r="D841" s="5" t="s">
        <v>242</v>
      </c>
      <c r="E841" s="5" t="s">
        <v>189</v>
      </c>
      <c r="F841" s="5" t="s">
        <v>190</v>
      </c>
    </row>
    <row r="842" spans="1:6" x14ac:dyDescent="0.25">
      <c r="A842" s="5">
        <v>93639</v>
      </c>
      <c r="B842" s="10">
        <v>2900</v>
      </c>
      <c r="C842" s="11" t="s">
        <v>96</v>
      </c>
      <c r="D842" s="5" t="s">
        <v>242</v>
      </c>
      <c r="E842" s="5" t="s">
        <v>189</v>
      </c>
      <c r="F842" s="5" t="s">
        <v>190</v>
      </c>
    </row>
    <row r="843" spans="1:6" x14ac:dyDescent="0.25">
      <c r="A843" s="5">
        <v>93648</v>
      </c>
      <c r="B843" s="10">
        <v>2900</v>
      </c>
      <c r="C843" s="11" t="s">
        <v>96</v>
      </c>
      <c r="D843" s="5" t="s">
        <v>242</v>
      </c>
      <c r="E843" s="5" t="s">
        <v>189</v>
      </c>
      <c r="F843" s="5" t="s">
        <v>190</v>
      </c>
    </row>
    <row r="844" spans="1:6" x14ac:dyDescent="0.25">
      <c r="A844" s="5">
        <v>93650</v>
      </c>
      <c r="B844" s="10">
        <v>2900</v>
      </c>
      <c r="C844" s="11" t="s">
        <v>38</v>
      </c>
      <c r="D844" s="5" t="s">
        <v>246</v>
      </c>
      <c r="E844" s="5" t="s">
        <v>189</v>
      </c>
      <c r="F844" s="5" t="s">
        <v>190</v>
      </c>
    </row>
    <row r="845" spans="1:6" x14ac:dyDescent="0.25">
      <c r="A845" s="5">
        <v>93659</v>
      </c>
      <c r="B845" s="10">
        <v>2900</v>
      </c>
      <c r="C845" s="11" t="s">
        <v>74</v>
      </c>
      <c r="D845" s="5" t="s">
        <v>243</v>
      </c>
      <c r="E845" s="5" t="s">
        <v>189</v>
      </c>
      <c r="F845" s="5" t="s">
        <v>190</v>
      </c>
    </row>
    <row r="846" spans="1:6" x14ac:dyDescent="0.25">
      <c r="A846" s="5">
        <v>93663</v>
      </c>
      <c r="B846" s="10">
        <v>2900</v>
      </c>
      <c r="C846" s="11" t="s">
        <v>78</v>
      </c>
      <c r="D846" s="5" t="s">
        <v>244</v>
      </c>
      <c r="E846" s="5" t="s">
        <v>189</v>
      </c>
      <c r="F846" s="5" t="s">
        <v>190</v>
      </c>
    </row>
    <row r="847" spans="1:6" x14ac:dyDescent="0.25">
      <c r="A847" s="5">
        <v>93679</v>
      </c>
      <c r="B847" s="10">
        <v>2900</v>
      </c>
      <c r="C847" s="11" t="s">
        <v>86</v>
      </c>
      <c r="D847" s="5" t="s">
        <v>87</v>
      </c>
      <c r="E847" s="5" t="s">
        <v>189</v>
      </c>
      <c r="F847" s="5" t="s">
        <v>190</v>
      </c>
    </row>
    <row r="848" spans="1:6" x14ac:dyDescent="0.25">
      <c r="A848" s="5">
        <v>93682</v>
      </c>
      <c r="B848" s="10">
        <v>2900</v>
      </c>
      <c r="C848" s="11" t="s">
        <v>86</v>
      </c>
      <c r="D848" s="5" t="s">
        <v>87</v>
      </c>
      <c r="E848" s="5" t="s">
        <v>189</v>
      </c>
      <c r="F848" s="5" t="s">
        <v>190</v>
      </c>
    </row>
    <row r="849" spans="1:6" x14ac:dyDescent="0.25">
      <c r="A849" s="5">
        <v>93683</v>
      </c>
      <c r="B849" s="10">
        <v>2900</v>
      </c>
      <c r="C849" s="11" t="s">
        <v>50</v>
      </c>
      <c r="D849" s="5" t="s">
        <v>51</v>
      </c>
      <c r="E849" s="5" t="s">
        <v>189</v>
      </c>
      <c r="F849" s="5" t="s">
        <v>190</v>
      </c>
    </row>
    <row r="850" spans="1:6" x14ac:dyDescent="0.25">
      <c r="A850" s="5">
        <v>93684</v>
      </c>
      <c r="B850" s="10">
        <v>2900</v>
      </c>
      <c r="C850" s="11" t="s">
        <v>74</v>
      </c>
      <c r="D850" s="5" t="s">
        <v>243</v>
      </c>
      <c r="E850" s="5" t="s">
        <v>189</v>
      </c>
      <c r="F850" s="5" t="s">
        <v>190</v>
      </c>
    </row>
    <row r="851" spans="1:6" x14ac:dyDescent="0.25">
      <c r="A851" s="5">
        <v>93686</v>
      </c>
      <c r="B851" s="10">
        <v>2900</v>
      </c>
      <c r="C851" s="11" t="s">
        <v>82</v>
      </c>
      <c r="D851" s="5" t="s">
        <v>256</v>
      </c>
      <c r="E851" s="5" t="s">
        <v>189</v>
      </c>
      <c r="F851" s="5" t="s">
        <v>190</v>
      </c>
    </row>
    <row r="852" spans="1:6" x14ac:dyDescent="0.25">
      <c r="A852" s="5">
        <v>93698</v>
      </c>
      <c r="B852" s="10">
        <v>2900</v>
      </c>
      <c r="C852" s="11" t="s">
        <v>102</v>
      </c>
      <c r="D852" s="5" t="s">
        <v>103</v>
      </c>
      <c r="E852" s="5" t="s">
        <v>189</v>
      </c>
      <c r="F852" s="5" t="s">
        <v>190</v>
      </c>
    </row>
    <row r="853" spans="1:6" x14ac:dyDescent="0.25">
      <c r="A853" s="5">
        <v>93699</v>
      </c>
      <c r="B853" s="10">
        <v>2900</v>
      </c>
      <c r="C853" s="11" t="s">
        <v>102</v>
      </c>
      <c r="D853" s="5" t="s">
        <v>103</v>
      </c>
      <c r="E853" s="5" t="s">
        <v>189</v>
      </c>
      <c r="F853" s="5" t="s">
        <v>190</v>
      </c>
    </row>
    <row r="854" spans="1:6" x14ac:dyDescent="0.25">
      <c r="A854" s="5">
        <v>93701</v>
      </c>
      <c r="B854" s="10">
        <v>2900</v>
      </c>
      <c r="C854" s="11" t="s">
        <v>74</v>
      </c>
      <c r="D854" s="5" t="s">
        <v>243</v>
      </c>
      <c r="E854" s="5" t="s">
        <v>189</v>
      </c>
      <c r="F854" s="5" t="s">
        <v>190</v>
      </c>
    </row>
    <row r="855" spans="1:6" x14ac:dyDescent="0.25">
      <c r="A855" s="5">
        <v>93711</v>
      </c>
      <c r="B855" s="10">
        <v>2900</v>
      </c>
      <c r="C855" s="11" t="s">
        <v>86</v>
      </c>
      <c r="D855" s="5" t="s">
        <v>87</v>
      </c>
      <c r="E855" s="5" t="s">
        <v>189</v>
      </c>
      <c r="F855" s="5" t="s">
        <v>190</v>
      </c>
    </row>
    <row r="856" spans="1:6" x14ac:dyDescent="0.25">
      <c r="A856" s="5">
        <v>93713</v>
      </c>
      <c r="B856" s="10">
        <v>2900</v>
      </c>
      <c r="C856" s="11" t="s">
        <v>102</v>
      </c>
      <c r="D856" s="5" t="s">
        <v>103</v>
      </c>
      <c r="E856" s="5" t="s">
        <v>189</v>
      </c>
      <c r="F856" s="5" t="s">
        <v>190</v>
      </c>
    </row>
    <row r="857" spans="1:6" x14ac:dyDescent="0.25">
      <c r="A857" s="5">
        <v>93715</v>
      </c>
      <c r="B857" s="10">
        <v>2900</v>
      </c>
      <c r="C857" s="11" t="s">
        <v>102</v>
      </c>
      <c r="D857" s="5" t="s">
        <v>103</v>
      </c>
      <c r="E857" s="5" t="s">
        <v>189</v>
      </c>
      <c r="F857" s="5" t="s">
        <v>190</v>
      </c>
    </row>
    <row r="858" spans="1:6" x14ac:dyDescent="0.25">
      <c r="A858" s="5">
        <v>93716</v>
      </c>
      <c r="B858" s="10">
        <v>2900</v>
      </c>
      <c r="C858" s="11" t="s">
        <v>38</v>
      </c>
      <c r="D858" s="5" t="s">
        <v>246</v>
      </c>
      <c r="E858" s="5" t="s">
        <v>189</v>
      </c>
      <c r="F858" s="5" t="s">
        <v>190</v>
      </c>
    </row>
    <row r="859" spans="1:6" x14ac:dyDescent="0.25">
      <c r="A859" s="5">
        <v>93718</v>
      </c>
      <c r="B859" s="10">
        <v>2900</v>
      </c>
      <c r="C859" s="11" t="s">
        <v>50</v>
      </c>
      <c r="D859" s="5" t="s">
        <v>51</v>
      </c>
      <c r="E859" s="5" t="s">
        <v>189</v>
      </c>
      <c r="F859" s="5" t="s">
        <v>190</v>
      </c>
    </row>
    <row r="860" spans="1:6" x14ac:dyDescent="0.25">
      <c r="A860" s="5">
        <v>93725</v>
      </c>
      <c r="B860" s="10">
        <v>2900</v>
      </c>
      <c r="C860" s="11" t="s">
        <v>82</v>
      </c>
      <c r="D860" s="5" t="s">
        <v>256</v>
      </c>
      <c r="E860" s="5" t="s">
        <v>189</v>
      </c>
      <c r="F860" s="5" t="s">
        <v>190</v>
      </c>
    </row>
    <row r="861" spans="1:6" x14ac:dyDescent="0.25">
      <c r="A861" s="5">
        <v>93727</v>
      </c>
      <c r="B861" s="10">
        <v>2900</v>
      </c>
      <c r="C861" s="11" t="s">
        <v>82</v>
      </c>
      <c r="D861" s="5" t="s">
        <v>256</v>
      </c>
      <c r="E861" s="5" t="s">
        <v>189</v>
      </c>
      <c r="F861" s="5" t="s">
        <v>190</v>
      </c>
    </row>
    <row r="862" spans="1:6" x14ac:dyDescent="0.25">
      <c r="A862" s="5">
        <v>93732</v>
      </c>
      <c r="B862" s="10">
        <v>2900</v>
      </c>
      <c r="C862" s="11" t="s">
        <v>116</v>
      </c>
      <c r="D862" s="5" t="s">
        <v>117</v>
      </c>
      <c r="E862" s="5" t="s">
        <v>189</v>
      </c>
      <c r="F862" s="5" t="s">
        <v>190</v>
      </c>
    </row>
    <row r="863" spans="1:6" x14ac:dyDescent="0.25">
      <c r="A863" s="5">
        <v>93737</v>
      </c>
      <c r="B863" s="10">
        <v>2900</v>
      </c>
      <c r="C863" s="11" t="s">
        <v>138</v>
      </c>
      <c r="D863" s="5" t="s">
        <v>139</v>
      </c>
      <c r="E863" s="5" t="s">
        <v>189</v>
      </c>
      <c r="F863" s="5" t="s">
        <v>190</v>
      </c>
    </row>
    <row r="864" spans="1:6" x14ac:dyDescent="0.25">
      <c r="A864" s="5">
        <v>93740</v>
      </c>
      <c r="B864" s="10">
        <v>2900</v>
      </c>
      <c r="C864" s="11" t="s">
        <v>86</v>
      </c>
      <c r="D864" s="5" t="s">
        <v>87</v>
      </c>
      <c r="E864" s="5" t="s">
        <v>189</v>
      </c>
      <c r="F864" s="5" t="s">
        <v>190</v>
      </c>
    </row>
    <row r="865" spans="1:6" x14ac:dyDescent="0.25">
      <c r="A865" s="5">
        <v>93747</v>
      </c>
      <c r="B865" s="10">
        <v>2900</v>
      </c>
      <c r="C865" s="11" t="s">
        <v>96</v>
      </c>
      <c r="D865" s="5" t="s">
        <v>242</v>
      </c>
      <c r="E865" s="5" t="s">
        <v>189</v>
      </c>
      <c r="F865" s="5" t="s">
        <v>190</v>
      </c>
    </row>
    <row r="866" spans="1:6" x14ac:dyDescent="0.25">
      <c r="A866" s="5">
        <v>93759</v>
      </c>
      <c r="B866" s="10">
        <v>2900</v>
      </c>
      <c r="C866" s="11" t="s">
        <v>102</v>
      </c>
      <c r="D866" s="5" t="s">
        <v>103</v>
      </c>
      <c r="E866" s="5" t="s">
        <v>189</v>
      </c>
      <c r="F866" s="5" t="s">
        <v>190</v>
      </c>
    </row>
    <row r="867" spans="1:6" x14ac:dyDescent="0.25">
      <c r="A867" s="5">
        <v>93760</v>
      </c>
      <c r="B867" s="10">
        <v>2900</v>
      </c>
      <c r="C867" s="11" t="s">
        <v>96</v>
      </c>
      <c r="D867" s="5" t="s">
        <v>242</v>
      </c>
      <c r="E867" s="5" t="s">
        <v>189</v>
      </c>
      <c r="F867" s="5" t="s">
        <v>190</v>
      </c>
    </row>
    <row r="868" spans="1:6" x14ac:dyDescent="0.25">
      <c r="A868" s="5">
        <v>93765</v>
      </c>
      <c r="B868" s="10">
        <v>2900</v>
      </c>
      <c r="C868" s="11" t="s">
        <v>74</v>
      </c>
      <c r="D868" s="5" t="s">
        <v>243</v>
      </c>
      <c r="E868" s="5" t="s">
        <v>189</v>
      </c>
      <c r="F868" s="5" t="s">
        <v>190</v>
      </c>
    </row>
    <row r="869" spans="1:6" x14ac:dyDescent="0.25">
      <c r="A869" s="5">
        <v>93769</v>
      </c>
      <c r="B869" s="10">
        <v>2900</v>
      </c>
      <c r="C869" s="11" t="s">
        <v>96</v>
      </c>
      <c r="D869" s="5" t="s">
        <v>242</v>
      </c>
      <c r="E869" s="5" t="s">
        <v>189</v>
      </c>
      <c r="F869" s="5" t="s">
        <v>190</v>
      </c>
    </row>
    <row r="870" spans="1:6" x14ac:dyDescent="0.25">
      <c r="A870" s="5">
        <v>93770</v>
      </c>
      <c r="B870" s="10">
        <v>2900</v>
      </c>
      <c r="C870" s="11" t="s">
        <v>96</v>
      </c>
      <c r="D870" s="5" t="s">
        <v>242</v>
      </c>
      <c r="E870" s="5" t="s">
        <v>189</v>
      </c>
      <c r="F870" s="5" t="s">
        <v>190</v>
      </c>
    </row>
    <row r="871" spans="1:6" x14ac:dyDescent="0.25">
      <c r="A871" s="5">
        <v>93775</v>
      </c>
      <c r="B871" s="10">
        <v>2900</v>
      </c>
      <c r="C871" s="11" t="s">
        <v>86</v>
      </c>
      <c r="D871" s="5" t="s">
        <v>87</v>
      </c>
      <c r="E871" s="5" t="s">
        <v>189</v>
      </c>
      <c r="F871" s="5" t="s">
        <v>190</v>
      </c>
    </row>
    <row r="872" spans="1:6" x14ac:dyDescent="0.25">
      <c r="A872" s="5">
        <v>93776</v>
      </c>
      <c r="B872" s="10">
        <v>2900</v>
      </c>
      <c r="C872" s="11" t="s">
        <v>86</v>
      </c>
      <c r="D872" s="5" t="s">
        <v>87</v>
      </c>
      <c r="E872" s="5" t="s">
        <v>189</v>
      </c>
      <c r="F872" s="5" t="s">
        <v>190</v>
      </c>
    </row>
    <row r="873" spans="1:6" x14ac:dyDescent="0.25">
      <c r="A873" s="5">
        <v>93780</v>
      </c>
      <c r="B873" s="10">
        <v>2900</v>
      </c>
      <c r="C873" s="11" t="s">
        <v>96</v>
      </c>
      <c r="D873" s="5" t="s">
        <v>242</v>
      </c>
      <c r="E873" s="5" t="s">
        <v>189</v>
      </c>
      <c r="F873" s="5" t="s">
        <v>190</v>
      </c>
    </row>
    <row r="874" spans="1:6" x14ac:dyDescent="0.25">
      <c r="A874" s="5">
        <v>93786</v>
      </c>
      <c r="B874" s="10">
        <v>2900</v>
      </c>
      <c r="C874" s="11" t="s">
        <v>74</v>
      </c>
      <c r="D874" s="5" t="s">
        <v>243</v>
      </c>
      <c r="E874" s="5" t="s">
        <v>189</v>
      </c>
      <c r="F874" s="5" t="s">
        <v>190</v>
      </c>
    </row>
    <row r="875" spans="1:6" x14ac:dyDescent="0.25">
      <c r="A875" s="5">
        <v>93795</v>
      </c>
      <c r="B875" s="10">
        <v>2900</v>
      </c>
      <c r="C875" s="11" t="s">
        <v>102</v>
      </c>
      <c r="D875" s="5" t="s">
        <v>103</v>
      </c>
      <c r="E875" s="5" t="s">
        <v>189</v>
      </c>
      <c r="F875" s="5" t="s">
        <v>190</v>
      </c>
    </row>
    <row r="876" spans="1:6" x14ac:dyDescent="0.25">
      <c r="A876" s="5">
        <v>93808</v>
      </c>
      <c r="B876" s="10">
        <v>2900</v>
      </c>
      <c r="C876" s="11" t="s">
        <v>74</v>
      </c>
      <c r="D876" s="5" t="s">
        <v>243</v>
      </c>
      <c r="E876" s="5" t="s">
        <v>189</v>
      </c>
      <c r="F876" s="5" t="s">
        <v>190</v>
      </c>
    </row>
    <row r="877" spans="1:6" x14ac:dyDescent="0.25">
      <c r="A877" s="5">
        <v>93811</v>
      </c>
      <c r="B877" s="10">
        <v>2900</v>
      </c>
      <c r="C877" s="11" t="s">
        <v>86</v>
      </c>
      <c r="D877" s="5" t="s">
        <v>87</v>
      </c>
      <c r="E877" s="5" t="s">
        <v>189</v>
      </c>
      <c r="F877" s="5" t="s">
        <v>190</v>
      </c>
    </row>
    <row r="878" spans="1:6" x14ac:dyDescent="0.25">
      <c r="A878" s="5">
        <v>93812</v>
      </c>
      <c r="B878" s="10">
        <v>2900</v>
      </c>
      <c r="C878" s="11" t="s">
        <v>86</v>
      </c>
      <c r="D878" s="5" t="s">
        <v>87</v>
      </c>
      <c r="E878" s="5" t="s">
        <v>189</v>
      </c>
      <c r="F878" s="5" t="s">
        <v>190</v>
      </c>
    </row>
    <row r="879" spans="1:6" x14ac:dyDescent="0.25">
      <c r="A879" s="5">
        <v>93818</v>
      </c>
      <c r="B879" s="10">
        <v>2900</v>
      </c>
      <c r="C879" s="11" t="s">
        <v>118</v>
      </c>
      <c r="D879" s="5" t="s">
        <v>119</v>
      </c>
      <c r="E879" s="5" t="s">
        <v>189</v>
      </c>
      <c r="F879" s="5" t="s">
        <v>190</v>
      </c>
    </row>
    <row r="880" spans="1:6" x14ac:dyDescent="0.25">
      <c r="A880" s="5">
        <v>93822</v>
      </c>
      <c r="B880" s="10">
        <v>2900</v>
      </c>
      <c r="C880" s="11" t="s">
        <v>96</v>
      </c>
      <c r="D880" s="5" t="s">
        <v>242</v>
      </c>
      <c r="E880" s="5" t="s">
        <v>189</v>
      </c>
      <c r="F880" s="5" t="s">
        <v>190</v>
      </c>
    </row>
    <row r="881" spans="1:6" x14ac:dyDescent="0.25">
      <c r="A881" s="5">
        <v>93824</v>
      </c>
      <c r="B881" s="10">
        <v>2900</v>
      </c>
      <c r="C881" s="11" t="s">
        <v>96</v>
      </c>
      <c r="D881" s="5" t="s">
        <v>242</v>
      </c>
      <c r="E881" s="5" t="s">
        <v>189</v>
      </c>
      <c r="F881" s="5" t="s">
        <v>190</v>
      </c>
    </row>
    <row r="882" spans="1:6" x14ac:dyDescent="0.25">
      <c r="A882" s="5">
        <v>93827</v>
      </c>
      <c r="B882" s="10">
        <v>2900</v>
      </c>
      <c r="C882" s="11" t="s">
        <v>96</v>
      </c>
      <c r="D882" s="5" t="s">
        <v>242</v>
      </c>
      <c r="E882" s="5" t="s">
        <v>189</v>
      </c>
      <c r="F882" s="5" t="s">
        <v>190</v>
      </c>
    </row>
    <row r="883" spans="1:6" x14ac:dyDescent="0.25">
      <c r="A883" s="5">
        <v>93828</v>
      </c>
      <c r="B883" s="10">
        <v>2900</v>
      </c>
      <c r="C883" s="11" t="s">
        <v>96</v>
      </c>
      <c r="D883" s="5" t="s">
        <v>242</v>
      </c>
      <c r="E883" s="5" t="s">
        <v>189</v>
      </c>
      <c r="F883" s="5" t="s">
        <v>190</v>
      </c>
    </row>
    <row r="884" spans="1:6" x14ac:dyDescent="0.25">
      <c r="A884" s="5">
        <v>93831</v>
      </c>
      <c r="B884" s="10">
        <v>2900</v>
      </c>
      <c r="C884" s="11" t="s">
        <v>96</v>
      </c>
      <c r="D884" s="5" t="s">
        <v>242</v>
      </c>
      <c r="E884" s="5" t="s">
        <v>189</v>
      </c>
      <c r="F884" s="5" t="s">
        <v>190</v>
      </c>
    </row>
    <row r="885" spans="1:6" x14ac:dyDescent="0.25">
      <c r="A885" s="5">
        <v>93834</v>
      </c>
      <c r="B885" s="10">
        <v>2900</v>
      </c>
      <c r="C885" s="11" t="s">
        <v>96</v>
      </c>
      <c r="D885" s="5" t="s">
        <v>242</v>
      </c>
      <c r="E885" s="5" t="s">
        <v>189</v>
      </c>
      <c r="F885" s="5" t="s">
        <v>190</v>
      </c>
    </row>
    <row r="886" spans="1:6" x14ac:dyDescent="0.25">
      <c r="A886" s="5">
        <v>93842</v>
      </c>
      <c r="B886" s="10">
        <v>2900</v>
      </c>
      <c r="C886" s="11" t="s">
        <v>60</v>
      </c>
      <c r="D886" s="5" t="s">
        <v>245</v>
      </c>
      <c r="E886" s="5" t="s">
        <v>189</v>
      </c>
      <c r="F886" s="5" t="s">
        <v>190</v>
      </c>
    </row>
    <row r="887" spans="1:6" x14ac:dyDescent="0.25">
      <c r="A887" s="5">
        <v>93845</v>
      </c>
      <c r="B887" s="10">
        <v>2900</v>
      </c>
      <c r="C887" s="11" t="s">
        <v>86</v>
      </c>
      <c r="D887" s="5" t="s">
        <v>87</v>
      </c>
      <c r="E887" s="5" t="s">
        <v>189</v>
      </c>
      <c r="F887" s="5" t="s">
        <v>190</v>
      </c>
    </row>
    <row r="888" spans="1:6" x14ac:dyDescent="0.25">
      <c r="A888" s="5">
        <v>93846</v>
      </c>
      <c r="B888" s="10">
        <v>2900</v>
      </c>
      <c r="C888" s="11" t="s">
        <v>96</v>
      </c>
      <c r="D888" s="5" t="s">
        <v>242</v>
      </c>
      <c r="E888" s="5" t="s">
        <v>189</v>
      </c>
      <c r="F888" s="5" t="s">
        <v>190</v>
      </c>
    </row>
    <row r="889" spans="1:6" x14ac:dyDescent="0.25">
      <c r="A889" s="5">
        <v>93847</v>
      </c>
      <c r="B889" s="10">
        <v>2900</v>
      </c>
      <c r="C889" s="11" t="s">
        <v>96</v>
      </c>
      <c r="D889" s="5" t="s">
        <v>242</v>
      </c>
      <c r="E889" s="5" t="s">
        <v>189</v>
      </c>
      <c r="F889" s="5" t="s">
        <v>190</v>
      </c>
    </row>
    <row r="890" spans="1:6" x14ac:dyDescent="0.25">
      <c r="A890" s="5">
        <v>93849</v>
      </c>
      <c r="B890" s="10">
        <v>2900</v>
      </c>
      <c r="C890" s="11" t="s">
        <v>78</v>
      </c>
      <c r="D890" s="5" t="s">
        <v>244</v>
      </c>
      <c r="E890" s="5" t="s">
        <v>189</v>
      </c>
      <c r="F890" s="5" t="s">
        <v>190</v>
      </c>
    </row>
    <row r="891" spans="1:6" x14ac:dyDescent="0.25">
      <c r="A891" s="5">
        <v>93850</v>
      </c>
      <c r="B891" s="10">
        <v>2900</v>
      </c>
      <c r="C891" s="11" t="s">
        <v>60</v>
      </c>
      <c r="D891" s="5" t="s">
        <v>245</v>
      </c>
      <c r="E891" s="5" t="s">
        <v>189</v>
      </c>
      <c r="F891" s="5" t="s">
        <v>190</v>
      </c>
    </row>
    <row r="892" spans="1:6" x14ac:dyDescent="0.25">
      <c r="A892" s="5">
        <v>93851</v>
      </c>
      <c r="B892" s="10">
        <v>2900</v>
      </c>
      <c r="C892" s="11" t="s">
        <v>74</v>
      </c>
      <c r="D892" s="5" t="s">
        <v>243</v>
      </c>
      <c r="E892" s="5" t="s">
        <v>189</v>
      </c>
      <c r="F892" s="5" t="s">
        <v>190</v>
      </c>
    </row>
    <row r="893" spans="1:6" x14ac:dyDescent="0.25">
      <c r="A893" s="5">
        <v>93853</v>
      </c>
      <c r="B893" s="10">
        <v>2900</v>
      </c>
      <c r="C893" s="11" t="s">
        <v>96</v>
      </c>
      <c r="D893" s="5" t="s">
        <v>242</v>
      </c>
      <c r="E893" s="5" t="s">
        <v>189</v>
      </c>
      <c r="F893" s="5" t="s">
        <v>190</v>
      </c>
    </row>
    <row r="894" spans="1:6" x14ac:dyDescent="0.25">
      <c r="A894" s="5">
        <v>93855</v>
      </c>
      <c r="B894" s="10">
        <v>2900</v>
      </c>
      <c r="C894" s="11" t="s">
        <v>96</v>
      </c>
      <c r="D894" s="5" t="s">
        <v>242</v>
      </c>
      <c r="E894" s="5" t="s">
        <v>189</v>
      </c>
      <c r="F894" s="5" t="s">
        <v>190</v>
      </c>
    </row>
    <row r="895" spans="1:6" x14ac:dyDescent="0.25">
      <c r="A895" s="5">
        <v>93858</v>
      </c>
      <c r="B895" s="10">
        <v>2900</v>
      </c>
      <c r="C895" s="11" t="s">
        <v>96</v>
      </c>
      <c r="D895" s="5" t="s">
        <v>242</v>
      </c>
      <c r="E895" s="5" t="s">
        <v>189</v>
      </c>
      <c r="F895" s="5" t="s">
        <v>190</v>
      </c>
    </row>
    <row r="896" spans="1:6" x14ac:dyDescent="0.25">
      <c r="A896" s="5">
        <v>93859</v>
      </c>
      <c r="B896" s="10">
        <v>2900</v>
      </c>
      <c r="C896" s="11" t="s">
        <v>86</v>
      </c>
      <c r="D896" s="5" t="s">
        <v>87</v>
      </c>
      <c r="E896" s="5" t="s">
        <v>189</v>
      </c>
      <c r="F896" s="5" t="s">
        <v>190</v>
      </c>
    </row>
    <row r="897" spans="1:6" x14ac:dyDescent="0.25">
      <c r="A897" s="5">
        <v>93861</v>
      </c>
      <c r="B897" s="10">
        <v>2900</v>
      </c>
      <c r="C897" s="11" t="s">
        <v>74</v>
      </c>
      <c r="D897" s="5" t="s">
        <v>243</v>
      </c>
      <c r="E897" s="5" t="s">
        <v>189</v>
      </c>
      <c r="F897" s="5" t="s">
        <v>190</v>
      </c>
    </row>
    <row r="898" spans="1:6" x14ac:dyDescent="0.25">
      <c r="A898" s="5">
        <v>93871</v>
      </c>
      <c r="B898" s="10">
        <v>2900</v>
      </c>
      <c r="C898" s="11" t="s">
        <v>86</v>
      </c>
      <c r="D898" s="5" t="s">
        <v>87</v>
      </c>
      <c r="E898" s="5" t="s">
        <v>189</v>
      </c>
      <c r="F898" s="5" t="s">
        <v>190</v>
      </c>
    </row>
    <row r="899" spans="1:6" x14ac:dyDescent="0.25">
      <c r="A899" s="5">
        <v>93875</v>
      </c>
      <c r="B899" s="10">
        <v>2900</v>
      </c>
      <c r="C899" s="11" t="s">
        <v>86</v>
      </c>
      <c r="D899" s="5" t="s">
        <v>87</v>
      </c>
      <c r="E899" s="5" t="s">
        <v>189</v>
      </c>
      <c r="F899" s="5" t="s">
        <v>190</v>
      </c>
    </row>
    <row r="900" spans="1:6" x14ac:dyDescent="0.25">
      <c r="A900" s="5">
        <v>93876</v>
      </c>
      <c r="B900" s="10">
        <v>2900</v>
      </c>
      <c r="C900" s="11" t="s">
        <v>86</v>
      </c>
      <c r="D900" s="5" t="s">
        <v>87</v>
      </c>
      <c r="E900" s="5" t="s">
        <v>189</v>
      </c>
      <c r="F900" s="5" t="s">
        <v>190</v>
      </c>
    </row>
    <row r="901" spans="1:6" x14ac:dyDescent="0.25">
      <c r="A901" s="5">
        <v>93878</v>
      </c>
      <c r="B901" s="10">
        <v>2900</v>
      </c>
      <c r="C901" s="11" t="s">
        <v>102</v>
      </c>
      <c r="D901" s="5" t="s">
        <v>103</v>
      </c>
      <c r="E901" s="5" t="s">
        <v>189</v>
      </c>
      <c r="F901" s="5" t="s">
        <v>190</v>
      </c>
    </row>
    <row r="902" spans="1:6" x14ac:dyDescent="0.25">
      <c r="A902" s="5">
        <v>93883</v>
      </c>
      <c r="B902" s="10">
        <v>2900</v>
      </c>
      <c r="C902" s="11" t="s">
        <v>60</v>
      </c>
      <c r="D902" s="5" t="s">
        <v>245</v>
      </c>
      <c r="E902" s="5" t="s">
        <v>189</v>
      </c>
      <c r="F902" s="5" t="s">
        <v>190</v>
      </c>
    </row>
    <row r="903" spans="1:6" x14ac:dyDescent="0.25">
      <c r="A903" s="5">
        <v>93884</v>
      </c>
      <c r="B903" s="10">
        <v>2900</v>
      </c>
      <c r="C903" s="11" t="s">
        <v>78</v>
      </c>
      <c r="D903" s="5" t="s">
        <v>244</v>
      </c>
      <c r="E903" s="5" t="s">
        <v>189</v>
      </c>
      <c r="F903" s="5" t="s">
        <v>190</v>
      </c>
    </row>
    <row r="904" spans="1:6" x14ac:dyDescent="0.25">
      <c r="A904" s="5">
        <v>93886</v>
      </c>
      <c r="B904" s="10">
        <v>2900</v>
      </c>
      <c r="C904" s="11" t="s">
        <v>74</v>
      </c>
      <c r="D904" s="5" t="s">
        <v>243</v>
      </c>
      <c r="E904" s="5" t="s">
        <v>189</v>
      </c>
      <c r="F904" s="5" t="s">
        <v>190</v>
      </c>
    </row>
    <row r="905" spans="1:6" x14ac:dyDescent="0.25">
      <c r="A905" s="5">
        <v>93889</v>
      </c>
      <c r="B905" s="10">
        <v>2900</v>
      </c>
      <c r="C905" s="11" t="s">
        <v>74</v>
      </c>
      <c r="D905" s="5" t="s">
        <v>243</v>
      </c>
      <c r="E905" s="5" t="s">
        <v>189</v>
      </c>
      <c r="F905" s="5" t="s">
        <v>190</v>
      </c>
    </row>
    <row r="906" spans="1:6" x14ac:dyDescent="0.25">
      <c r="A906" s="5">
        <v>93891</v>
      </c>
      <c r="B906" s="10">
        <v>2900</v>
      </c>
      <c r="C906" s="11" t="s">
        <v>74</v>
      </c>
      <c r="D906" s="5" t="s">
        <v>243</v>
      </c>
      <c r="E906" s="5" t="s">
        <v>189</v>
      </c>
      <c r="F906" s="5" t="s">
        <v>190</v>
      </c>
    </row>
    <row r="907" spans="1:6" x14ac:dyDescent="0.25">
      <c r="A907" s="5">
        <v>93893</v>
      </c>
      <c r="B907" s="10">
        <v>2900</v>
      </c>
      <c r="C907" s="11" t="s">
        <v>74</v>
      </c>
      <c r="D907" s="5" t="s">
        <v>243</v>
      </c>
      <c r="E907" s="5" t="s">
        <v>189</v>
      </c>
      <c r="F907" s="5" t="s">
        <v>190</v>
      </c>
    </row>
    <row r="908" spans="1:6" x14ac:dyDescent="0.25">
      <c r="A908" s="5">
        <v>93894</v>
      </c>
      <c r="B908" s="10">
        <v>2900</v>
      </c>
      <c r="C908" s="11" t="s">
        <v>74</v>
      </c>
      <c r="D908" s="5" t="s">
        <v>243</v>
      </c>
      <c r="E908" s="5" t="s">
        <v>189</v>
      </c>
      <c r="F908" s="5" t="s">
        <v>190</v>
      </c>
    </row>
    <row r="909" spans="1:6" x14ac:dyDescent="0.25">
      <c r="A909" s="5">
        <v>93897</v>
      </c>
      <c r="B909" s="10">
        <v>2900</v>
      </c>
      <c r="C909" s="11" t="s">
        <v>74</v>
      </c>
      <c r="D909" s="5" t="s">
        <v>243</v>
      </c>
      <c r="E909" s="5" t="s">
        <v>189</v>
      </c>
      <c r="F909" s="5" t="s">
        <v>190</v>
      </c>
    </row>
    <row r="910" spans="1:6" x14ac:dyDescent="0.25">
      <c r="A910" s="5">
        <v>93898</v>
      </c>
      <c r="B910" s="10">
        <v>2900</v>
      </c>
      <c r="C910" s="11" t="s">
        <v>74</v>
      </c>
      <c r="D910" s="5" t="s">
        <v>243</v>
      </c>
      <c r="E910" s="5" t="s">
        <v>189</v>
      </c>
      <c r="F910" s="5" t="s">
        <v>190</v>
      </c>
    </row>
    <row r="911" spans="1:6" x14ac:dyDescent="0.25">
      <c r="A911" s="5">
        <v>93901</v>
      </c>
      <c r="B911" s="10">
        <v>1450</v>
      </c>
      <c r="C911" s="11" t="s">
        <v>102</v>
      </c>
      <c r="D911" s="5" t="s">
        <v>103</v>
      </c>
      <c r="E911" s="5" t="s">
        <v>189</v>
      </c>
      <c r="F911" s="5" t="s">
        <v>190</v>
      </c>
    </row>
    <row r="912" spans="1:6" x14ac:dyDescent="0.25">
      <c r="A912" s="5">
        <v>93902</v>
      </c>
      <c r="B912" s="10">
        <v>2900</v>
      </c>
      <c r="C912" s="11" t="s">
        <v>96</v>
      </c>
      <c r="D912" s="5" t="s">
        <v>242</v>
      </c>
      <c r="E912" s="5" t="s">
        <v>189</v>
      </c>
      <c r="F912" s="5" t="s">
        <v>190</v>
      </c>
    </row>
    <row r="913" spans="1:6" x14ac:dyDescent="0.25">
      <c r="A913" s="5">
        <v>93913</v>
      </c>
      <c r="B913" s="10">
        <v>2900</v>
      </c>
      <c r="C913" s="11" t="s">
        <v>74</v>
      </c>
      <c r="D913" s="5" t="s">
        <v>243</v>
      </c>
      <c r="E913" s="5" t="s">
        <v>189</v>
      </c>
      <c r="F913" s="5" t="s">
        <v>190</v>
      </c>
    </row>
    <row r="914" spans="1:6" x14ac:dyDescent="0.25">
      <c r="A914" s="5">
        <v>93924</v>
      </c>
      <c r="B914" s="10">
        <v>2900</v>
      </c>
      <c r="C914" s="11" t="s">
        <v>38</v>
      </c>
      <c r="D914" s="5" t="s">
        <v>246</v>
      </c>
      <c r="E914" s="5" t="s">
        <v>189</v>
      </c>
      <c r="F914" s="5" t="s">
        <v>190</v>
      </c>
    </row>
    <row r="915" spans="1:6" x14ac:dyDescent="0.25">
      <c r="A915" s="5">
        <v>93927</v>
      </c>
      <c r="B915" s="10">
        <v>2900</v>
      </c>
      <c r="C915" s="11" t="s">
        <v>82</v>
      </c>
      <c r="D915" s="5" t="s">
        <v>256</v>
      </c>
      <c r="E915" s="5" t="s">
        <v>189</v>
      </c>
      <c r="F915" s="5" t="s">
        <v>190</v>
      </c>
    </row>
    <row r="916" spans="1:6" x14ac:dyDescent="0.25">
      <c r="A916" s="5">
        <v>93932</v>
      </c>
      <c r="B916" s="10">
        <v>2900</v>
      </c>
      <c r="C916" s="11" t="s">
        <v>118</v>
      </c>
      <c r="D916" s="5" t="s">
        <v>119</v>
      </c>
      <c r="E916" s="5" t="s">
        <v>189</v>
      </c>
      <c r="F916" s="5" t="s">
        <v>190</v>
      </c>
    </row>
    <row r="917" spans="1:6" x14ac:dyDescent="0.25">
      <c r="A917" s="5">
        <v>93937</v>
      </c>
      <c r="B917" s="10">
        <v>2900</v>
      </c>
      <c r="C917" s="11" t="s">
        <v>86</v>
      </c>
      <c r="D917" s="5" t="s">
        <v>87</v>
      </c>
      <c r="E917" s="5" t="s">
        <v>189</v>
      </c>
      <c r="F917" s="5" t="s">
        <v>190</v>
      </c>
    </row>
    <row r="918" spans="1:6" x14ac:dyDescent="0.25">
      <c r="A918" s="5">
        <v>93939</v>
      </c>
      <c r="B918" s="10">
        <v>2900</v>
      </c>
      <c r="C918" s="11" t="s">
        <v>96</v>
      </c>
      <c r="D918" s="5" t="s">
        <v>242</v>
      </c>
      <c r="E918" s="5" t="s">
        <v>189</v>
      </c>
      <c r="F918" s="5" t="s">
        <v>190</v>
      </c>
    </row>
    <row r="919" spans="1:6" x14ac:dyDescent="0.25">
      <c r="A919" s="5">
        <v>93940</v>
      </c>
      <c r="B919" s="10">
        <v>2900</v>
      </c>
      <c r="C919" s="11" t="s">
        <v>96</v>
      </c>
      <c r="D919" s="5" t="s">
        <v>242</v>
      </c>
      <c r="E919" s="5" t="s">
        <v>189</v>
      </c>
      <c r="F919" s="5" t="s">
        <v>190</v>
      </c>
    </row>
    <row r="920" spans="1:6" x14ac:dyDescent="0.25">
      <c r="A920" s="5">
        <v>93943</v>
      </c>
      <c r="B920" s="10">
        <v>2900</v>
      </c>
      <c r="C920" s="11" t="s">
        <v>96</v>
      </c>
      <c r="D920" s="5" t="s">
        <v>242</v>
      </c>
      <c r="E920" s="5" t="s">
        <v>189</v>
      </c>
      <c r="F920" s="5" t="s">
        <v>190</v>
      </c>
    </row>
    <row r="921" spans="1:6" x14ac:dyDescent="0.25">
      <c r="A921" s="5">
        <v>93946</v>
      </c>
      <c r="B921" s="10">
        <v>2900</v>
      </c>
      <c r="C921" s="11" t="s">
        <v>96</v>
      </c>
      <c r="D921" s="5" t="s">
        <v>242</v>
      </c>
      <c r="E921" s="5" t="s">
        <v>189</v>
      </c>
      <c r="F921" s="5" t="s">
        <v>190</v>
      </c>
    </row>
    <row r="922" spans="1:6" x14ac:dyDescent="0.25">
      <c r="A922" s="5">
        <v>93953</v>
      </c>
      <c r="B922" s="10">
        <v>2900</v>
      </c>
      <c r="C922" s="11" t="s">
        <v>74</v>
      </c>
      <c r="D922" s="5" t="s">
        <v>243</v>
      </c>
      <c r="E922" s="5" t="s">
        <v>189</v>
      </c>
      <c r="F922" s="5" t="s">
        <v>190</v>
      </c>
    </row>
    <row r="923" spans="1:6" x14ac:dyDescent="0.25">
      <c r="A923" s="5">
        <v>93955</v>
      </c>
      <c r="B923" s="10">
        <v>2900</v>
      </c>
      <c r="C923" s="11" t="s">
        <v>74</v>
      </c>
      <c r="D923" s="5" t="s">
        <v>243</v>
      </c>
      <c r="E923" s="5" t="s">
        <v>189</v>
      </c>
      <c r="F923" s="5" t="s">
        <v>190</v>
      </c>
    </row>
    <row r="924" spans="1:6" x14ac:dyDescent="0.25">
      <c r="A924" s="5">
        <v>93956</v>
      </c>
      <c r="B924" s="10">
        <v>2900</v>
      </c>
      <c r="C924" s="11" t="s">
        <v>86</v>
      </c>
      <c r="D924" s="5" t="s">
        <v>87</v>
      </c>
      <c r="E924" s="5" t="s">
        <v>189</v>
      </c>
      <c r="F924" s="5" t="s">
        <v>190</v>
      </c>
    </row>
    <row r="925" spans="1:6" x14ac:dyDescent="0.25">
      <c r="A925" s="5">
        <v>93957</v>
      </c>
      <c r="B925" s="10">
        <v>2900</v>
      </c>
      <c r="C925" s="11" t="s">
        <v>86</v>
      </c>
      <c r="D925" s="5" t="s">
        <v>87</v>
      </c>
      <c r="E925" s="5" t="s">
        <v>189</v>
      </c>
      <c r="F925" s="5" t="s">
        <v>190</v>
      </c>
    </row>
    <row r="926" spans="1:6" x14ac:dyDescent="0.25">
      <c r="A926" s="5">
        <v>93960</v>
      </c>
      <c r="B926" s="10">
        <v>2900</v>
      </c>
      <c r="C926" s="11" t="s">
        <v>60</v>
      </c>
      <c r="D926" s="5" t="s">
        <v>245</v>
      </c>
      <c r="E926" s="5" t="s">
        <v>189</v>
      </c>
      <c r="F926" s="5" t="s">
        <v>190</v>
      </c>
    </row>
    <row r="927" spans="1:6" x14ac:dyDescent="0.25">
      <c r="A927" s="5">
        <v>93962</v>
      </c>
      <c r="B927" s="10">
        <v>2900</v>
      </c>
      <c r="C927" s="11" t="s">
        <v>82</v>
      </c>
      <c r="D927" s="5" t="s">
        <v>256</v>
      </c>
      <c r="E927" s="5" t="s">
        <v>189</v>
      </c>
      <c r="F927" s="5" t="s">
        <v>190</v>
      </c>
    </row>
    <row r="928" spans="1:6" x14ac:dyDescent="0.25">
      <c r="A928" s="5">
        <v>93964</v>
      </c>
      <c r="B928" s="10">
        <v>2900</v>
      </c>
      <c r="C928" s="11" t="s">
        <v>60</v>
      </c>
      <c r="D928" s="5" t="s">
        <v>245</v>
      </c>
      <c r="E928" s="5" t="s">
        <v>189</v>
      </c>
      <c r="F928" s="5" t="s">
        <v>190</v>
      </c>
    </row>
    <row r="929" spans="1:6" x14ac:dyDescent="0.25">
      <c r="A929" s="5">
        <v>93965</v>
      </c>
      <c r="B929" s="10">
        <v>2900</v>
      </c>
      <c r="C929" s="11" t="s">
        <v>74</v>
      </c>
      <c r="D929" s="5" t="s">
        <v>243</v>
      </c>
      <c r="E929" s="5" t="s">
        <v>189</v>
      </c>
      <c r="F929" s="5" t="s">
        <v>190</v>
      </c>
    </row>
    <row r="930" spans="1:6" x14ac:dyDescent="0.25">
      <c r="A930" s="5">
        <v>93974</v>
      </c>
      <c r="B930" s="10">
        <v>2900</v>
      </c>
      <c r="C930" s="11" t="s">
        <v>118</v>
      </c>
      <c r="D930" s="5" t="s">
        <v>119</v>
      </c>
      <c r="E930" s="5" t="s">
        <v>189</v>
      </c>
      <c r="F930" s="5" t="s">
        <v>190</v>
      </c>
    </row>
    <row r="931" spans="1:6" x14ac:dyDescent="0.25">
      <c r="A931" s="5">
        <v>93977</v>
      </c>
      <c r="B931" s="10">
        <v>2900</v>
      </c>
      <c r="C931" s="11" t="s">
        <v>96</v>
      </c>
      <c r="D931" s="5" t="s">
        <v>242</v>
      </c>
      <c r="E931" s="5" t="s">
        <v>189</v>
      </c>
      <c r="F931" s="5" t="s">
        <v>190</v>
      </c>
    </row>
    <row r="932" spans="1:6" x14ac:dyDescent="0.25">
      <c r="A932" s="5">
        <v>93978</v>
      </c>
      <c r="B932" s="10">
        <v>2900</v>
      </c>
      <c r="C932" s="11" t="s">
        <v>104</v>
      </c>
      <c r="D932" s="5" t="s">
        <v>254</v>
      </c>
      <c r="E932" s="5" t="s">
        <v>189</v>
      </c>
      <c r="F932" s="5" t="s">
        <v>190</v>
      </c>
    </row>
    <row r="933" spans="1:6" x14ac:dyDescent="0.25">
      <c r="A933" s="5">
        <v>93991</v>
      </c>
      <c r="B933" s="10">
        <v>2900</v>
      </c>
      <c r="C933" s="11" t="s">
        <v>72</v>
      </c>
      <c r="D933" s="5" t="s">
        <v>73</v>
      </c>
      <c r="E933" s="5" t="s">
        <v>189</v>
      </c>
      <c r="F933" s="5" t="s">
        <v>190</v>
      </c>
    </row>
    <row r="934" spans="1:6" x14ac:dyDescent="0.25">
      <c r="A934" s="5">
        <v>93993</v>
      </c>
      <c r="B934" s="10">
        <v>2900</v>
      </c>
      <c r="C934" s="11" t="s">
        <v>102</v>
      </c>
      <c r="D934" s="5" t="s">
        <v>103</v>
      </c>
      <c r="E934" s="5" t="s">
        <v>189</v>
      </c>
      <c r="F934" s="5" t="s">
        <v>190</v>
      </c>
    </row>
    <row r="935" spans="1:6" x14ac:dyDescent="0.25">
      <c r="A935" s="5">
        <v>94007</v>
      </c>
      <c r="B935" s="10">
        <v>2900</v>
      </c>
      <c r="C935" s="11" t="s">
        <v>86</v>
      </c>
      <c r="D935" s="5" t="s">
        <v>87</v>
      </c>
      <c r="E935" s="5" t="s">
        <v>189</v>
      </c>
      <c r="F935" s="5" t="s">
        <v>190</v>
      </c>
    </row>
    <row r="936" spans="1:6" x14ac:dyDescent="0.25">
      <c r="A936" s="5">
        <v>94008</v>
      </c>
      <c r="B936" s="10">
        <v>2900</v>
      </c>
      <c r="C936" s="11" t="s">
        <v>86</v>
      </c>
      <c r="D936" s="5" t="s">
        <v>87</v>
      </c>
      <c r="E936" s="5" t="s">
        <v>189</v>
      </c>
      <c r="F936" s="5" t="s">
        <v>190</v>
      </c>
    </row>
    <row r="937" spans="1:6" x14ac:dyDescent="0.25">
      <c r="A937" s="5">
        <v>94009</v>
      </c>
      <c r="B937" s="10">
        <v>2900</v>
      </c>
      <c r="C937" s="11" t="s">
        <v>86</v>
      </c>
      <c r="D937" s="5" t="s">
        <v>87</v>
      </c>
      <c r="E937" s="5" t="s">
        <v>189</v>
      </c>
      <c r="F937" s="5" t="s">
        <v>190</v>
      </c>
    </row>
    <row r="938" spans="1:6" x14ac:dyDescent="0.25">
      <c r="A938" s="5">
        <v>94011</v>
      </c>
      <c r="B938" s="10">
        <v>2900</v>
      </c>
      <c r="C938" s="11" t="s">
        <v>86</v>
      </c>
      <c r="D938" s="5" t="s">
        <v>87</v>
      </c>
      <c r="E938" s="5" t="s">
        <v>189</v>
      </c>
      <c r="F938" s="5" t="s">
        <v>190</v>
      </c>
    </row>
    <row r="939" spans="1:6" x14ac:dyDescent="0.25">
      <c r="A939" s="5">
        <v>94027</v>
      </c>
      <c r="B939" s="10">
        <v>2900</v>
      </c>
      <c r="C939" s="11" t="s">
        <v>74</v>
      </c>
      <c r="D939" s="5" t="s">
        <v>243</v>
      </c>
      <c r="E939" s="5" t="s">
        <v>189</v>
      </c>
      <c r="F939" s="5" t="s">
        <v>190</v>
      </c>
    </row>
    <row r="940" spans="1:6" x14ac:dyDescent="0.25">
      <c r="A940" s="5">
        <v>94030</v>
      </c>
      <c r="B940" s="10">
        <v>2900</v>
      </c>
      <c r="C940" s="11" t="s">
        <v>96</v>
      </c>
      <c r="D940" s="5" t="s">
        <v>242</v>
      </c>
      <c r="E940" s="5" t="s">
        <v>189</v>
      </c>
      <c r="F940" s="5" t="s">
        <v>190</v>
      </c>
    </row>
    <row r="941" spans="1:6" x14ac:dyDescent="0.25">
      <c r="A941" s="5">
        <v>94042</v>
      </c>
      <c r="B941" s="10">
        <v>2900</v>
      </c>
      <c r="C941" s="11" t="s">
        <v>104</v>
      </c>
      <c r="D941" s="5" t="s">
        <v>254</v>
      </c>
      <c r="E941" s="5" t="s">
        <v>189</v>
      </c>
      <c r="F941" s="5" t="s">
        <v>190</v>
      </c>
    </row>
    <row r="942" spans="1:6" x14ac:dyDescent="0.25">
      <c r="A942" s="5">
        <v>94048</v>
      </c>
      <c r="B942" s="10">
        <v>2900</v>
      </c>
      <c r="C942" s="11" t="s">
        <v>78</v>
      </c>
      <c r="D942" s="5" t="s">
        <v>244</v>
      </c>
      <c r="E942" s="5" t="s">
        <v>189</v>
      </c>
      <c r="F942" s="5" t="s">
        <v>190</v>
      </c>
    </row>
    <row r="943" spans="1:6" x14ac:dyDescent="0.25">
      <c r="A943" s="5">
        <v>94049</v>
      </c>
      <c r="B943" s="10">
        <v>2900</v>
      </c>
      <c r="C943" s="11" t="s">
        <v>96</v>
      </c>
      <c r="D943" s="5" t="s">
        <v>242</v>
      </c>
      <c r="E943" s="5" t="s">
        <v>189</v>
      </c>
      <c r="F943" s="5" t="s">
        <v>190</v>
      </c>
    </row>
    <row r="944" spans="1:6" x14ac:dyDescent="0.25">
      <c r="A944" s="5">
        <v>94057</v>
      </c>
      <c r="B944" s="10">
        <v>2900</v>
      </c>
      <c r="C944" s="11" t="s">
        <v>102</v>
      </c>
      <c r="D944" s="5" t="s">
        <v>103</v>
      </c>
      <c r="E944" s="5" t="s">
        <v>189</v>
      </c>
      <c r="F944" s="5" t="s">
        <v>190</v>
      </c>
    </row>
    <row r="945" spans="1:6" x14ac:dyDescent="0.25">
      <c r="A945" s="5">
        <v>94063</v>
      </c>
      <c r="B945" s="10">
        <v>2900</v>
      </c>
      <c r="C945" s="11" t="s">
        <v>82</v>
      </c>
      <c r="D945" s="5" t="s">
        <v>256</v>
      </c>
      <c r="E945" s="5" t="s">
        <v>189</v>
      </c>
      <c r="F945" s="5" t="s">
        <v>190</v>
      </c>
    </row>
    <row r="946" spans="1:6" x14ac:dyDescent="0.25">
      <c r="A946" s="5">
        <v>94065</v>
      </c>
      <c r="B946" s="10">
        <v>2900</v>
      </c>
      <c r="C946" s="11" t="s">
        <v>72</v>
      </c>
      <c r="D946" s="5" t="s">
        <v>73</v>
      </c>
      <c r="E946" s="5" t="s">
        <v>189</v>
      </c>
      <c r="F946" s="5" t="s">
        <v>190</v>
      </c>
    </row>
    <row r="947" spans="1:6" x14ac:dyDescent="0.25">
      <c r="A947" s="5">
        <v>94066</v>
      </c>
      <c r="B947" s="10">
        <v>2900</v>
      </c>
      <c r="C947" s="11" t="s">
        <v>102</v>
      </c>
      <c r="D947" s="5" t="s">
        <v>103</v>
      </c>
      <c r="E947" s="5" t="s">
        <v>189</v>
      </c>
      <c r="F947" s="5" t="s">
        <v>190</v>
      </c>
    </row>
    <row r="948" spans="1:6" x14ac:dyDescent="0.25">
      <c r="A948" s="5">
        <v>94084</v>
      </c>
      <c r="B948" s="10">
        <v>2900</v>
      </c>
      <c r="C948" s="11" t="s">
        <v>60</v>
      </c>
      <c r="D948" s="5" t="s">
        <v>245</v>
      </c>
      <c r="E948" s="5" t="s">
        <v>189</v>
      </c>
      <c r="F948" s="5" t="s">
        <v>190</v>
      </c>
    </row>
    <row r="949" spans="1:6" x14ac:dyDescent="0.25">
      <c r="A949" s="5">
        <v>94085</v>
      </c>
      <c r="B949" s="10">
        <v>2900</v>
      </c>
      <c r="C949" s="11" t="s">
        <v>104</v>
      </c>
      <c r="D949" s="5" t="s">
        <v>254</v>
      </c>
      <c r="E949" s="5" t="s">
        <v>189</v>
      </c>
      <c r="F949" s="5" t="s">
        <v>190</v>
      </c>
    </row>
    <row r="950" spans="1:6" x14ac:dyDescent="0.25">
      <c r="A950" s="5">
        <v>94090</v>
      </c>
      <c r="B950" s="10">
        <v>2900</v>
      </c>
      <c r="C950" s="11" t="s">
        <v>74</v>
      </c>
      <c r="D950" s="5" t="s">
        <v>243</v>
      </c>
      <c r="E950" s="5" t="s">
        <v>189</v>
      </c>
      <c r="F950" s="5" t="s">
        <v>190</v>
      </c>
    </row>
    <row r="951" spans="1:6" x14ac:dyDescent="0.25">
      <c r="A951" s="5">
        <v>94096</v>
      </c>
      <c r="B951" s="10">
        <v>2900</v>
      </c>
      <c r="C951" s="11" t="s">
        <v>86</v>
      </c>
      <c r="D951" s="5" t="s">
        <v>87</v>
      </c>
      <c r="E951" s="5" t="s">
        <v>189</v>
      </c>
      <c r="F951" s="5" t="s">
        <v>190</v>
      </c>
    </row>
    <row r="952" spans="1:6" x14ac:dyDescent="0.25">
      <c r="A952" s="5">
        <v>94101</v>
      </c>
      <c r="B952" s="10">
        <v>2900</v>
      </c>
      <c r="C952" s="11" t="s">
        <v>64</v>
      </c>
      <c r="D952" s="5" t="s">
        <v>251</v>
      </c>
      <c r="E952" s="5" t="s">
        <v>189</v>
      </c>
      <c r="F952" s="5" t="s">
        <v>190</v>
      </c>
    </row>
    <row r="953" spans="1:6" x14ac:dyDescent="0.25">
      <c r="A953" s="5">
        <v>94103</v>
      </c>
      <c r="B953" s="10">
        <v>2900</v>
      </c>
      <c r="C953" s="11" t="s">
        <v>102</v>
      </c>
      <c r="D953" s="5" t="s">
        <v>103</v>
      </c>
      <c r="E953" s="5" t="s">
        <v>189</v>
      </c>
      <c r="F953" s="5" t="s">
        <v>190</v>
      </c>
    </row>
    <row r="954" spans="1:6" x14ac:dyDescent="0.25">
      <c r="A954" s="5">
        <v>94104</v>
      </c>
      <c r="B954" s="10">
        <v>2900</v>
      </c>
      <c r="C954" s="11" t="s">
        <v>86</v>
      </c>
      <c r="D954" s="5" t="s">
        <v>87</v>
      </c>
      <c r="E954" s="5" t="s">
        <v>189</v>
      </c>
      <c r="F954" s="5" t="s">
        <v>190</v>
      </c>
    </row>
    <row r="955" spans="1:6" x14ac:dyDescent="0.25">
      <c r="A955" s="5">
        <v>94105</v>
      </c>
      <c r="B955" s="10">
        <v>2900</v>
      </c>
      <c r="C955" s="11" t="s">
        <v>96</v>
      </c>
      <c r="D955" s="5" t="s">
        <v>242</v>
      </c>
      <c r="E955" s="5" t="s">
        <v>189</v>
      </c>
      <c r="F955" s="5" t="s">
        <v>190</v>
      </c>
    </row>
    <row r="956" spans="1:6" x14ac:dyDescent="0.25">
      <c r="A956" s="5">
        <v>94106</v>
      </c>
      <c r="B956" s="10">
        <v>2900</v>
      </c>
      <c r="C956" s="11" t="s">
        <v>138</v>
      </c>
      <c r="D956" s="5" t="s">
        <v>139</v>
      </c>
      <c r="E956" s="5" t="s">
        <v>189</v>
      </c>
      <c r="F956" s="5" t="s">
        <v>190</v>
      </c>
    </row>
    <row r="957" spans="1:6" x14ac:dyDescent="0.25">
      <c r="A957" s="5">
        <v>94109</v>
      </c>
      <c r="B957" s="10">
        <v>2900</v>
      </c>
      <c r="C957" s="11" t="s">
        <v>102</v>
      </c>
      <c r="D957" s="5" t="s">
        <v>103</v>
      </c>
      <c r="E957" s="5" t="s">
        <v>189</v>
      </c>
      <c r="F957" s="5" t="s">
        <v>190</v>
      </c>
    </row>
    <row r="958" spans="1:6" x14ac:dyDescent="0.25">
      <c r="A958" s="5">
        <v>94121</v>
      </c>
      <c r="B958" s="10">
        <v>2900</v>
      </c>
      <c r="C958" s="11" t="s">
        <v>38</v>
      </c>
      <c r="D958" s="5" t="s">
        <v>246</v>
      </c>
      <c r="E958" s="5" t="s">
        <v>189</v>
      </c>
      <c r="F958" s="5" t="s">
        <v>190</v>
      </c>
    </row>
    <row r="959" spans="1:6" x14ac:dyDescent="0.25">
      <c r="A959" s="5">
        <v>94123</v>
      </c>
      <c r="B959" s="10">
        <v>2900</v>
      </c>
      <c r="C959" s="11" t="s">
        <v>86</v>
      </c>
      <c r="D959" s="5" t="s">
        <v>87</v>
      </c>
      <c r="E959" s="5" t="s">
        <v>189</v>
      </c>
      <c r="F959" s="5" t="s">
        <v>190</v>
      </c>
    </row>
    <row r="960" spans="1:6" x14ac:dyDescent="0.25">
      <c r="A960" s="5">
        <v>94124</v>
      </c>
      <c r="B960" s="10">
        <v>2900</v>
      </c>
      <c r="C960" s="11" t="s">
        <v>86</v>
      </c>
      <c r="D960" s="5" t="s">
        <v>87</v>
      </c>
      <c r="E960" s="5" t="s">
        <v>189</v>
      </c>
      <c r="F960" s="5" t="s">
        <v>190</v>
      </c>
    </row>
    <row r="961" spans="1:6" x14ac:dyDescent="0.25">
      <c r="A961" s="5">
        <v>94125</v>
      </c>
      <c r="B961" s="10">
        <v>2900</v>
      </c>
      <c r="C961" s="11" t="s">
        <v>96</v>
      </c>
      <c r="D961" s="5" t="s">
        <v>242</v>
      </c>
      <c r="E961" s="5" t="s">
        <v>189</v>
      </c>
      <c r="F961" s="5" t="s">
        <v>190</v>
      </c>
    </row>
    <row r="962" spans="1:6" x14ac:dyDescent="0.25">
      <c r="A962" s="5">
        <v>94127</v>
      </c>
      <c r="B962" s="10">
        <v>2900</v>
      </c>
      <c r="C962" s="11" t="s">
        <v>102</v>
      </c>
      <c r="D962" s="5" t="s">
        <v>103</v>
      </c>
      <c r="E962" s="5" t="s">
        <v>189</v>
      </c>
      <c r="F962" s="5" t="s">
        <v>190</v>
      </c>
    </row>
    <row r="963" spans="1:6" x14ac:dyDescent="0.25">
      <c r="A963" s="5">
        <v>94132</v>
      </c>
      <c r="B963" s="10">
        <v>2900</v>
      </c>
      <c r="C963" s="11" t="s">
        <v>74</v>
      </c>
      <c r="D963" s="5" t="s">
        <v>243</v>
      </c>
      <c r="E963" s="5" t="s">
        <v>189</v>
      </c>
      <c r="F963" s="5" t="s">
        <v>190</v>
      </c>
    </row>
    <row r="964" spans="1:6" x14ac:dyDescent="0.25">
      <c r="A964" s="5">
        <v>94155</v>
      </c>
      <c r="B964" s="10">
        <v>2900</v>
      </c>
      <c r="C964" s="11" t="s">
        <v>110</v>
      </c>
      <c r="D964" s="5" t="s">
        <v>111</v>
      </c>
      <c r="E964" s="5" t="s">
        <v>189</v>
      </c>
      <c r="F964" s="5" t="s">
        <v>190</v>
      </c>
    </row>
    <row r="965" spans="1:6" x14ac:dyDescent="0.25">
      <c r="A965" s="5">
        <v>94158</v>
      </c>
      <c r="B965" s="10">
        <v>2900</v>
      </c>
      <c r="C965" s="11" t="s">
        <v>138</v>
      </c>
      <c r="D965" s="5" t="s">
        <v>139</v>
      </c>
      <c r="E965" s="5" t="s">
        <v>189</v>
      </c>
      <c r="F965" s="5" t="s">
        <v>190</v>
      </c>
    </row>
    <row r="966" spans="1:6" x14ac:dyDescent="0.25">
      <c r="A966" s="5">
        <v>94168</v>
      </c>
      <c r="B966" s="10">
        <v>2900</v>
      </c>
      <c r="C966" s="11" t="s">
        <v>82</v>
      </c>
      <c r="D966" s="5" t="s">
        <v>256</v>
      </c>
      <c r="E966" s="5" t="s">
        <v>189</v>
      </c>
      <c r="F966" s="5" t="s">
        <v>190</v>
      </c>
    </row>
    <row r="967" spans="1:6" x14ac:dyDescent="0.25">
      <c r="A967" s="5">
        <v>94169</v>
      </c>
      <c r="B967" s="10">
        <v>2900</v>
      </c>
      <c r="C967" s="11" t="s">
        <v>106</v>
      </c>
      <c r="D967" s="5" t="s">
        <v>258</v>
      </c>
      <c r="E967" s="5" t="s">
        <v>189</v>
      </c>
      <c r="F967" s="5" t="s">
        <v>190</v>
      </c>
    </row>
    <row r="968" spans="1:6" x14ac:dyDescent="0.25">
      <c r="A968" s="5">
        <v>94176</v>
      </c>
      <c r="B968" s="10">
        <v>2900</v>
      </c>
      <c r="C968" s="11" t="s">
        <v>104</v>
      </c>
      <c r="D968" s="5" t="s">
        <v>254</v>
      </c>
      <c r="E968" s="5" t="s">
        <v>189</v>
      </c>
      <c r="F968" s="5" t="s">
        <v>190</v>
      </c>
    </row>
    <row r="969" spans="1:6" x14ac:dyDescent="0.25">
      <c r="A969" s="5">
        <v>94185</v>
      </c>
      <c r="B969" s="10">
        <v>2900</v>
      </c>
      <c r="C969" s="11" t="s">
        <v>118</v>
      </c>
      <c r="D969" s="5" t="s">
        <v>119</v>
      </c>
      <c r="E969" s="5" t="s">
        <v>189</v>
      </c>
      <c r="F969" s="5" t="s">
        <v>190</v>
      </c>
    </row>
    <row r="970" spans="1:6" x14ac:dyDescent="0.25">
      <c r="A970" s="5">
        <v>94189</v>
      </c>
      <c r="B970" s="10">
        <v>2900</v>
      </c>
      <c r="C970" s="11" t="s">
        <v>118</v>
      </c>
      <c r="D970" s="5" t="s">
        <v>119</v>
      </c>
      <c r="E970" s="5" t="s">
        <v>189</v>
      </c>
      <c r="F970" s="5" t="s">
        <v>190</v>
      </c>
    </row>
    <row r="971" spans="1:6" x14ac:dyDescent="0.25">
      <c r="A971" s="5">
        <v>94190</v>
      </c>
      <c r="B971" s="10">
        <v>2900</v>
      </c>
      <c r="C971" s="11" t="s">
        <v>118</v>
      </c>
      <c r="D971" s="5" t="s">
        <v>119</v>
      </c>
      <c r="E971" s="5" t="s">
        <v>189</v>
      </c>
      <c r="F971" s="5" t="s">
        <v>190</v>
      </c>
    </row>
    <row r="972" spans="1:6" x14ac:dyDescent="0.25">
      <c r="A972" s="5">
        <v>94195</v>
      </c>
      <c r="B972" s="10">
        <v>2900</v>
      </c>
      <c r="C972" s="11" t="s">
        <v>74</v>
      </c>
      <c r="D972" s="5" t="s">
        <v>243</v>
      </c>
      <c r="E972" s="5" t="s">
        <v>189</v>
      </c>
      <c r="F972" s="5" t="s">
        <v>190</v>
      </c>
    </row>
    <row r="973" spans="1:6" x14ac:dyDescent="0.25">
      <c r="A973" s="5">
        <v>94196</v>
      </c>
      <c r="B973" s="10">
        <v>2900</v>
      </c>
      <c r="C973" s="11" t="s">
        <v>106</v>
      </c>
      <c r="D973" s="5" t="s">
        <v>258</v>
      </c>
      <c r="E973" s="5" t="s">
        <v>189</v>
      </c>
      <c r="F973" s="5" t="s">
        <v>190</v>
      </c>
    </row>
    <row r="974" spans="1:6" x14ac:dyDescent="0.25">
      <c r="A974" s="5">
        <v>94203</v>
      </c>
      <c r="B974" s="10">
        <v>2900</v>
      </c>
      <c r="C974" s="11" t="s">
        <v>82</v>
      </c>
      <c r="D974" s="5" t="s">
        <v>256</v>
      </c>
      <c r="E974" s="5" t="s">
        <v>189</v>
      </c>
      <c r="F974" s="5" t="s">
        <v>190</v>
      </c>
    </row>
    <row r="975" spans="1:6" x14ac:dyDescent="0.25">
      <c r="A975" s="5">
        <v>94204</v>
      </c>
      <c r="B975" s="10">
        <v>2900</v>
      </c>
      <c r="C975" s="11" t="s">
        <v>58</v>
      </c>
      <c r="D975" s="5" t="s">
        <v>59</v>
      </c>
      <c r="E975" s="5" t="s">
        <v>189</v>
      </c>
      <c r="F975" s="5" t="s">
        <v>190</v>
      </c>
    </row>
    <row r="976" spans="1:6" x14ac:dyDescent="0.25">
      <c r="A976" s="5">
        <v>94209</v>
      </c>
      <c r="B976" s="10">
        <v>2900</v>
      </c>
      <c r="C976" s="11" t="s">
        <v>78</v>
      </c>
      <c r="D976" s="5" t="s">
        <v>244</v>
      </c>
      <c r="E976" s="5" t="s">
        <v>189</v>
      </c>
      <c r="F976" s="5" t="s">
        <v>190</v>
      </c>
    </row>
    <row r="977" spans="1:6" x14ac:dyDescent="0.25">
      <c r="A977" s="5">
        <v>94216</v>
      </c>
      <c r="B977" s="10">
        <v>2900</v>
      </c>
      <c r="C977" s="11" t="s">
        <v>96</v>
      </c>
      <c r="D977" s="5" t="s">
        <v>242</v>
      </c>
      <c r="E977" s="5" t="s">
        <v>189</v>
      </c>
      <c r="F977" s="5" t="s">
        <v>190</v>
      </c>
    </row>
    <row r="978" spans="1:6" x14ac:dyDescent="0.25">
      <c r="A978" s="5">
        <v>94221</v>
      </c>
      <c r="B978" s="10">
        <v>2900</v>
      </c>
      <c r="C978" s="11" t="s">
        <v>74</v>
      </c>
      <c r="D978" s="5" t="s">
        <v>243</v>
      </c>
      <c r="E978" s="5" t="s">
        <v>189</v>
      </c>
      <c r="F978" s="5" t="s">
        <v>190</v>
      </c>
    </row>
    <row r="979" spans="1:6" x14ac:dyDescent="0.25">
      <c r="A979" s="5">
        <v>94230</v>
      </c>
      <c r="B979" s="10">
        <v>2900</v>
      </c>
      <c r="C979" s="11" t="s">
        <v>118</v>
      </c>
      <c r="D979" s="5" t="s">
        <v>119</v>
      </c>
      <c r="E979" s="5" t="s">
        <v>189</v>
      </c>
      <c r="F979" s="5" t="s">
        <v>190</v>
      </c>
    </row>
    <row r="980" spans="1:6" x14ac:dyDescent="0.25">
      <c r="A980" s="5">
        <v>94232</v>
      </c>
      <c r="B980" s="10">
        <v>2900</v>
      </c>
      <c r="C980" s="11" t="s">
        <v>138</v>
      </c>
      <c r="D980" s="5" t="s">
        <v>139</v>
      </c>
      <c r="E980" s="5" t="s">
        <v>189</v>
      </c>
      <c r="F980" s="5" t="s">
        <v>190</v>
      </c>
    </row>
    <row r="981" spans="1:6" x14ac:dyDescent="0.25">
      <c r="A981" s="5">
        <v>94240</v>
      </c>
      <c r="B981" s="10">
        <v>2900</v>
      </c>
      <c r="C981" s="11" t="s">
        <v>104</v>
      </c>
      <c r="D981" s="5" t="s">
        <v>254</v>
      </c>
      <c r="E981" s="5" t="s">
        <v>189</v>
      </c>
      <c r="F981" s="5" t="s">
        <v>190</v>
      </c>
    </row>
    <row r="982" spans="1:6" x14ac:dyDescent="0.25">
      <c r="A982" s="5">
        <v>94241</v>
      </c>
      <c r="B982" s="10">
        <v>2900</v>
      </c>
      <c r="C982" s="11" t="s">
        <v>104</v>
      </c>
      <c r="D982" s="5" t="s">
        <v>254</v>
      </c>
      <c r="E982" s="5" t="s">
        <v>189</v>
      </c>
      <c r="F982" s="5" t="s">
        <v>190</v>
      </c>
    </row>
    <row r="983" spans="1:6" x14ac:dyDescent="0.25">
      <c r="A983" s="5">
        <v>94245</v>
      </c>
      <c r="B983" s="10">
        <v>2900</v>
      </c>
      <c r="C983" s="11" t="s">
        <v>78</v>
      </c>
      <c r="D983" s="5" t="s">
        <v>244</v>
      </c>
      <c r="E983" s="5" t="s">
        <v>189</v>
      </c>
      <c r="F983" s="5" t="s">
        <v>190</v>
      </c>
    </row>
    <row r="984" spans="1:6" x14ac:dyDescent="0.25">
      <c r="A984" s="5">
        <v>94252</v>
      </c>
      <c r="B984" s="10">
        <v>2900</v>
      </c>
      <c r="C984" s="11" t="s">
        <v>78</v>
      </c>
      <c r="D984" s="5" t="s">
        <v>244</v>
      </c>
      <c r="E984" s="5" t="s">
        <v>189</v>
      </c>
      <c r="F984" s="5" t="s">
        <v>190</v>
      </c>
    </row>
    <row r="985" spans="1:6" x14ac:dyDescent="0.25">
      <c r="A985" s="5">
        <v>94256</v>
      </c>
      <c r="B985" s="10">
        <v>2900</v>
      </c>
      <c r="C985" s="11" t="s">
        <v>38</v>
      </c>
      <c r="D985" s="5" t="s">
        <v>246</v>
      </c>
      <c r="E985" s="5" t="s">
        <v>189</v>
      </c>
      <c r="F985" s="5" t="s">
        <v>190</v>
      </c>
    </row>
    <row r="986" spans="1:6" x14ac:dyDescent="0.25">
      <c r="A986" s="5">
        <v>94261</v>
      </c>
      <c r="B986" s="10">
        <v>2900</v>
      </c>
      <c r="C986" s="11" t="s">
        <v>60</v>
      </c>
      <c r="D986" s="5" t="s">
        <v>245</v>
      </c>
      <c r="E986" s="5" t="s">
        <v>189</v>
      </c>
      <c r="F986" s="5" t="s">
        <v>190</v>
      </c>
    </row>
    <row r="987" spans="1:6" x14ac:dyDescent="0.25">
      <c r="A987" s="5">
        <v>94262</v>
      </c>
      <c r="B987" s="10">
        <v>2900</v>
      </c>
      <c r="C987" s="11" t="s">
        <v>48</v>
      </c>
      <c r="D987" s="5" t="s">
        <v>49</v>
      </c>
      <c r="E987" s="5" t="s">
        <v>189</v>
      </c>
      <c r="F987" s="5" t="s">
        <v>190</v>
      </c>
    </row>
    <row r="988" spans="1:6" x14ac:dyDescent="0.25">
      <c r="A988" s="5">
        <v>94266</v>
      </c>
      <c r="B988" s="10">
        <v>2900</v>
      </c>
      <c r="C988" s="11" t="s">
        <v>60</v>
      </c>
      <c r="D988" s="5" t="s">
        <v>245</v>
      </c>
      <c r="E988" s="5" t="s">
        <v>189</v>
      </c>
      <c r="F988" s="5" t="s">
        <v>190</v>
      </c>
    </row>
    <row r="989" spans="1:6" x14ac:dyDescent="0.25">
      <c r="A989" s="5">
        <v>94267</v>
      </c>
      <c r="B989" s="10">
        <v>2900</v>
      </c>
      <c r="C989" s="11" t="s">
        <v>138</v>
      </c>
      <c r="D989" s="5" t="s">
        <v>139</v>
      </c>
      <c r="E989" s="5" t="s">
        <v>189</v>
      </c>
      <c r="F989" s="5" t="s">
        <v>190</v>
      </c>
    </row>
    <row r="990" spans="1:6" x14ac:dyDescent="0.25">
      <c r="A990" s="5">
        <v>94269</v>
      </c>
      <c r="B990" s="10">
        <v>2900</v>
      </c>
      <c r="C990" s="11" t="s">
        <v>110</v>
      </c>
      <c r="D990" s="5" t="s">
        <v>111</v>
      </c>
      <c r="E990" s="5" t="s">
        <v>189</v>
      </c>
      <c r="F990" s="5" t="s">
        <v>190</v>
      </c>
    </row>
    <row r="991" spans="1:6" x14ac:dyDescent="0.25">
      <c r="A991" s="5">
        <v>94271</v>
      </c>
      <c r="B991" s="10">
        <v>2900</v>
      </c>
      <c r="C991" s="11" t="s">
        <v>110</v>
      </c>
      <c r="D991" s="5" t="s">
        <v>111</v>
      </c>
      <c r="E991" s="5" t="s">
        <v>189</v>
      </c>
      <c r="F991" s="5" t="s">
        <v>190</v>
      </c>
    </row>
    <row r="992" spans="1:6" x14ac:dyDescent="0.25">
      <c r="A992" s="5">
        <v>94273</v>
      </c>
      <c r="B992" s="10">
        <v>2900</v>
      </c>
      <c r="C992" s="11" t="s">
        <v>102</v>
      </c>
      <c r="D992" s="5" t="s">
        <v>103</v>
      </c>
      <c r="E992" s="5" t="s">
        <v>189</v>
      </c>
      <c r="F992" s="5" t="s">
        <v>190</v>
      </c>
    </row>
    <row r="993" spans="1:6" x14ac:dyDescent="0.25">
      <c r="A993" s="5">
        <v>94276</v>
      </c>
      <c r="B993" s="10">
        <v>2900</v>
      </c>
      <c r="C993" s="11" t="s">
        <v>102</v>
      </c>
      <c r="D993" s="5" t="s">
        <v>103</v>
      </c>
      <c r="E993" s="5" t="s">
        <v>189</v>
      </c>
      <c r="F993" s="5" t="s">
        <v>190</v>
      </c>
    </row>
    <row r="994" spans="1:6" x14ac:dyDescent="0.25">
      <c r="A994" s="5">
        <v>94296</v>
      </c>
      <c r="B994" s="10">
        <v>2900</v>
      </c>
      <c r="C994" s="11" t="s">
        <v>110</v>
      </c>
      <c r="D994" s="5" t="s">
        <v>111</v>
      </c>
      <c r="E994" s="5" t="s">
        <v>189</v>
      </c>
      <c r="F994" s="5" t="s">
        <v>190</v>
      </c>
    </row>
    <row r="995" spans="1:6" x14ac:dyDescent="0.25">
      <c r="A995" s="5">
        <v>94326</v>
      </c>
      <c r="B995" s="10">
        <v>2900</v>
      </c>
      <c r="C995" s="11" t="s">
        <v>48</v>
      </c>
      <c r="D995" s="5" t="s">
        <v>49</v>
      </c>
      <c r="E995" s="5" t="s">
        <v>189</v>
      </c>
      <c r="F995" s="5" t="s">
        <v>190</v>
      </c>
    </row>
    <row r="996" spans="1:6" x14ac:dyDescent="0.25">
      <c r="A996" s="5">
        <v>94327</v>
      </c>
      <c r="B996" s="10">
        <v>2900</v>
      </c>
      <c r="C996" s="11" t="s">
        <v>86</v>
      </c>
      <c r="D996" s="5" t="s">
        <v>87</v>
      </c>
      <c r="E996" s="5" t="s">
        <v>189</v>
      </c>
      <c r="F996" s="5" t="s">
        <v>190</v>
      </c>
    </row>
    <row r="997" spans="1:6" x14ac:dyDescent="0.25">
      <c r="A997" s="5">
        <v>94331</v>
      </c>
      <c r="B997" s="10">
        <v>2900</v>
      </c>
      <c r="C997" s="11" t="s">
        <v>138</v>
      </c>
      <c r="D997" s="5" t="s">
        <v>139</v>
      </c>
      <c r="E997" s="5" t="s">
        <v>189</v>
      </c>
      <c r="F997" s="5" t="s">
        <v>190</v>
      </c>
    </row>
    <row r="998" spans="1:6" x14ac:dyDescent="0.25">
      <c r="A998" s="5">
        <v>94335</v>
      </c>
      <c r="B998" s="10">
        <v>2900</v>
      </c>
      <c r="C998" s="11" t="s">
        <v>102</v>
      </c>
      <c r="D998" s="5" t="s">
        <v>103</v>
      </c>
      <c r="E998" s="5" t="s">
        <v>189</v>
      </c>
      <c r="F998" s="5" t="s">
        <v>190</v>
      </c>
    </row>
    <row r="999" spans="1:6" x14ac:dyDescent="0.25">
      <c r="A999" s="5">
        <v>94336</v>
      </c>
      <c r="B999" s="10">
        <v>2900</v>
      </c>
      <c r="C999" s="11" t="s">
        <v>106</v>
      </c>
      <c r="D999" s="5" t="s">
        <v>258</v>
      </c>
      <c r="E999" s="5" t="s">
        <v>189</v>
      </c>
      <c r="F999" s="5" t="s">
        <v>190</v>
      </c>
    </row>
    <row r="1000" spans="1:6" x14ac:dyDescent="0.25">
      <c r="A1000" s="5">
        <v>94338</v>
      </c>
      <c r="B1000" s="10">
        <v>2900</v>
      </c>
      <c r="C1000" s="11" t="s">
        <v>138</v>
      </c>
      <c r="D1000" s="5" t="s">
        <v>139</v>
      </c>
      <c r="E1000" s="5" t="s">
        <v>189</v>
      </c>
      <c r="F1000" s="5" t="s">
        <v>190</v>
      </c>
    </row>
    <row r="1001" spans="1:6" x14ac:dyDescent="0.25">
      <c r="A1001" s="5">
        <v>94340</v>
      </c>
      <c r="B1001" s="10">
        <v>2900</v>
      </c>
      <c r="C1001" s="11" t="s">
        <v>86</v>
      </c>
      <c r="D1001" s="5" t="s">
        <v>87</v>
      </c>
      <c r="E1001" s="5" t="s">
        <v>189</v>
      </c>
      <c r="F1001" s="5" t="s">
        <v>190</v>
      </c>
    </row>
    <row r="1002" spans="1:6" x14ac:dyDescent="0.25">
      <c r="A1002" s="5">
        <v>94342</v>
      </c>
      <c r="B1002" s="10">
        <v>2900</v>
      </c>
      <c r="C1002" s="11" t="s">
        <v>96</v>
      </c>
      <c r="D1002" s="5" t="s">
        <v>242</v>
      </c>
      <c r="E1002" s="5" t="s">
        <v>189</v>
      </c>
      <c r="F1002" s="5" t="s">
        <v>190</v>
      </c>
    </row>
    <row r="1003" spans="1:6" x14ac:dyDescent="0.25">
      <c r="A1003" s="5">
        <v>94346</v>
      </c>
      <c r="B1003" s="10">
        <v>2900</v>
      </c>
      <c r="C1003" s="11" t="s">
        <v>102</v>
      </c>
      <c r="D1003" s="5" t="s">
        <v>103</v>
      </c>
      <c r="E1003" s="5" t="s">
        <v>189</v>
      </c>
      <c r="F1003" s="5" t="s">
        <v>190</v>
      </c>
    </row>
    <row r="1004" spans="1:6" x14ac:dyDescent="0.25">
      <c r="A1004" s="5">
        <v>94349</v>
      </c>
      <c r="B1004" s="10">
        <v>2900</v>
      </c>
      <c r="C1004" s="11" t="s">
        <v>106</v>
      </c>
      <c r="D1004" s="5" t="s">
        <v>258</v>
      </c>
      <c r="E1004" s="5" t="s">
        <v>189</v>
      </c>
      <c r="F1004" s="5" t="s">
        <v>190</v>
      </c>
    </row>
    <row r="1005" spans="1:6" x14ac:dyDescent="0.25">
      <c r="A1005" s="5">
        <v>94363</v>
      </c>
      <c r="B1005" s="10">
        <v>2900</v>
      </c>
      <c r="C1005" s="11" t="s">
        <v>82</v>
      </c>
      <c r="D1005" s="5" t="s">
        <v>256</v>
      </c>
      <c r="E1005" s="5" t="s">
        <v>189</v>
      </c>
      <c r="F1005" s="5" t="s">
        <v>190</v>
      </c>
    </row>
    <row r="1006" spans="1:6" x14ac:dyDescent="0.25">
      <c r="A1006" s="5">
        <v>94373</v>
      </c>
      <c r="B1006" s="10">
        <v>2900</v>
      </c>
      <c r="C1006" s="11" t="s">
        <v>48</v>
      </c>
      <c r="D1006" s="5" t="s">
        <v>49</v>
      </c>
      <c r="E1006" s="5" t="s">
        <v>189</v>
      </c>
      <c r="F1006" s="5" t="s">
        <v>190</v>
      </c>
    </row>
    <row r="1007" spans="1:6" x14ac:dyDescent="0.25">
      <c r="A1007" s="5">
        <v>94374</v>
      </c>
      <c r="B1007" s="10">
        <v>2900</v>
      </c>
      <c r="C1007" s="11" t="s">
        <v>48</v>
      </c>
      <c r="D1007" s="5" t="s">
        <v>49</v>
      </c>
      <c r="E1007" s="5" t="s">
        <v>189</v>
      </c>
      <c r="F1007" s="5" t="s">
        <v>190</v>
      </c>
    </row>
    <row r="1008" spans="1:6" x14ac:dyDescent="0.25">
      <c r="A1008" s="5">
        <v>94375</v>
      </c>
      <c r="B1008" s="10">
        <v>2900</v>
      </c>
      <c r="C1008" s="11" t="s">
        <v>48</v>
      </c>
      <c r="D1008" s="5" t="s">
        <v>49</v>
      </c>
      <c r="E1008" s="5" t="s">
        <v>189</v>
      </c>
      <c r="F1008" s="5" t="s">
        <v>190</v>
      </c>
    </row>
    <row r="1009" spans="1:6" x14ac:dyDescent="0.25">
      <c r="A1009" s="5">
        <v>94376</v>
      </c>
      <c r="B1009" s="10">
        <v>2900</v>
      </c>
      <c r="C1009" s="11" t="s">
        <v>48</v>
      </c>
      <c r="D1009" s="5" t="s">
        <v>49</v>
      </c>
      <c r="E1009" s="5" t="s">
        <v>189</v>
      </c>
      <c r="F1009" s="5" t="s">
        <v>190</v>
      </c>
    </row>
    <row r="1010" spans="1:6" x14ac:dyDescent="0.25">
      <c r="A1010" s="5">
        <v>94377</v>
      </c>
      <c r="B1010" s="10">
        <v>2900</v>
      </c>
      <c r="C1010" s="11" t="s">
        <v>48</v>
      </c>
      <c r="D1010" s="5" t="s">
        <v>49</v>
      </c>
      <c r="E1010" s="5" t="s">
        <v>189</v>
      </c>
      <c r="F1010" s="5" t="s">
        <v>190</v>
      </c>
    </row>
    <row r="1011" spans="1:6" x14ac:dyDescent="0.25">
      <c r="A1011" s="5">
        <v>94380</v>
      </c>
      <c r="B1011" s="10">
        <v>2900</v>
      </c>
      <c r="C1011" s="11" t="s">
        <v>96</v>
      </c>
      <c r="D1011" s="5" t="s">
        <v>242</v>
      </c>
      <c r="E1011" s="5" t="s">
        <v>189</v>
      </c>
      <c r="F1011" s="5" t="s">
        <v>190</v>
      </c>
    </row>
    <row r="1012" spans="1:6" x14ac:dyDescent="0.25">
      <c r="A1012" s="5">
        <v>94391</v>
      </c>
      <c r="B1012" s="10">
        <v>2900</v>
      </c>
      <c r="C1012" s="11" t="s">
        <v>74</v>
      </c>
      <c r="D1012" s="5" t="s">
        <v>243</v>
      </c>
      <c r="E1012" s="5" t="s">
        <v>189</v>
      </c>
      <c r="F1012" s="5" t="s">
        <v>190</v>
      </c>
    </row>
    <row r="1013" spans="1:6" x14ac:dyDescent="0.25">
      <c r="A1013" s="5">
        <v>94402</v>
      </c>
      <c r="B1013" s="10">
        <v>2900</v>
      </c>
      <c r="C1013" s="11" t="s">
        <v>102</v>
      </c>
      <c r="D1013" s="5" t="s">
        <v>103</v>
      </c>
      <c r="E1013" s="5" t="s">
        <v>189</v>
      </c>
      <c r="F1013" s="5" t="s">
        <v>190</v>
      </c>
    </row>
    <row r="1014" spans="1:6" x14ac:dyDescent="0.25">
      <c r="A1014" s="5">
        <v>94406</v>
      </c>
      <c r="B1014" s="10">
        <v>2900</v>
      </c>
      <c r="C1014" s="11" t="s">
        <v>74</v>
      </c>
      <c r="D1014" s="5" t="s">
        <v>243</v>
      </c>
      <c r="E1014" s="5" t="s">
        <v>189</v>
      </c>
      <c r="F1014" s="5" t="s">
        <v>190</v>
      </c>
    </row>
    <row r="1015" spans="1:6" x14ac:dyDescent="0.25">
      <c r="A1015" s="5">
        <v>94408</v>
      </c>
      <c r="B1015" s="10">
        <v>2900</v>
      </c>
      <c r="C1015" s="11" t="s">
        <v>96</v>
      </c>
      <c r="D1015" s="5" t="s">
        <v>242</v>
      </c>
      <c r="E1015" s="5" t="s">
        <v>189</v>
      </c>
      <c r="F1015" s="5" t="s">
        <v>190</v>
      </c>
    </row>
    <row r="1016" spans="1:6" x14ac:dyDescent="0.25">
      <c r="A1016" s="5">
        <v>94425</v>
      </c>
      <c r="B1016" s="10">
        <v>2900</v>
      </c>
      <c r="C1016" s="11" t="s">
        <v>86</v>
      </c>
      <c r="D1016" s="5" t="s">
        <v>87</v>
      </c>
      <c r="E1016" s="5" t="s">
        <v>189</v>
      </c>
      <c r="F1016" s="5" t="s">
        <v>190</v>
      </c>
    </row>
    <row r="1017" spans="1:6" x14ac:dyDescent="0.25">
      <c r="A1017" s="5">
        <v>94428</v>
      </c>
      <c r="B1017" s="10">
        <v>2900</v>
      </c>
      <c r="C1017" s="11" t="s">
        <v>96</v>
      </c>
      <c r="D1017" s="5" t="s">
        <v>242</v>
      </c>
      <c r="E1017" s="5" t="s">
        <v>189</v>
      </c>
      <c r="F1017" s="5" t="s">
        <v>190</v>
      </c>
    </row>
    <row r="1018" spans="1:6" x14ac:dyDescent="0.25">
      <c r="A1018" s="5">
        <v>94431</v>
      </c>
      <c r="B1018" s="10">
        <v>2900</v>
      </c>
      <c r="C1018" s="11" t="s">
        <v>110</v>
      </c>
      <c r="D1018" s="5" t="s">
        <v>111</v>
      </c>
      <c r="E1018" s="5" t="s">
        <v>189</v>
      </c>
      <c r="F1018" s="5" t="s">
        <v>190</v>
      </c>
    </row>
    <row r="1019" spans="1:6" x14ac:dyDescent="0.25">
      <c r="A1019" s="5">
        <v>94432</v>
      </c>
      <c r="B1019" s="10">
        <v>2900</v>
      </c>
      <c r="C1019" s="11" t="s">
        <v>116</v>
      </c>
      <c r="D1019" s="5" t="s">
        <v>117</v>
      </c>
      <c r="E1019" s="5" t="s">
        <v>189</v>
      </c>
      <c r="F1019" s="5" t="s">
        <v>190</v>
      </c>
    </row>
    <row r="1020" spans="1:6" x14ac:dyDescent="0.25">
      <c r="A1020" s="5">
        <v>94442</v>
      </c>
      <c r="B1020" s="10">
        <v>2900</v>
      </c>
      <c r="C1020" s="11" t="s">
        <v>110</v>
      </c>
      <c r="D1020" s="5" t="s">
        <v>111</v>
      </c>
      <c r="E1020" s="5" t="s">
        <v>189</v>
      </c>
      <c r="F1020" s="5" t="s">
        <v>190</v>
      </c>
    </row>
    <row r="1021" spans="1:6" x14ac:dyDescent="0.25">
      <c r="A1021" s="5">
        <v>94443</v>
      </c>
      <c r="B1021" s="10">
        <v>2900</v>
      </c>
      <c r="C1021" s="11" t="s">
        <v>96</v>
      </c>
      <c r="D1021" s="5" t="s">
        <v>242</v>
      </c>
      <c r="E1021" s="5" t="s">
        <v>189</v>
      </c>
      <c r="F1021" s="5" t="s">
        <v>190</v>
      </c>
    </row>
    <row r="1022" spans="1:6" x14ac:dyDescent="0.25">
      <c r="A1022" s="5">
        <v>94448</v>
      </c>
      <c r="B1022" s="10">
        <v>2900</v>
      </c>
      <c r="C1022" s="11" t="s">
        <v>86</v>
      </c>
      <c r="D1022" s="5" t="s">
        <v>87</v>
      </c>
      <c r="E1022" s="5" t="s">
        <v>189</v>
      </c>
      <c r="F1022" s="5" t="s">
        <v>190</v>
      </c>
    </row>
    <row r="1023" spans="1:6" x14ac:dyDescent="0.25">
      <c r="A1023" s="5">
        <v>94450</v>
      </c>
      <c r="B1023" s="10">
        <v>2900</v>
      </c>
      <c r="C1023" s="11" t="s">
        <v>50</v>
      </c>
      <c r="D1023" s="5" t="s">
        <v>51</v>
      </c>
      <c r="E1023" s="5" t="s">
        <v>189</v>
      </c>
      <c r="F1023" s="5" t="s">
        <v>190</v>
      </c>
    </row>
    <row r="1024" spans="1:6" x14ac:dyDescent="0.25">
      <c r="A1024" s="5">
        <v>94467</v>
      </c>
      <c r="B1024" s="10">
        <v>2900</v>
      </c>
      <c r="C1024" s="11" t="s">
        <v>102</v>
      </c>
      <c r="D1024" s="5" t="s">
        <v>103</v>
      </c>
      <c r="E1024" s="5" t="s">
        <v>189</v>
      </c>
      <c r="F1024" s="5" t="s">
        <v>190</v>
      </c>
    </row>
    <row r="1025" spans="1:6" x14ac:dyDescent="0.25">
      <c r="A1025" s="5">
        <v>94469</v>
      </c>
      <c r="B1025" s="10">
        <v>2900</v>
      </c>
      <c r="C1025" s="11" t="s">
        <v>118</v>
      </c>
      <c r="D1025" s="5" t="s">
        <v>119</v>
      </c>
      <c r="E1025" s="5" t="s">
        <v>189</v>
      </c>
      <c r="F1025" s="5" t="s">
        <v>190</v>
      </c>
    </row>
    <row r="1026" spans="1:6" x14ac:dyDescent="0.25">
      <c r="A1026" s="5">
        <v>94470</v>
      </c>
      <c r="B1026" s="10">
        <v>2900</v>
      </c>
      <c r="C1026" s="11" t="s">
        <v>96</v>
      </c>
      <c r="D1026" s="5" t="s">
        <v>242</v>
      </c>
      <c r="E1026" s="5" t="s">
        <v>189</v>
      </c>
      <c r="F1026" s="5" t="s">
        <v>190</v>
      </c>
    </row>
    <row r="1027" spans="1:6" x14ac:dyDescent="0.25">
      <c r="A1027" s="5">
        <v>94493</v>
      </c>
      <c r="B1027" s="10">
        <v>2900</v>
      </c>
      <c r="C1027" s="11" t="s">
        <v>48</v>
      </c>
      <c r="D1027" s="5" t="s">
        <v>49</v>
      </c>
      <c r="E1027" s="5" t="s">
        <v>189</v>
      </c>
      <c r="F1027" s="5" t="s">
        <v>190</v>
      </c>
    </row>
    <row r="1028" spans="1:6" x14ac:dyDescent="0.25">
      <c r="A1028" s="5">
        <v>94495</v>
      </c>
      <c r="B1028" s="10">
        <v>2900</v>
      </c>
      <c r="C1028" s="11" t="s">
        <v>48</v>
      </c>
      <c r="D1028" s="5" t="s">
        <v>49</v>
      </c>
      <c r="E1028" s="5" t="s">
        <v>189</v>
      </c>
      <c r="F1028" s="5" t="s">
        <v>190</v>
      </c>
    </row>
    <row r="1029" spans="1:6" x14ac:dyDescent="0.25">
      <c r="A1029" s="5">
        <v>94505</v>
      </c>
      <c r="B1029" s="10">
        <v>2900</v>
      </c>
      <c r="C1029" s="11" t="s">
        <v>86</v>
      </c>
      <c r="D1029" s="5" t="s">
        <v>87</v>
      </c>
      <c r="E1029" s="5" t="s">
        <v>189</v>
      </c>
      <c r="F1029" s="5" t="s">
        <v>190</v>
      </c>
    </row>
    <row r="1030" spans="1:6" x14ac:dyDescent="0.25">
      <c r="A1030" s="5">
        <v>94511</v>
      </c>
      <c r="B1030" s="10">
        <v>2900</v>
      </c>
      <c r="C1030" s="11" t="s">
        <v>102</v>
      </c>
      <c r="D1030" s="5" t="s">
        <v>103</v>
      </c>
      <c r="E1030" s="5" t="s">
        <v>189</v>
      </c>
      <c r="F1030" s="5" t="s">
        <v>190</v>
      </c>
    </row>
    <row r="1031" spans="1:6" x14ac:dyDescent="0.25">
      <c r="A1031" s="5">
        <v>94519</v>
      </c>
      <c r="B1031" s="10">
        <v>2900</v>
      </c>
      <c r="C1031" s="11" t="s">
        <v>72</v>
      </c>
      <c r="D1031" s="5" t="s">
        <v>73</v>
      </c>
      <c r="E1031" s="5" t="s">
        <v>189</v>
      </c>
      <c r="F1031" s="5" t="s">
        <v>190</v>
      </c>
    </row>
    <row r="1032" spans="1:6" x14ac:dyDescent="0.25">
      <c r="A1032" s="5">
        <v>94522</v>
      </c>
      <c r="B1032" s="10">
        <v>2900</v>
      </c>
      <c r="C1032" s="11" t="s">
        <v>78</v>
      </c>
      <c r="D1032" s="5" t="s">
        <v>244</v>
      </c>
      <c r="E1032" s="5" t="s">
        <v>189</v>
      </c>
      <c r="F1032" s="5" t="s">
        <v>190</v>
      </c>
    </row>
    <row r="1033" spans="1:6" x14ac:dyDescent="0.25">
      <c r="A1033" s="5">
        <v>94523</v>
      </c>
      <c r="B1033" s="10">
        <v>2900</v>
      </c>
      <c r="C1033" s="11" t="s">
        <v>102</v>
      </c>
      <c r="D1033" s="5" t="s">
        <v>103</v>
      </c>
      <c r="E1033" s="5" t="s">
        <v>189</v>
      </c>
      <c r="F1033" s="5" t="s">
        <v>190</v>
      </c>
    </row>
    <row r="1034" spans="1:6" x14ac:dyDescent="0.25">
      <c r="A1034" s="5">
        <v>94527</v>
      </c>
      <c r="B1034" s="10">
        <v>2900</v>
      </c>
      <c r="C1034" s="11" t="s">
        <v>96</v>
      </c>
      <c r="D1034" s="5" t="s">
        <v>242</v>
      </c>
      <c r="E1034" s="5" t="s">
        <v>189</v>
      </c>
      <c r="F1034" s="5" t="s">
        <v>190</v>
      </c>
    </row>
    <row r="1035" spans="1:6" x14ac:dyDescent="0.25">
      <c r="A1035" s="5">
        <v>94533</v>
      </c>
      <c r="B1035" s="10">
        <v>2900</v>
      </c>
      <c r="C1035" s="11" t="s">
        <v>60</v>
      </c>
      <c r="D1035" s="5" t="s">
        <v>245</v>
      </c>
      <c r="E1035" s="5" t="s">
        <v>189</v>
      </c>
      <c r="F1035" s="5" t="s">
        <v>190</v>
      </c>
    </row>
    <row r="1036" spans="1:6" x14ac:dyDescent="0.25">
      <c r="A1036" s="5">
        <v>94538</v>
      </c>
      <c r="B1036" s="10">
        <v>2900</v>
      </c>
      <c r="C1036" s="11" t="s">
        <v>102</v>
      </c>
      <c r="D1036" s="5" t="s">
        <v>103</v>
      </c>
      <c r="E1036" s="5" t="s">
        <v>189</v>
      </c>
      <c r="F1036" s="5" t="s">
        <v>190</v>
      </c>
    </row>
    <row r="1037" spans="1:6" x14ac:dyDescent="0.25">
      <c r="A1037" s="5">
        <v>94540</v>
      </c>
      <c r="B1037" s="10">
        <v>2900</v>
      </c>
      <c r="C1037" s="11" t="s">
        <v>96</v>
      </c>
      <c r="D1037" s="5" t="s">
        <v>242</v>
      </c>
      <c r="E1037" s="5" t="s">
        <v>189</v>
      </c>
      <c r="F1037" s="5" t="s">
        <v>190</v>
      </c>
    </row>
    <row r="1038" spans="1:6" x14ac:dyDescent="0.25">
      <c r="A1038" s="5">
        <v>94541</v>
      </c>
      <c r="B1038" s="10">
        <v>2900</v>
      </c>
      <c r="C1038" s="11" t="s">
        <v>102</v>
      </c>
      <c r="D1038" s="5" t="s">
        <v>103</v>
      </c>
      <c r="E1038" s="5" t="s">
        <v>189</v>
      </c>
      <c r="F1038" s="5" t="s">
        <v>190</v>
      </c>
    </row>
    <row r="1039" spans="1:6" x14ac:dyDescent="0.25">
      <c r="A1039" s="5">
        <v>94542</v>
      </c>
      <c r="B1039" s="10">
        <v>2900</v>
      </c>
      <c r="C1039" s="11" t="s">
        <v>102</v>
      </c>
      <c r="D1039" s="5" t="s">
        <v>103</v>
      </c>
      <c r="E1039" s="5" t="s">
        <v>189</v>
      </c>
      <c r="F1039" s="5" t="s">
        <v>190</v>
      </c>
    </row>
    <row r="1040" spans="1:6" x14ac:dyDescent="0.25">
      <c r="A1040" s="5">
        <v>94556</v>
      </c>
      <c r="B1040" s="10">
        <v>2900</v>
      </c>
      <c r="C1040" s="11" t="s">
        <v>102</v>
      </c>
      <c r="D1040" s="5" t="s">
        <v>103</v>
      </c>
      <c r="E1040" s="5" t="s">
        <v>189</v>
      </c>
      <c r="F1040" s="5" t="s">
        <v>190</v>
      </c>
    </row>
    <row r="1041" spans="1:6" x14ac:dyDescent="0.25">
      <c r="A1041" s="5">
        <v>94557</v>
      </c>
      <c r="B1041" s="10">
        <v>2900</v>
      </c>
      <c r="C1041" s="11" t="s">
        <v>102</v>
      </c>
      <c r="D1041" s="5" t="s">
        <v>103</v>
      </c>
      <c r="E1041" s="5" t="s">
        <v>189</v>
      </c>
      <c r="F1041" s="5" t="s">
        <v>190</v>
      </c>
    </row>
    <row r="1042" spans="1:6" x14ac:dyDescent="0.25">
      <c r="A1042" s="5">
        <v>94559</v>
      </c>
      <c r="B1042" s="10">
        <v>2900</v>
      </c>
      <c r="C1042" s="11" t="s">
        <v>102</v>
      </c>
      <c r="D1042" s="5" t="s">
        <v>103</v>
      </c>
      <c r="E1042" s="5" t="s">
        <v>189</v>
      </c>
      <c r="F1042" s="5" t="s">
        <v>190</v>
      </c>
    </row>
    <row r="1043" spans="1:6" x14ac:dyDescent="0.25">
      <c r="A1043" s="5">
        <v>94575</v>
      </c>
      <c r="B1043" s="10">
        <v>2900</v>
      </c>
      <c r="C1043" s="11" t="s">
        <v>102</v>
      </c>
      <c r="D1043" s="5" t="s">
        <v>103</v>
      </c>
      <c r="E1043" s="5" t="s">
        <v>189</v>
      </c>
      <c r="F1043" s="5" t="s">
        <v>190</v>
      </c>
    </row>
    <row r="1044" spans="1:6" x14ac:dyDescent="0.25">
      <c r="A1044" s="5">
        <v>94576</v>
      </c>
      <c r="B1044" s="10">
        <v>2900</v>
      </c>
      <c r="C1044" s="11" t="s">
        <v>38</v>
      </c>
      <c r="D1044" s="5" t="s">
        <v>246</v>
      </c>
      <c r="E1044" s="5" t="s">
        <v>189</v>
      </c>
      <c r="F1044" s="5" t="s">
        <v>190</v>
      </c>
    </row>
    <row r="1045" spans="1:6" x14ac:dyDescent="0.25">
      <c r="A1045" s="5">
        <v>94581</v>
      </c>
      <c r="B1045" s="10">
        <v>2900</v>
      </c>
      <c r="C1045" s="11" t="s">
        <v>102</v>
      </c>
      <c r="D1045" s="5" t="s">
        <v>103</v>
      </c>
      <c r="E1045" s="5" t="s">
        <v>189</v>
      </c>
      <c r="F1045" s="5" t="s">
        <v>190</v>
      </c>
    </row>
    <row r="1046" spans="1:6" x14ac:dyDescent="0.25">
      <c r="A1046" s="5">
        <v>94585</v>
      </c>
      <c r="B1046" s="10">
        <v>2900</v>
      </c>
      <c r="C1046" s="11" t="s">
        <v>96</v>
      </c>
      <c r="D1046" s="5" t="s">
        <v>242</v>
      </c>
      <c r="E1046" s="5" t="s">
        <v>189</v>
      </c>
      <c r="F1046" s="5" t="s">
        <v>190</v>
      </c>
    </row>
    <row r="1047" spans="1:6" x14ac:dyDescent="0.25">
      <c r="A1047" s="5">
        <v>94591</v>
      </c>
      <c r="B1047" s="10">
        <v>2900</v>
      </c>
      <c r="C1047" s="11" t="s">
        <v>60</v>
      </c>
      <c r="D1047" s="5" t="s">
        <v>245</v>
      </c>
      <c r="E1047" s="5" t="s">
        <v>189</v>
      </c>
      <c r="F1047" s="5" t="s">
        <v>190</v>
      </c>
    </row>
    <row r="1048" spans="1:6" x14ac:dyDescent="0.25">
      <c r="A1048" s="5">
        <v>94594</v>
      </c>
      <c r="B1048" s="10">
        <v>2900</v>
      </c>
      <c r="C1048" s="11" t="s">
        <v>102</v>
      </c>
      <c r="D1048" s="5" t="s">
        <v>103</v>
      </c>
      <c r="E1048" s="5" t="s">
        <v>189</v>
      </c>
      <c r="F1048" s="5" t="s">
        <v>190</v>
      </c>
    </row>
    <row r="1049" spans="1:6" x14ac:dyDescent="0.25">
      <c r="A1049" s="5">
        <v>94596</v>
      </c>
      <c r="B1049" s="10">
        <v>2900</v>
      </c>
      <c r="C1049" s="11" t="s">
        <v>38</v>
      </c>
      <c r="D1049" s="5" t="s">
        <v>246</v>
      </c>
      <c r="E1049" s="5" t="s">
        <v>189</v>
      </c>
      <c r="F1049" s="5" t="s">
        <v>190</v>
      </c>
    </row>
    <row r="1050" spans="1:6" x14ac:dyDescent="0.25">
      <c r="A1050" s="5">
        <v>94600</v>
      </c>
      <c r="B1050" s="10">
        <v>2900</v>
      </c>
      <c r="C1050" s="11" t="s">
        <v>102</v>
      </c>
      <c r="D1050" s="5" t="s">
        <v>103</v>
      </c>
      <c r="E1050" s="5" t="s">
        <v>189</v>
      </c>
      <c r="F1050" s="5" t="s">
        <v>190</v>
      </c>
    </row>
    <row r="1051" spans="1:6" x14ac:dyDescent="0.25">
      <c r="A1051" s="5">
        <v>94601</v>
      </c>
      <c r="B1051" s="10">
        <v>2900</v>
      </c>
      <c r="C1051" s="11" t="s">
        <v>102</v>
      </c>
      <c r="D1051" s="5" t="s">
        <v>103</v>
      </c>
      <c r="E1051" s="5" t="s">
        <v>189</v>
      </c>
      <c r="F1051" s="5" t="s">
        <v>190</v>
      </c>
    </row>
    <row r="1052" spans="1:6" x14ac:dyDescent="0.25">
      <c r="A1052" s="5">
        <v>94602</v>
      </c>
      <c r="B1052" s="10">
        <v>2900</v>
      </c>
      <c r="C1052" s="11" t="s">
        <v>102</v>
      </c>
      <c r="D1052" s="5" t="s">
        <v>103</v>
      </c>
      <c r="E1052" s="5" t="s">
        <v>189</v>
      </c>
      <c r="F1052" s="5" t="s">
        <v>190</v>
      </c>
    </row>
    <row r="1053" spans="1:6" x14ac:dyDescent="0.25">
      <c r="A1053" s="5">
        <v>94603</v>
      </c>
      <c r="B1053" s="10">
        <v>2900</v>
      </c>
      <c r="C1053" s="11" t="s">
        <v>102</v>
      </c>
      <c r="D1053" s="5" t="s">
        <v>103</v>
      </c>
      <c r="E1053" s="5" t="s">
        <v>189</v>
      </c>
      <c r="F1053" s="5" t="s">
        <v>190</v>
      </c>
    </row>
    <row r="1054" spans="1:6" x14ac:dyDescent="0.25">
      <c r="A1054" s="5">
        <v>94607</v>
      </c>
      <c r="B1054" s="10">
        <v>2900</v>
      </c>
      <c r="C1054" s="11" t="s">
        <v>102</v>
      </c>
      <c r="D1054" s="5" t="s">
        <v>103</v>
      </c>
      <c r="E1054" s="5" t="s">
        <v>189</v>
      </c>
      <c r="F1054" s="5" t="s">
        <v>190</v>
      </c>
    </row>
    <row r="1055" spans="1:6" x14ac:dyDescent="0.25">
      <c r="A1055" s="5">
        <v>94608</v>
      </c>
      <c r="B1055" s="10">
        <v>2900</v>
      </c>
      <c r="C1055" s="11" t="s">
        <v>102</v>
      </c>
      <c r="D1055" s="5" t="s">
        <v>103</v>
      </c>
      <c r="E1055" s="5" t="s">
        <v>189</v>
      </c>
      <c r="F1055" s="5" t="s">
        <v>190</v>
      </c>
    </row>
    <row r="1056" spans="1:6" x14ac:dyDescent="0.25">
      <c r="A1056" s="5">
        <v>94701</v>
      </c>
      <c r="B1056" s="10">
        <v>2900</v>
      </c>
      <c r="C1056" s="11" t="s">
        <v>102</v>
      </c>
      <c r="D1056" s="5" t="s">
        <v>103</v>
      </c>
      <c r="E1056" s="5" t="s">
        <v>189</v>
      </c>
      <c r="F1056" s="5" t="s">
        <v>190</v>
      </c>
    </row>
    <row r="1057" spans="1:6" x14ac:dyDescent="0.25">
      <c r="A1057" s="5">
        <v>94702</v>
      </c>
      <c r="B1057" s="10">
        <v>2900</v>
      </c>
      <c r="C1057" s="11" t="s">
        <v>102</v>
      </c>
      <c r="D1057" s="5" t="s">
        <v>103</v>
      </c>
      <c r="E1057" s="5" t="s">
        <v>189</v>
      </c>
      <c r="F1057" s="5" t="s">
        <v>190</v>
      </c>
    </row>
    <row r="1058" spans="1:6" x14ac:dyDescent="0.25">
      <c r="A1058" s="5">
        <v>94703</v>
      </c>
      <c r="B1058" s="10">
        <v>2900</v>
      </c>
      <c r="C1058" s="11" t="s">
        <v>102</v>
      </c>
      <c r="D1058" s="5" t="s">
        <v>103</v>
      </c>
      <c r="E1058" s="5" t="s">
        <v>189</v>
      </c>
      <c r="F1058" s="5" t="s">
        <v>190</v>
      </c>
    </row>
    <row r="1059" spans="1:6" x14ac:dyDescent="0.25">
      <c r="A1059" s="5">
        <v>94706</v>
      </c>
      <c r="B1059" s="10">
        <v>2900</v>
      </c>
      <c r="C1059" s="11" t="s">
        <v>82</v>
      </c>
      <c r="D1059" s="5" t="s">
        <v>256</v>
      </c>
      <c r="E1059" s="5" t="s">
        <v>189</v>
      </c>
      <c r="F1059" s="5" t="s">
        <v>190</v>
      </c>
    </row>
    <row r="1060" spans="1:6" x14ac:dyDescent="0.25">
      <c r="A1060" s="5">
        <v>94727</v>
      </c>
      <c r="B1060" s="10">
        <v>2900</v>
      </c>
      <c r="C1060" s="11" t="s">
        <v>118</v>
      </c>
      <c r="D1060" s="5" t="s">
        <v>119</v>
      </c>
      <c r="E1060" s="5" t="s">
        <v>189</v>
      </c>
      <c r="F1060" s="5" t="s">
        <v>190</v>
      </c>
    </row>
    <row r="1061" spans="1:6" x14ac:dyDescent="0.25">
      <c r="A1061" s="5">
        <v>94728</v>
      </c>
      <c r="B1061" s="10">
        <v>2900</v>
      </c>
      <c r="C1061" s="11" t="s">
        <v>118</v>
      </c>
      <c r="D1061" s="5" t="s">
        <v>119</v>
      </c>
      <c r="E1061" s="5" t="s">
        <v>189</v>
      </c>
      <c r="F1061" s="5" t="s">
        <v>190</v>
      </c>
    </row>
    <row r="1062" spans="1:6" x14ac:dyDescent="0.25">
      <c r="A1062" s="5">
        <v>94729</v>
      </c>
      <c r="B1062" s="10">
        <v>2900</v>
      </c>
      <c r="C1062" s="11" t="s">
        <v>118</v>
      </c>
      <c r="D1062" s="5" t="s">
        <v>119</v>
      </c>
      <c r="E1062" s="5" t="s">
        <v>189</v>
      </c>
      <c r="F1062" s="5" t="s">
        <v>190</v>
      </c>
    </row>
    <row r="1063" spans="1:6" x14ac:dyDescent="0.25">
      <c r="A1063" s="5">
        <v>94731</v>
      </c>
      <c r="B1063" s="10">
        <v>2900</v>
      </c>
      <c r="C1063" s="11" t="s">
        <v>118</v>
      </c>
      <c r="D1063" s="5" t="s">
        <v>119</v>
      </c>
      <c r="E1063" s="5" t="s">
        <v>189</v>
      </c>
      <c r="F1063" s="5" t="s">
        <v>190</v>
      </c>
    </row>
    <row r="1064" spans="1:6" x14ac:dyDescent="0.25">
      <c r="A1064" s="5">
        <v>94756</v>
      </c>
      <c r="B1064" s="10">
        <v>2900</v>
      </c>
      <c r="C1064" s="11" t="s">
        <v>102</v>
      </c>
      <c r="D1064" s="5" t="s">
        <v>103</v>
      </c>
      <c r="E1064" s="5" t="s">
        <v>189</v>
      </c>
      <c r="F1064" s="5" t="s">
        <v>190</v>
      </c>
    </row>
    <row r="1065" spans="1:6" x14ac:dyDescent="0.25">
      <c r="A1065" s="5">
        <v>94763</v>
      </c>
      <c r="B1065" s="10">
        <v>2900</v>
      </c>
      <c r="C1065" s="11" t="s">
        <v>84</v>
      </c>
      <c r="D1065" s="5" t="s">
        <v>247</v>
      </c>
      <c r="E1065" s="5" t="s">
        <v>189</v>
      </c>
      <c r="F1065" s="5" t="s">
        <v>190</v>
      </c>
    </row>
    <row r="1066" spans="1:6" x14ac:dyDescent="0.25">
      <c r="A1066" s="5">
        <v>94765</v>
      </c>
      <c r="B1066" s="10">
        <v>2900</v>
      </c>
      <c r="C1066" s="11" t="s">
        <v>96</v>
      </c>
      <c r="D1066" s="5" t="s">
        <v>242</v>
      </c>
      <c r="E1066" s="5" t="s">
        <v>189</v>
      </c>
      <c r="F1066" s="5" t="s">
        <v>190</v>
      </c>
    </row>
    <row r="1067" spans="1:6" x14ac:dyDescent="0.25">
      <c r="A1067" s="5">
        <v>94770</v>
      </c>
      <c r="B1067" s="10">
        <v>2900</v>
      </c>
      <c r="C1067" s="11" t="s">
        <v>104</v>
      </c>
      <c r="D1067" s="5" t="s">
        <v>254</v>
      </c>
      <c r="E1067" s="5" t="s">
        <v>189</v>
      </c>
      <c r="F1067" s="5" t="s">
        <v>190</v>
      </c>
    </row>
    <row r="1068" spans="1:6" x14ac:dyDescent="0.25">
      <c r="A1068" s="5">
        <v>94773</v>
      </c>
      <c r="B1068" s="10">
        <v>2900</v>
      </c>
      <c r="C1068" s="11" t="s">
        <v>78</v>
      </c>
      <c r="D1068" s="5" t="s">
        <v>244</v>
      </c>
      <c r="E1068" s="5" t="s">
        <v>189</v>
      </c>
      <c r="F1068" s="5" t="s">
        <v>190</v>
      </c>
    </row>
    <row r="1069" spans="1:6" x14ac:dyDescent="0.25">
      <c r="A1069" s="5">
        <v>94774</v>
      </c>
      <c r="B1069" s="10">
        <v>2900</v>
      </c>
      <c r="C1069" s="11" t="s">
        <v>96</v>
      </c>
      <c r="D1069" s="5" t="s">
        <v>242</v>
      </c>
      <c r="E1069" s="5" t="s">
        <v>189</v>
      </c>
      <c r="F1069" s="5" t="s">
        <v>190</v>
      </c>
    </row>
    <row r="1070" spans="1:6" x14ac:dyDescent="0.25">
      <c r="A1070" s="5">
        <v>94777</v>
      </c>
      <c r="B1070" s="10">
        <v>2900</v>
      </c>
      <c r="C1070" s="11" t="s">
        <v>84</v>
      </c>
      <c r="D1070" s="5" t="s">
        <v>247</v>
      </c>
      <c r="E1070" s="5" t="s">
        <v>189</v>
      </c>
      <c r="F1070" s="5" t="s">
        <v>190</v>
      </c>
    </row>
    <row r="1071" spans="1:6" x14ac:dyDescent="0.25">
      <c r="A1071" s="5">
        <v>94799</v>
      </c>
      <c r="B1071" s="10">
        <v>2900</v>
      </c>
      <c r="C1071" s="11" t="s">
        <v>102</v>
      </c>
      <c r="D1071" s="5" t="s">
        <v>103</v>
      </c>
      <c r="E1071" s="5" t="s">
        <v>189</v>
      </c>
      <c r="F1071" s="5" t="s">
        <v>190</v>
      </c>
    </row>
    <row r="1072" spans="1:6" x14ac:dyDescent="0.25">
      <c r="A1072" s="5">
        <v>94813</v>
      </c>
      <c r="B1072" s="10">
        <v>2900</v>
      </c>
      <c r="C1072" s="11" t="s">
        <v>106</v>
      </c>
      <c r="D1072" s="5" t="s">
        <v>258</v>
      </c>
      <c r="E1072" s="5" t="s">
        <v>189</v>
      </c>
      <c r="F1072" s="5" t="s">
        <v>190</v>
      </c>
    </row>
    <row r="1073" spans="1:6" x14ac:dyDescent="0.25">
      <c r="A1073" s="5">
        <v>94816</v>
      </c>
      <c r="B1073" s="10">
        <v>2900</v>
      </c>
      <c r="C1073" s="11" t="s">
        <v>96</v>
      </c>
      <c r="D1073" s="5" t="s">
        <v>242</v>
      </c>
      <c r="E1073" s="5" t="s">
        <v>189</v>
      </c>
      <c r="F1073" s="5" t="s">
        <v>190</v>
      </c>
    </row>
    <row r="1074" spans="1:6" x14ac:dyDescent="0.25">
      <c r="A1074" s="5">
        <v>94826</v>
      </c>
      <c r="B1074" s="10">
        <v>2900</v>
      </c>
      <c r="C1074" s="11" t="s">
        <v>118</v>
      </c>
      <c r="D1074" s="5" t="s">
        <v>119</v>
      </c>
      <c r="E1074" s="5" t="s">
        <v>189</v>
      </c>
      <c r="F1074" s="5" t="s">
        <v>190</v>
      </c>
    </row>
    <row r="1075" spans="1:6" x14ac:dyDescent="0.25">
      <c r="A1075" s="5">
        <v>94827</v>
      </c>
      <c r="B1075" s="10">
        <v>2900</v>
      </c>
      <c r="C1075" s="11" t="s">
        <v>96</v>
      </c>
      <c r="D1075" s="5" t="s">
        <v>242</v>
      </c>
      <c r="E1075" s="5" t="s">
        <v>189</v>
      </c>
      <c r="F1075" s="5" t="s">
        <v>190</v>
      </c>
    </row>
    <row r="1076" spans="1:6" x14ac:dyDescent="0.25">
      <c r="A1076" s="5">
        <v>94831</v>
      </c>
      <c r="B1076" s="10">
        <v>2900</v>
      </c>
      <c r="C1076" s="11" t="s">
        <v>102</v>
      </c>
      <c r="D1076" s="5" t="s">
        <v>103</v>
      </c>
      <c r="E1076" s="5" t="s">
        <v>189</v>
      </c>
      <c r="F1076" s="5" t="s">
        <v>190</v>
      </c>
    </row>
    <row r="1077" spans="1:6" x14ac:dyDescent="0.25">
      <c r="A1077" s="5">
        <v>94834</v>
      </c>
      <c r="B1077" s="10">
        <v>2900</v>
      </c>
      <c r="C1077" s="11" t="s">
        <v>96</v>
      </c>
      <c r="D1077" s="5" t="s">
        <v>242</v>
      </c>
      <c r="E1077" s="5" t="s">
        <v>189</v>
      </c>
      <c r="F1077" s="5" t="s">
        <v>190</v>
      </c>
    </row>
    <row r="1078" spans="1:6" x14ac:dyDescent="0.25">
      <c r="A1078" s="5">
        <v>94855</v>
      </c>
      <c r="B1078" s="10">
        <v>2900</v>
      </c>
      <c r="C1078" s="11" t="s">
        <v>106</v>
      </c>
      <c r="D1078" s="5" t="s">
        <v>258</v>
      </c>
      <c r="E1078" s="5" t="s">
        <v>189</v>
      </c>
      <c r="F1078" s="5" t="s">
        <v>190</v>
      </c>
    </row>
    <row r="1079" spans="1:6" x14ac:dyDescent="0.25">
      <c r="A1079" s="5">
        <v>94856</v>
      </c>
      <c r="B1079" s="10">
        <v>2900</v>
      </c>
      <c r="C1079" s="11" t="s">
        <v>96</v>
      </c>
      <c r="D1079" s="5" t="s">
        <v>242</v>
      </c>
      <c r="E1079" s="5" t="s">
        <v>189</v>
      </c>
      <c r="F1079" s="5" t="s">
        <v>190</v>
      </c>
    </row>
    <row r="1080" spans="1:6" x14ac:dyDescent="0.25">
      <c r="A1080" s="5">
        <v>94859</v>
      </c>
      <c r="B1080" s="10">
        <v>2900</v>
      </c>
      <c r="C1080" s="11" t="s">
        <v>102</v>
      </c>
      <c r="D1080" s="5" t="s">
        <v>103</v>
      </c>
      <c r="E1080" s="5" t="s">
        <v>189</v>
      </c>
      <c r="F1080" s="5" t="s">
        <v>190</v>
      </c>
    </row>
    <row r="1081" spans="1:6" x14ac:dyDescent="0.25">
      <c r="A1081" s="5">
        <v>94860</v>
      </c>
      <c r="B1081" s="10">
        <v>2900</v>
      </c>
      <c r="C1081" s="11" t="s">
        <v>96</v>
      </c>
      <c r="D1081" s="5" t="s">
        <v>242</v>
      </c>
      <c r="E1081" s="5" t="s">
        <v>189</v>
      </c>
      <c r="F1081" s="5" t="s">
        <v>190</v>
      </c>
    </row>
    <row r="1082" spans="1:6" x14ac:dyDescent="0.25">
      <c r="A1082" s="5">
        <v>94864</v>
      </c>
      <c r="B1082" s="10">
        <v>2900</v>
      </c>
      <c r="C1082" s="11" t="s">
        <v>96</v>
      </c>
      <c r="D1082" s="5" t="s">
        <v>242</v>
      </c>
      <c r="E1082" s="5" t="s">
        <v>189</v>
      </c>
      <c r="F1082" s="5" t="s">
        <v>190</v>
      </c>
    </row>
    <row r="1083" spans="1:6" x14ac:dyDescent="0.25">
      <c r="A1083" s="5">
        <v>94870</v>
      </c>
      <c r="B1083" s="10">
        <v>2900</v>
      </c>
      <c r="C1083" s="11" t="s">
        <v>96</v>
      </c>
      <c r="D1083" s="5" t="s">
        <v>242</v>
      </c>
      <c r="E1083" s="5" t="s">
        <v>189</v>
      </c>
      <c r="F1083" s="5" t="s">
        <v>190</v>
      </c>
    </row>
    <row r="1084" spans="1:6" x14ac:dyDescent="0.25">
      <c r="A1084" s="5">
        <v>94883</v>
      </c>
      <c r="B1084" s="10">
        <v>2900</v>
      </c>
      <c r="C1084" s="11" t="s">
        <v>78</v>
      </c>
      <c r="D1084" s="5" t="s">
        <v>244</v>
      </c>
      <c r="E1084" s="5" t="s">
        <v>189</v>
      </c>
      <c r="F1084" s="5" t="s">
        <v>190</v>
      </c>
    </row>
    <row r="1085" spans="1:6" x14ac:dyDescent="0.25">
      <c r="A1085" s="5">
        <v>94892</v>
      </c>
      <c r="B1085" s="10">
        <v>2900</v>
      </c>
      <c r="C1085" s="11" t="s">
        <v>96</v>
      </c>
      <c r="D1085" s="5" t="s">
        <v>242</v>
      </c>
      <c r="E1085" s="5" t="s">
        <v>189</v>
      </c>
      <c r="F1085" s="5" t="s">
        <v>190</v>
      </c>
    </row>
    <row r="1086" spans="1:6" x14ac:dyDescent="0.25">
      <c r="A1086" s="5">
        <v>94900</v>
      </c>
      <c r="B1086" s="10">
        <v>2900</v>
      </c>
      <c r="C1086" s="11" t="s">
        <v>96</v>
      </c>
      <c r="D1086" s="5" t="s">
        <v>242</v>
      </c>
      <c r="E1086" s="5" t="s">
        <v>189</v>
      </c>
      <c r="F1086" s="5" t="s">
        <v>190</v>
      </c>
    </row>
    <row r="1087" spans="1:6" x14ac:dyDescent="0.25">
      <c r="A1087" s="5">
        <v>94901</v>
      </c>
      <c r="B1087" s="10">
        <v>2900</v>
      </c>
      <c r="C1087" s="11" t="s">
        <v>96</v>
      </c>
      <c r="D1087" s="5" t="s">
        <v>242</v>
      </c>
      <c r="E1087" s="5" t="s">
        <v>189</v>
      </c>
      <c r="F1087" s="5" t="s">
        <v>190</v>
      </c>
    </row>
    <row r="1088" spans="1:6" x14ac:dyDescent="0.25">
      <c r="A1088" s="5">
        <v>94905</v>
      </c>
      <c r="B1088" s="10">
        <v>2900</v>
      </c>
      <c r="C1088" s="11" t="s">
        <v>102</v>
      </c>
      <c r="D1088" s="5" t="s">
        <v>103</v>
      </c>
      <c r="E1088" s="5" t="s">
        <v>189</v>
      </c>
      <c r="F1088" s="5" t="s">
        <v>190</v>
      </c>
    </row>
    <row r="1089" spans="1:6" x14ac:dyDescent="0.25">
      <c r="A1089" s="5">
        <v>94906</v>
      </c>
      <c r="B1089" s="10">
        <v>2900</v>
      </c>
      <c r="C1089" s="11" t="s">
        <v>102</v>
      </c>
      <c r="D1089" s="5" t="s">
        <v>103</v>
      </c>
      <c r="E1089" s="5" t="s">
        <v>189</v>
      </c>
      <c r="F1089" s="5" t="s">
        <v>190</v>
      </c>
    </row>
    <row r="1090" spans="1:6" x14ac:dyDescent="0.25">
      <c r="A1090" s="5">
        <v>94917</v>
      </c>
      <c r="B1090" s="10">
        <v>2900</v>
      </c>
      <c r="C1090" s="11" t="s">
        <v>104</v>
      </c>
      <c r="D1090" s="5" t="s">
        <v>254</v>
      </c>
      <c r="E1090" s="5" t="s">
        <v>189</v>
      </c>
      <c r="F1090" s="5" t="s">
        <v>190</v>
      </c>
    </row>
    <row r="1091" spans="1:6" x14ac:dyDescent="0.25">
      <c r="A1091" s="5">
        <v>94920</v>
      </c>
      <c r="B1091" s="10">
        <v>2900</v>
      </c>
      <c r="C1091" s="11" t="s">
        <v>60</v>
      </c>
      <c r="D1091" s="5" t="s">
        <v>245</v>
      </c>
      <c r="E1091" s="5" t="s">
        <v>189</v>
      </c>
      <c r="F1091" s="5" t="s">
        <v>190</v>
      </c>
    </row>
    <row r="1092" spans="1:6" x14ac:dyDescent="0.25">
      <c r="A1092" s="5">
        <v>94921</v>
      </c>
      <c r="B1092" s="10">
        <v>2900</v>
      </c>
      <c r="C1092" s="11" t="s">
        <v>102</v>
      </c>
      <c r="D1092" s="5" t="s">
        <v>103</v>
      </c>
      <c r="E1092" s="5" t="s">
        <v>189</v>
      </c>
      <c r="F1092" s="5" t="s">
        <v>190</v>
      </c>
    </row>
    <row r="1093" spans="1:6" x14ac:dyDescent="0.25">
      <c r="A1093" s="5">
        <v>94930</v>
      </c>
      <c r="B1093" s="10">
        <v>2900</v>
      </c>
      <c r="C1093" s="11" t="s">
        <v>64</v>
      </c>
      <c r="D1093" s="5" t="s">
        <v>251</v>
      </c>
      <c r="E1093" s="5" t="s">
        <v>189</v>
      </c>
      <c r="F1093" s="5" t="s">
        <v>190</v>
      </c>
    </row>
    <row r="1094" spans="1:6" x14ac:dyDescent="0.25">
      <c r="A1094" s="5">
        <v>94931</v>
      </c>
      <c r="B1094" s="10">
        <v>2900</v>
      </c>
      <c r="C1094" s="11" t="s">
        <v>82</v>
      </c>
      <c r="D1094" s="5" t="s">
        <v>256</v>
      </c>
      <c r="E1094" s="5" t="s">
        <v>189</v>
      </c>
      <c r="F1094" s="5" t="s">
        <v>190</v>
      </c>
    </row>
    <row r="1095" spans="1:6" x14ac:dyDescent="0.25">
      <c r="A1095" s="5">
        <v>94934</v>
      </c>
      <c r="B1095" s="10">
        <v>2900</v>
      </c>
      <c r="C1095" s="11" t="s">
        <v>104</v>
      </c>
      <c r="D1095" s="5" t="s">
        <v>254</v>
      </c>
      <c r="E1095" s="5" t="s">
        <v>189</v>
      </c>
      <c r="F1095" s="5" t="s">
        <v>190</v>
      </c>
    </row>
    <row r="1096" spans="1:6" x14ac:dyDescent="0.25">
      <c r="A1096" s="5">
        <v>94935</v>
      </c>
      <c r="B1096" s="10">
        <v>2900</v>
      </c>
      <c r="C1096" s="11" t="s">
        <v>82</v>
      </c>
      <c r="D1096" s="5" t="s">
        <v>256</v>
      </c>
      <c r="E1096" s="5" t="s">
        <v>189</v>
      </c>
      <c r="F1096" s="5" t="s">
        <v>190</v>
      </c>
    </row>
    <row r="1097" spans="1:6" x14ac:dyDescent="0.25">
      <c r="A1097" s="5">
        <v>94945</v>
      </c>
      <c r="B1097" s="10">
        <v>2900</v>
      </c>
      <c r="C1097" s="11" t="s">
        <v>102</v>
      </c>
      <c r="D1097" s="5" t="s">
        <v>103</v>
      </c>
      <c r="E1097" s="5" t="s">
        <v>189</v>
      </c>
      <c r="F1097" s="5" t="s">
        <v>190</v>
      </c>
    </row>
    <row r="1098" spans="1:6" x14ac:dyDescent="0.25">
      <c r="A1098" s="5">
        <v>94949</v>
      </c>
      <c r="B1098" s="10">
        <v>2900</v>
      </c>
      <c r="C1098" s="11" t="s">
        <v>78</v>
      </c>
      <c r="D1098" s="5" t="s">
        <v>244</v>
      </c>
      <c r="E1098" s="5" t="s">
        <v>189</v>
      </c>
      <c r="F1098" s="5" t="s">
        <v>190</v>
      </c>
    </row>
    <row r="1099" spans="1:6" x14ac:dyDescent="0.25">
      <c r="A1099" s="5">
        <v>94951</v>
      </c>
      <c r="B1099" s="10">
        <v>2900</v>
      </c>
      <c r="C1099" s="11" t="s">
        <v>78</v>
      </c>
      <c r="D1099" s="5" t="s">
        <v>244</v>
      </c>
      <c r="E1099" s="5" t="s">
        <v>189</v>
      </c>
      <c r="F1099" s="5" t="s">
        <v>190</v>
      </c>
    </row>
    <row r="1100" spans="1:6" x14ac:dyDescent="0.25">
      <c r="A1100" s="5">
        <v>94952</v>
      </c>
      <c r="B1100" s="10">
        <v>2900</v>
      </c>
      <c r="C1100" s="11" t="s">
        <v>78</v>
      </c>
      <c r="D1100" s="5" t="s">
        <v>244</v>
      </c>
      <c r="E1100" s="5" t="s">
        <v>189</v>
      </c>
      <c r="F1100" s="5" t="s">
        <v>190</v>
      </c>
    </row>
    <row r="1101" spans="1:6" x14ac:dyDescent="0.25">
      <c r="A1101" s="5">
        <v>94953</v>
      </c>
      <c r="B1101" s="10">
        <v>2900</v>
      </c>
      <c r="C1101" s="11" t="s">
        <v>60</v>
      </c>
      <c r="D1101" s="5" t="s">
        <v>245</v>
      </c>
      <c r="E1101" s="5" t="s">
        <v>189</v>
      </c>
      <c r="F1101" s="5" t="s">
        <v>190</v>
      </c>
    </row>
    <row r="1102" spans="1:6" x14ac:dyDescent="0.25">
      <c r="A1102" s="5">
        <v>94954</v>
      </c>
      <c r="B1102" s="10">
        <v>2900</v>
      </c>
      <c r="C1102" s="11" t="s">
        <v>96</v>
      </c>
      <c r="D1102" s="5" t="s">
        <v>242</v>
      </c>
      <c r="E1102" s="5" t="s">
        <v>189</v>
      </c>
      <c r="F1102" s="5" t="s">
        <v>190</v>
      </c>
    </row>
    <row r="1103" spans="1:6" x14ac:dyDescent="0.25">
      <c r="A1103" s="5">
        <v>94955</v>
      </c>
      <c r="B1103" s="10">
        <v>2900</v>
      </c>
      <c r="C1103" s="11" t="s">
        <v>78</v>
      </c>
      <c r="D1103" s="5" t="s">
        <v>244</v>
      </c>
      <c r="E1103" s="5" t="s">
        <v>189</v>
      </c>
      <c r="F1103" s="5" t="s">
        <v>190</v>
      </c>
    </row>
    <row r="1104" spans="1:6" x14ac:dyDescent="0.25">
      <c r="A1104" s="5">
        <v>94960</v>
      </c>
      <c r="B1104" s="10">
        <v>2900</v>
      </c>
      <c r="C1104" s="11" t="s">
        <v>102</v>
      </c>
      <c r="D1104" s="5" t="s">
        <v>103</v>
      </c>
      <c r="E1104" s="5" t="s">
        <v>189</v>
      </c>
      <c r="F1104" s="5" t="s">
        <v>190</v>
      </c>
    </row>
    <row r="1105" spans="1:6" x14ac:dyDescent="0.25">
      <c r="A1105" s="5">
        <v>94970</v>
      </c>
      <c r="B1105" s="10">
        <v>2900</v>
      </c>
      <c r="C1105" s="11" t="s">
        <v>118</v>
      </c>
      <c r="D1105" s="5" t="s">
        <v>119</v>
      </c>
      <c r="E1105" s="5" t="s">
        <v>189</v>
      </c>
      <c r="F1105" s="5" t="s">
        <v>190</v>
      </c>
    </row>
    <row r="1106" spans="1:6" x14ac:dyDescent="0.25">
      <c r="A1106" s="5">
        <v>94972</v>
      </c>
      <c r="B1106" s="10">
        <v>2900</v>
      </c>
      <c r="C1106" s="11" t="s">
        <v>118</v>
      </c>
      <c r="D1106" s="5" t="s">
        <v>119</v>
      </c>
      <c r="E1106" s="5" t="s">
        <v>189</v>
      </c>
      <c r="F1106" s="5" t="s">
        <v>190</v>
      </c>
    </row>
    <row r="1107" spans="1:6" x14ac:dyDescent="0.25">
      <c r="A1107" s="5">
        <v>94973</v>
      </c>
      <c r="B1107" s="10">
        <v>1450</v>
      </c>
      <c r="C1107" s="11" t="s">
        <v>96</v>
      </c>
      <c r="D1107" s="5" t="s">
        <v>242</v>
      </c>
      <c r="E1107" s="5" t="s">
        <v>189</v>
      </c>
      <c r="F1107" s="5" t="s">
        <v>190</v>
      </c>
    </row>
    <row r="1108" spans="1:6" x14ac:dyDescent="0.25">
      <c r="A1108" s="5">
        <v>94981</v>
      </c>
      <c r="B1108" s="10">
        <v>2900</v>
      </c>
      <c r="C1108" s="11" t="s">
        <v>96</v>
      </c>
      <c r="D1108" s="5" t="s">
        <v>242</v>
      </c>
      <c r="E1108" s="5" t="s">
        <v>189</v>
      </c>
      <c r="F1108" s="5" t="s">
        <v>190</v>
      </c>
    </row>
    <row r="1109" spans="1:6" x14ac:dyDescent="0.25">
      <c r="A1109" s="5">
        <v>94990</v>
      </c>
      <c r="B1109" s="10">
        <v>2900</v>
      </c>
      <c r="C1109" s="11" t="s">
        <v>82</v>
      </c>
      <c r="D1109" s="5" t="s">
        <v>256</v>
      </c>
      <c r="E1109" s="5" t="s">
        <v>189</v>
      </c>
      <c r="F1109" s="5" t="s">
        <v>190</v>
      </c>
    </row>
    <row r="1110" spans="1:6" x14ac:dyDescent="0.25">
      <c r="A1110" s="5">
        <v>94997</v>
      </c>
      <c r="B1110" s="10">
        <v>2900</v>
      </c>
      <c r="C1110" s="11" t="s">
        <v>96</v>
      </c>
      <c r="D1110" s="5" t="s">
        <v>242</v>
      </c>
      <c r="E1110" s="5" t="s">
        <v>189</v>
      </c>
      <c r="F1110" s="5" t="s">
        <v>190</v>
      </c>
    </row>
    <row r="1111" spans="1:6" x14ac:dyDescent="0.25">
      <c r="A1111" s="5">
        <v>94999</v>
      </c>
      <c r="B1111" s="10">
        <v>2900</v>
      </c>
      <c r="C1111" s="11" t="s">
        <v>102</v>
      </c>
      <c r="D1111" s="5" t="s">
        <v>103</v>
      </c>
      <c r="E1111" s="5" t="s">
        <v>189</v>
      </c>
      <c r="F1111" s="5" t="s">
        <v>190</v>
      </c>
    </row>
    <row r="1112" spans="1:6" x14ac:dyDescent="0.25">
      <c r="A1112" s="5">
        <v>95002</v>
      </c>
      <c r="B1112" s="10">
        <v>2900</v>
      </c>
      <c r="C1112" s="11" t="s">
        <v>102</v>
      </c>
      <c r="D1112" s="5" t="s">
        <v>103</v>
      </c>
      <c r="E1112" s="5" t="s">
        <v>189</v>
      </c>
      <c r="F1112" s="5" t="s">
        <v>190</v>
      </c>
    </row>
    <row r="1113" spans="1:6" x14ac:dyDescent="0.25">
      <c r="A1113" s="5">
        <v>95006</v>
      </c>
      <c r="B1113" s="10">
        <v>2900</v>
      </c>
      <c r="C1113" s="11" t="s">
        <v>102</v>
      </c>
      <c r="D1113" s="5" t="s">
        <v>103</v>
      </c>
      <c r="E1113" s="5" t="s">
        <v>189</v>
      </c>
      <c r="F1113" s="5" t="s">
        <v>190</v>
      </c>
    </row>
    <row r="1114" spans="1:6" x14ac:dyDescent="0.25">
      <c r="A1114" s="5">
        <v>95012</v>
      </c>
      <c r="B1114" s="10">
        <v>2900</v>
      </c>
      <c r="C1114" s="11" t="s">
        <v>106</v>
      </c>
      <c r="D1114" s="5" t="s">
        <v>258</v>
      </c>
      <c r="E1114" s="5" t="s">
        <v>189</v>
      </c>
      <c r="F1114" s="5" t="s">
        <v>190</v>
      </c>
    </row>
    <row r="1115" spans="1:6" x14ac:dyDescent="0.25">
      <c r="A1115" s="5">
        <v>95017</v>
      </c>
      <c r="B1115" s="10">
        <v>2900</v>
      </c>
      <c r="C1115" s="11" t="s">
        <v>60</v>
      </c>
      <c r="D1115" s="5" t="s">
        <v>245</v>
      </c>
      <c r="E1115" s="5" t="s">
        <v>189</v>
      </c>
      <c r="F1115" s="5" t="s">
        <v>190</v>
      </c>
    </row>
    <row r="1116" spans="1:6" x14ac:dyDescent="0.25">
      <c r="A1116" s="5">
        <v>95030</v>
      </c>
      <c r="B1116" s="10">
        <v>2900</v>
      </c>
      <c r="C1116" s="11" t="s">
        <v>102</v>
      </c>
      <c r="D1116" s="5" t="s">
        <v>103</v>
      </c>
      <c r="E1116" s="5" t="s">
        <v>189</v>
      </c>
      <c r="F1116" s="5" t="s">
        <v>190</v>
      </c>
    </row>
    <row r="1117" spans="1:6" x14ac:dyDescent="0.25">
      <c r="A1117" s="5">
        <v>95031</v>
      </c>
      <c r="B1117" s="10">
        <v>2900</v>
      </c>
      <c r="C1117" s="11" t="s">
        <v>102</v>
      </c>
      <c r="D1117" s="5" t="s">
        <v>103</v>
      </c>
      <c r="E1117" s="5" t="s">
        <v>189</v>
      </c>
      <c r="F1117" s="5" t="s">
        <v>190</v>
      </c>
    </row>
    <row r="1118" spans="1:6" x14ac:dyDescent="0.25">
      <c r="A1118" s="5">
        <v>95041</v>
      </c>
      <c r="B1118" s="10">
        <v>2900</v>
      </c>
      <c r="C1118" s="11" t="s">
        <v>96</v>
      </c>
      <c r="D1118" s="5" t="s">
        <v>242</v>
      </c>
      <c r="E1118" s="5" t="s">
        <v>189</v>
      </c>
      <c r="F1118" s="5" t="s">
        <v>190</v>
      </c>
    </row>
    <row r="1119" spans="1:6" x14ac:dyDescent="0.25">
      <c r="A1119" s="5">
        <v>95052</v>
      </c>
      <c r="B1119" s="10">
        <v>2900</v>
      </c>
      <c r="C1119" s="11" t="s">
        <v>102</v>
      </c>
      <c r="D1119" s="5" t="s">
        <v>103</v>
      </c>
      <c r="E1119" s="5" t="s">
        <v>189</v>
      </c>
      <c r="F1119" s="5" t="s">
        <v>190</v>
      </c>
    </row>
    <row r="1120" spans="1:6" x14ac:dyDescent="0.25">
      <c r="A1120" s="5">
        <v>95053</v>
      </c>
      <c r="B1120" s="10">
        <v>2900</v>
      </c>
      <c r="C1120" s="11" t="s">
        <v>104</v>
      </c>
      <c r="D1120" s="5" t="s">
        <v>254</v>
      </c>
      <c r="E1120" s="5" t="s">
        <v>189</v>
      </c>
      <c r="F1120" s="5" t="s">
        <v>190</v>
      </c>
    </row>
    <row r="1121" spans="1:6" x14ac:dyDescent="0.25">
      <c r="A1121" s="5">
        <v>95056</v>
      </c>
      <c r="B1121" s="10">
        <v>2900</v>
      </c>
      <c r="C1121" s="11" t="s">
        <v>96</v>
      </c>
      <c r="D1121" s="5" t="s">
        <v>242</v>
      </c>
      <c r="E1121" s="5" t="s">
        <v>189</v>
      </c>
      <c r="F1121" s="5" t="s">
        <v>190</v>
      </c>
    </row>
    <row r="1122" spans="1:6" x14ac:dyDescent="0.25">
      <c r="A1122" s="5">
        <v>95058</v>
      </c>
      <c r="B1122" s="10">
        <v>2900</v>
      </c>
      <c r="C1122" s="11" t="s">
        <v>74</v>
      </c>
      <c r="D1122" s="5" t="s">
        <v>243</v>
      </c>
      <c r="E1122" s="5" t="s">
        <v>189</v>
      </c>
      <c r="F1122" s="5" t="s">
        <v>190</v>
      </c>
    </row>
    <row r="1123" spans="1:6" x14ac:dyDescent="0.25">
      <c r="A1123" s="5">
        <v>95059</v>
      </c>
      <c r="B1123" s="10">
        <v>2900</v>
      </c>
      <c r="C1123" s="11" t="s">
        <v>96</v>
      </c>
      <c r="D1123" s="5" t="s">
        <v>242</v>
      </c>
      <c r="E1123" s="5" t="s">
        <v>189</v>
      </c>
      <c r="F1123" s="5" t="s">
        <v>190</v>
      </c>
    </row>
    <row r="1124" spans="1:6" x14ac:dyDescent="0.25">
      <c r="A1124" s="5">
        <v>95060</v>
      </c>
      <c r="B1124" s="10">
        <v>2900</v>
      </c>
      <c r="C1124" s="11" t="s">
        <v>96</v>
      </c>
      <c r="D1124" s="5" t="s">
        <v>242</v>
      </c>
      <c r="E1124" s="5" t="s">
        <v>189</v>
      </c>
      <c r="F1124" s="5" t="s">
        <v>190</v>
      </c>
    </row>
    <row r="1125" spans="1:6" x14ac:dyDescent="0.25">
      <c r="A1125" s="5">
        <v>95065</v>
      </c>
      <c r="B1125" s="10">
        <v>2900</v>
      </c>
      <c r="C1125" s="11" t="s">
        <v>74</v>
      </c>
      <c r="D1125" s="5" t="s">
        <v>243</v>
      </c>
      <c r="E1125" s="5" t="s">
        <v>189</v>
      </c>
      <c r="F1125" s="5" t="s">
        <v>190</v>
      </c>
    </row>
    <row r="1126" spans="1:6" x14ac:dyDescent="0.25">
      <c r="A1126" s="5">
        <v>95066</v>
      </c>
      <c r="B1126" s="10">
        <v>2900</v>
      </c>
      <c r="C1126" s="11" t="s">
        <v>74</v>
      </c>
      <c r="D1126" s="5" t="s">
        <v>243</v>
      </c>
      <c r="E1126" s="5" t="s">
        <v>189</v>
      </c>
      <c r="F1126" s="5" t="s">
        <v>190</v>
      </c>
    </row>
    <row r="1127" spans="1:6" x14ac:dyDescent="0.25">
      <c r="A1127" s="5">
        <v>95071</v>
      </c>
      <c r="B1127" s="10">
        <v>2900</v>
      </c>
      <c r="C1127" s="11" t="s">
        <v>96</v>
      </c>
      <c r="D1127" s="5" t="s">
        <v>242</v>
      </c>
      <c r="E1127" s="5" t="s">
        <v>189</v>
      </c>
      <c r="F1127" s="5" t="s">
        <v>190</v>
      </c>
    </row>
    <row r="1128" spans="1:6" x14ac:dyDescent="0.25">
      <c r="A1128" s="5">
        <v>95085</v>
      </c>
      <c r="B1128" s="10">
        <v>2900</v>
      </c>
      <c r="C1128" s="11" t="s">
        <v>60</v>
      </c>
      <c r="D1128" s="5" t="s">
        <v>245</v>
      </c>
      <c r="E1128" s="5" t="s">
        <v>189</v>
      </c>
      <c r="F1128" s="5" t="s">
        <v>190</v>
      </c>
    </row>
    <row r="1129" spans="1:6" x14ac:dyDescent="0.25">
      <c r="A1129" s="5">
        <v>95086</v>
      </c>
      <c r="B1129" s="10">
        <v>2900</v>
      </c>
      <c r="C1129" s="11" t="s">
        <v>60</v>
      </c>
      <c r="D1129" s="5" t="s">
        <v>245</v>
      </c>
      <c r="E1129" s="5" t="s">
        <v>189</v>
      </c>
      <c r="F1129" s="5" t="s">
        <v>190</v>
      </c>
    </row>
    <row r="1130" spans="1:6" x14ac:dyDescent="0.25">
      <c r="A1130" s="5">
        <v>95087</v>
      </c>
      <c r="B1130" s="10">
        <v>2900</v>
      </c>
      <c r="C1130" s="11" t="s">
        <v>60</v>
      </c>
      <c r="D1130" s="5" t="s">
        <v>245</v>
      </c>
      <c r="E1130" s="5" t="s">
        <v>189</v>
      </c>
      <c r="F1130" s="5" t="s">
        <v>190</v>
      </c>
    </row>
    <row r="1131" spans="1:6" x14ac:dyDescent="0.25">
      <c r="A1131" s="5">
        <v>95090</v>
      </c>
      <c r="B1131" s="10">
        <v>2900</v>
      </c>
      <c r="C1131" s="11" t="s">
        <v>102</v>
      </c>
      <c r="D1131" s="5" t="s">
        <v>103</v>
      </c>
      <c r="E1131" s="5" t="s">
        <v>189</v>
      </c>
      <c r="F1131" s="5" t="s">
        <v>190</v>
      </c>
    </row>
    <row r="1132" spans="1:6" x14ac:dyDescent="0.25">
      <c r="A1132" s="5">
        <v>95092</v>
      </c>
      <c r="B1132" s="10">
        <v>2900</v>
      </c>
      <c r="C1132" s="11" t="s">
        <v>102</v>
      </c>
      <c r="D1132" s="5" t="s">
        <v>103</v>
      </c>
      <c r="E1132" s="5" t="s">
        <v>189</v>
      </c>
      <c r="F1132" s="5" t="s">
        <v>190</v>
      </c>
    </row>
    <row r="1133" spans="1:6" x14ac:dyDescent="0.25">
      <c r="A1133" s="5">
        <v>95096</v>
      </c>
      <c r="B1133" s="10">
        <v>2900</v>
      </c>
      <c r="C1133" s="11" t="s">
        <v>70</v>
      </c>
      <c r="D1133" s="5" t="s">
        <v>257</v>
      </c>
      <c r="E1133" s="5" t="s">
        <v>189</v>
      </c>
      <c r="F1133" s="5" t="s">
        <v>190</v>
      </c>
    </row>
    <row r="1134" spans="1:6" x14ac:dyDescent="0.25">
      <c r="A1134" s="5">
        <v>95098</v>
      </c>
      <c r="B1134" s="10">
        <v>2900</v>
      </c>
      <c r="C1134" s="11" t="s">
        <v>118</v>
      </c>
      <c r="D1134" s="5" t="s">
        <v>119</v>
      </c>
      <c r="E1134" s="5" t="s">
        <v>189</v>
      </c>
      <c r="F1134" s="5" t="s">
        <v>190</v>
      </c>
    </row>
    <row r="1135" spans="1:6" x14ac:dyDescent="0.25">
      <c r="A1135" s="5">
        <v>95099</v>
      </c>
      <c r="B1135" s="10">
        <v>2900</v>
      </c>
      <c r="C1135" s="11" t="s">
        <v>118</v>
      </c>
      <c r="D1135" s="5" t="s">
        <v>119</v>
      </c>
      <c r="E1135" s="5" t="s">
        <v>189</v>
      </c>
      <c r="F1135" s="5" t="s">
        <v>190</v>
      </c>
    </row>
    <row r="1136" spans="1:6" x14ac:dyDescent="0.25">
      <c r="A1136" s="5">
        <v>95103</v>
      </c>
      <c r="B1136" s="10">
        <v>2900</v>
      </c>
      <c r="C1136" s="11" t="s">
        <v>78</v>
      </c>
      <c r="D1136" s="5" t="s">
        <v>244</v>
      </c>
      <c r="E1136" s="5" t="s">
        <v>189</v>
      </c>
      <c r="F1136" s="5" t="s">
        <v>190</v>
      </c>
    </row>
    <row r="1137" spans="1:6" x14ac:dyDescent="0.25">
      <c r="A1137" s="5">
        <v>95104</v>
      </c>
      <c r="B1137" s="10">
        <v>2900</v>
      </c>
      <c r="C1137" s="11" t="s">
        <v>78</v>
      </c>
      <c r="D1137" s="5" t="s">
        <v>244</v>
      </c>
      <c r="E1137" s="5" t="s">
        <v>189</v>
      </c>
      <c r="F1137" s="5" t="s">
        <v>190</v>
      </c>
    </row>
    <row r="1138" spans="1:6" x14ac:dyDescent="0.25">
      <c r="A1138" s="5">
        <v>95106</v>
      </c>
      <c r="B1138" s="10">
        <v>2900</v>
      </c>
      <c r="C1138" s="11" t="s">
        <v>78</v>
      </c>
      <c r="D1138" s="5" t="s">
        <v>244</v>
      </c>
      <c r="E1138" s="5" t="s">
        <v>189</v>
      </c>
      <c r="F1138" s="5" t="s">
        <v>190</v>
      </c>
    </row>
    <row r="1139" spans="1:6" x14ac:dyDescent="0.25">
      <c r="A1139" s="5">
        <v>95128</v>
      </c>
      <c r="B1139" s="10">
        <v>2900</v>
      </c>
      <c r="C1139" s="11" t="s">
        <v>102</v>
      </c>
      <c r="D1139" s="5" t="s">
        <v>103</v>
      </c>
      <c r="E1139" s="5" t="s">
        <v>189</v>
      </c>
      <c r="F1139" s="5" t="s">
        <v>190</v>
      </c>
    </row>
    <row r="1140" spans="1:6" x14ac:dyDescent="0.25">
      <c r="A1140" s="5">
        <v>95131</v>
      </c>
      <c r="B1140" s="10">
        <v>2900</v>
      </c>
      <c r="C1140" s="11" t="s">
        <v>78</v>
      </c>
      <c r="D1140" s="5" t="s">
        <v>244</v>
      </c>
      <c r="E1140" s="5" t="s">
        <v>189</v>
      </c>
      <c r="F1140" s="5" t="s">
        <v>190</v>
      </c>
    </row>
    <row r="1141" spans="1:6" x14ac:dyDescent="0.25">
      <c r="A1141" s="5">
        <v>95132</v>
      </c>
      <c r="B1141" s="10">
        <v>2900</v>
      </c>
      <c r="C1141" s="11" t="s">
        <v>60</v>
      </c>
      <c r="D1141" s="5" t="s">
        <v>245</v>
      </c>
      <c r="E1141" s="5" t="s">
        <v>189</v>
      </c>
      <c r="F1141" s="5" t="s">
        <v>190</v>
      </c>
    </row>
    <row r="1142" spans="1:6" x14ac:dyDescent="0.25">
      <c r="A1142" s="5">
        <v>95139</v>
      </c>
      <c r="B1142" s="10">
        <v>2900</v>
      </c>
      <c r="C1142" s="11" t="s">
        <v>96</v>
      </c>
      <c r="D1142" s="5" t="s">
        <v>242</v>
      </c>
      <c r="E1142" s="5" t="s">
        <v>189</v>
      </c>
      <c r="F1142" s="5" t="s">
        <v>190</v>
      </c>
    </row>
    <row r="1143" spans="1:6" x14ac:dyDescent="0.25">
      <c r="A1143" s="5">
        <v>95144</v>
      </c>
      <c r="B1143" s="10">
        <v>1450</v>
      </c>
      <c r="C1143" s="11" t="s">
        <v>102</v>
      </c>
      <c r="D1143" s="5" t="s">
        <v>103</v>
      </c>
      <c r="E1143" s="5" t="s">
        <v>189</v>
      </c>
      <c r="F1143" s="5" t="s">
        <v>190</v>
      </c>
    </row>
    <row r="1144" spans="1:6" x14ac:dyDescent="0.25">
      <c r="A1144" s="5">
        <v>95152</v>
      </c>
      <c r="B1144" s="10">
        <v>2900</v>
      </c>
      <c r="C1144" s="11" t="s">
        <v>104</v>
      </c>
      <c r="D1144" s="5" t="s">
        <v>254</v>
      </c>
      <c r="E1144" s="5" t="s">
        <v>189</v>
      </c>
      <c r="F1144" s="5" t="s">
        <v>190</v>
      </c>
    </row>
    <row r="1145" spans="1:6" x14ac:dyDescent="0.25">
      <c r="A1145" s="5">
        <v>95158</v>
      </c>
      <c r="B1145" s="10">
        <v>2900</v>
      </c>
      <c r="C1145" s="11" t="s">
        <v>60</v>
      </c>
      <c r="D1145" s="5" t="s">
        <v>245</v>
      </c>
      <c r="E1145" s="5" t="s">
        <v>189</v>
      </c>
      <c r="F1145" s="5" t="s">
        <v>190</v>
      </c>
    </row>
    <row r="1146" spans="1:6" x14ac:dyDescent="0.25">
      <c r="A1146" s="5">
        <v>95164</v>
      </c>
      <c r="B1146" s="10">
        <v>2900</v>
      </c>
      <c r="C1146" s="11" t="s">
        <v>74</v>
      </c>
      <c r="D1146" s="5" t="s">
        <v>243</v>
      </c>
      <c r="E1146" s="5" t="s">
        <v>189</v>
      </c>
      <c r="F1146" s="5" t="s">
        <v>190</v>
      </c>
    </row>
    <row r="1147" spans="1:6" x14ac:dyDescent="0.25">
      <c r="A1147" s="5">
        <v>95167</v>
      </c>
      <c r="B1147" s="10">
        <v>2900</v>
      </c>
      <c r="C1147" s="11" t="s">
        <v>96</v>
      </c>
      <c r="D1147" s="5" t="s">
        <v>242</v>
      </c>
      <c r="E1147" s="5" t="s">
        <v>189</v>
      </c>
      <c r="F1147" s="5" t="s">
        <v>190</v>
      </c>
    </row>
    <row r="1148" spans="1:6" x14ac:dyDescent="0.25">
      <c r="A1148" s="5">
        <v>95170</v>
      </c>
      <c r="B1148" s="10">
        <v>2900</v>
      </c>
      <c r="C1148" s="11" t="s">
        <v>102</v>
      </c>
      <c r="D1148" s="5" t="s">
        <v>103</v>
      </c>
      <c r="E1148" s="5" t="s">
        <v>189</v>
      </c>
      <c r="F1148" s="5" t="s">
        <v>190</v>
      </c>
    </row>
    <row r="1149" spans="1:6" x14ac:dyDescent="0.25">
      <c r="A1149" s="5">
        <v>95180</v>
      </c>
      <c r="B1149" s="10">
        <v>2900</v>
      </c>
      <c r="C1149" s="11" t="s">
        <v>96</v>
      </c>
      <c r="D1149" s="5" t="s">
        <v>242</v>
      </c>
      <c r="E1149" s="5" t="s">
        <v>189</v>
      </c>
      <c r="F1149" s="5" t="s">
        <v>190</v>
      </c>
    </row>
    <row r="1150" spans="1:6" x14ac:dyDescent="0.25">
      <c r="A1150" s="5">
        <v>95190</v>
      </c>
      <c r="B1150" s="10">
        <v>2900</v>
      </c>
      <c r="C1150" s="11" t="s">
        <v>104</v>
      </c>
      <c r="D1150" s="5" t="s">
        <v>254</v>
      </c>
      <c r="E1150" s="5" t="s">
        <v>189</v>
      </c>
      <c r="F1150" s="5" t="s">
        <v>190</v>
      </c>
    </row>
    <row r="1151" spans="1:6" x14ac:dyDescent="0.25">
      <c r="A1151" s="5">
        <v>95202</v>
      </c>
      <c r="B1151" s="10">
        <v>2900</v>
      </c>
      <c r="C1151" s="11" t="s">
        <v>96</v>
      </c>
      <c r="D1151" s="5" t="s">
        <v>242</v>
      </c>
      <c r="E1151" s="5" t="s">
        <v>189</v>
      </c>
      <c r="F1151" s="5" t="s">
        <v>190</v>
      </c>
    </row>
    <row r="1152" spans="1:6" x14ac:dyDescent="0.25">
      <c r="A1152" s="5">
        <v>95203</v>
      </c>
      <c r="B1152" s="10">
        <v>2900</v>
      </c>
      <c r="C1152" s="11" t="s">
        <v>102</v>
      </c>
      <c r="D1152" s="5" t="s">
        <v>103</v>
      </c>
      <c r="E1152" s="5" t="s">
        <v>189</v>
      </c>
      <c r="F1152" s="5" t="s">
        <v>190</v>
      </c>
    </row>
    <row r="1153" spans="1:6" x14ac:dyDescent="0.25">
      <c r="A1153" s="5">
        <v>95211</v>
      </c>
      <c r="B1153" s="10">
        <v>2900</v>
      </c>
      <c r="C1153" s="11" t="s">
        <v>102</v>
      </c>
      <c r="D1153" s="5" t="s">
        <v>103</v>
      </c>
      <c r="E1153" s="5" t="s">
        <v>189</v>
      </c>
      <c r="F1153" s="5" t="s">
        <v>190</v>
      </c>
    </row>
    <row r="1154" spans="1:6" x14ac:dyDescent="0.25">
      <c r="A1154" s="5">
        <v>95213</v>
      </c>
      <c r="B1154" s="10">
        <v>2900</v>
      </c>
      <c r="C1154" s="11" t="s">
        <v>104</v>
      </c>
      <c r="D1154" s="5" t="s">
        <v>254</v>
      </c>
      <c r="E1154" s="5" t="s">
        <v>189</v>
      </c>
      <c r="F1154" s="5" t="s">
        <v>190</v>
      </c>
    </row>
    <row r="1155" spans="1:6" x14ac:dyDescent="0.25">
      <c r="A1155" s="5">
        <v>95214</v>
      </c>
      <c r="B1155" s="10">
        <v>2900</v>
      </c>
      <c r="C1155" s="11" t="s">
        <v>104</v>
      </c>
      <c r="D1155" s="5" t="s">
        <v>254</v>
      </c>
      <c r="E1155" s="5" t="s">
        <v>189</v>
      </c>
      <c r="F1155" s="5" t="s">
        <v>190</v>
      </c>
    </row>
    <row r="1156" spans="1:6" x14ac:dyDescent="0.25">
      <c r="A1156" s="5">
        <v>95223</v>
      </c>
      <c r="B1156" s="10">
        <v>2900</v>
      </c>
      <c r="C1156" s="11" t="s">
        <v>96</v>
      </c>
      <c r="D1156" s="5" t="s">
        <v>242</v>
      </c>
      <c r="E1156" s="5" t="s">
        <v>189</v>
      </c>
      <c r="F1156" s="5" t="s">
        <v>190</v>
      </c>
    </row>
    <row r="1157" spans="1:6" x14ac:dyDescent="0.25">
      <c r="A1157" s="5">
        <v>95224</v>
      </c>
      <c r="B1157" s="10">
        <v>2900</v>
      </c>
      <c r="C1157" s="11" t="s">
        <v>104</v>
      </c>
      <c r="D1157" s="5" t="s">
        <v>254</v>
      </c>
      <c r="E1157" s="5" t="s">
        <v>189</v>
      </c>
      <c r="F1157" s="5" t="s">
        <v>190</v>
      </c>
    </row>
    <row r="1158" spans="1:6" x14ac:dyDescent="0.25">
      <c r="A1158" s="5">
        <v>95227</v>
      </c>
      <c r="B1158" s="10">
        <v>2900</v>
      </c>
      <c r="C1158" s="11" t="s">
        <v>104</v>
      </c>
      <c r="D1158" s="5" t="s">
        <v>254</v>
      </c>
      <c r="E1158" s="5" t="s">
        <v>189</v>
      </c>
      <c r="F1158" s="5" t="s">
        <v>190</v>
      </c>
    </row>
    <row r="1159" spans="1:6" x14ac:dyDescent="0.25">
      <c r="A1159" s="5">
        <v>95230</v>
      </c>
      <c r="B1159" s="10">
        <v>2900</v>
      </c>
      <c r="C1159" s="11" t="s">
        <v>102</v>
      </c>
      <c r="D1159" s="5" t="s">
        <v>103</v>
      </c>
      <c r="E1159" s="5" t="s">
        <v>189</v>
      </c>
      <c r="F1159" s="5" t="s">
        <v>190</v>
      </c>
    </row>
    <row r="1160" spans="1:6" x14ac:dyDescent="0.25">
      <c r="A1160" s="5">
        <v>95235</v>
      </c>
      <c r="B1160" s="10">
        <v>2900</v>
      </c>
      <c r="C1160" s="11" t="s">
        <v>74</v>
      </c>
      <c r="D1160" s="5" t="s">
        <v>243</v>
      </c>
      <c r="E1160" s="5" t="s">
        <v>189</v>
      </c>
      <c r="F1160" s="5" t="s">
        <v>190</v>
      </c>
    </row>
    <row r="1161" spans="1:6" x14ac:dyDescent="0.25">
      <c r="A1161" s="5">
        <v>95236</v>
      </c>
      <c r="B1161" s="10">
        <v>2900</v>
      </c>
      <c r="C1161" s="11" t="s">
        <v>60</v>
      </c>
      <c r="D1161" s="5" t="s">
        <v>245</v>
      </c>
      <c r="E1161" s="5" t="s">
        <v>189</v>
      </c>
      <c r="F1161" s="5" t="s">
        <v>190</v>
      </c>
    </row>
    <row r="1162" spans="1:6" x14ac:dyDescent="0.25">
      <c r="A1162" s="5">
        <v>95237</v>
      </c>
      <c r="B1162" s="10">
        <v>2900</v>
      </c>
      <c r="C1162" s="11" t="s">
        <v>102</v>
      </c>
      <c r="D1162" s="5" t="s">
        <v>103</v>
      </c>
      <c r="E1162" s="5" t="s">
        <v>189</v>
      </c>
      <c r="F1162" s="5" t="s">
        <v>190</v>
      </c>
    </row>
    <row r="1163" spans="1:6" x14ac:dyDescent="0.25">
      <c r="A1163" s="5">
        <v>95241</v>
      </c>
      <c r="B1163" s="10">
        <v>2900</v>
      </c>
      <c r="C1163" s="11" t="s">
        <v>96</v>
      </c>
      <c r="D1163" s="5" t="s">
        <v>242</v>
      </c>
      <c r="E1163" s="5" t="s">
        <v>189</v>
      </c>
      <c r="F1163" s="5" t="s">
        <v>190</v>
      </c>
    </row>
    <row r="1164" spans="1:6" x14ac:dyDescent="0.25">
      <c r="A1164" s="5">
        <v>95242</v>
      </c>
      <c r="B1164" s="10">
        <v>2900</v>
      </c>
      <c r="C1164" s="11" t="s">
        <v>96</v>
      </c>
      <c r="D1164" s="5" t="s">
        <v>242</v>
      </c>
      <c r="E1164" s="5" t="s">
        <v>189</v>
      </c>
      <c r="F1164" s="5" t="s">
        <v>190</v>
      </c>
    </row>
    <row r="1165" spans="1:6" x14ac:dyDescent="0.25">
      <c r="A1165" s="5">
        <v>95243</v>
      </c>
      <c r="B1165" s="10">
        <v>2900</v>
      </c>
      <c r="C1165" s="11" t="s">
        <v>96</v>
      </c>
      <c r="D1165" s="5" t="s">
        <v>242</v>
      </c>
      <c r="E1165" s="5" t="s">
        <v>189</v>
      </c>
      <c r="F1165" s="5" t="s">
        <v>190</v>
      </c>
    </row>
    <row r="1166" spans="1:6" x14ac:dyDescent="0.25">
      <c r="A1166" s="5">
        <v>95248</v>
      </c>
      <c r="B1166" s="10">
        <v>2900</v>
      </c>
      <c r="C1166" s="11" t="s">
        <v>60</v>
      </c>
      <c r="D1166" s="5" t="s">
        <v>245</v>
      </c>
      <c r="E1166" s="5" t="s">
        <v>189</v>
      </c>
      <c r="F1166" s="5" t="s">
        <v>190</v>
      </c>
    </row>
    <row r="1167" spans="1:6" x14ac:dyDescent="0.25">
      <c r="A1167" s="5">
        <v>95254</v>
      </c>
      <c r="B1167" s="10">
        <v>2900</v>
      </c>
      <c r="C1167" s="11" t="s">
        <v>96</v>
      </c>
      <c r="D1167" s="5" t="s">
        <v>242</v>
      </c>
      <c r="E1167" s="5" t="s">
        <v>189</v>
      </c>
      <c r="F1167" s="5" t="s">
        <v>190</v>
      </c>
    </row>
    <row r="1168" spans="1:6" x14ac:dyDescent="0.25">
      <c r="A1168" s="5">
        <v>95259</v>
      </c>
      <c r="B1168" s="10">
        <v>1450</v>
      </c>
      <c r="C1168" s="11" t="s">
        <v>74</v>
      </c>
      <c r="D1168" s="5" t="s">
        <v>243</v>
      </c>
      <c r="E1168" s="5" t="s">
        <v>189</v>
      </c>
      <c r="F1168" s="5" t="s">
        <v>190</v>
      </c>
    </row>
    <row r="1169" spans="1:6" x14ac:dyDescent="0.25">
      <c r="A1169" s="5">
        <v>95261</v>
      </c>
      <c r="B1169" s="10">
        <v>2900</v>
      </c>
      <c r="C1169" s="11" t="s">
        <v>96</v>
      </c>
      <c r="D1169" s="5" t="s">
        <v>242</v>
      </c>
      <c r="E1169" s="5" t="s">
        <v>189</v>
      </c>
      <c r="F1169" s="5" t="s">
        <v>190</v>
      </c>
    </row>
    <row r="1170" spans="1:6" x14ac:dyDescent="0.25">
      <c r="A1170" s="5">
        <v>95265</v>
      </c>
      <c r="B1170" s="10">
        <v>2900</v>
      </c>
      <c r="C1170" s="11" t="s">
        <v>96</v>
      </c>
      <c r="D1170" s="5" t="s">
        <v>242</v>
      </c>
      <c r="E1170" s="5" t="s">
        <v>189</v>
      </c>
      <c r="F1170" s="5" t="s">
        <v>190</v>
      </c>
    </row>
    <row r="1171" spans="1:6" x14ac:dyDescent="0.25">
      <c r="A1171" s="5">
        <v>95266</v>
      </c>
      <c r="B1171" s="10">
        <v>2900</v>
      </c>
      <c r="C1171" s="11" t="s">
        <v>104</v>
      </c>
      <c r="D1171" s="5" t="s">
        <v>254</v>
      </c>
      <c r="E1171" s="5" t="s">
        <v>189</v>
      </c>
      <c r="F1171" s="5" t="s">
        <v>190</v>
      </c>
    </row>
    <row r="1172" spans="1:6" x14ac:dyDescent="0.25">
      <c r="A1172" s="5">
        <v>95269</v>
      </c>
      <c r="B1172" s="10">
        <v>2900</v>
      </c>
      <c r="C1172" s="11" t="s">
        <v>96</v>
      </c>
      <c r="D1172" s="5" t="s">
        <v>242</v>
      </c>
      <c r="E1172" s="5" t="s">
        <v>189</v>
      </c>
      <c r="F1172" s="5" t="s">
        <v>190</v>
      </c>
    </row>
    <row r="1173" spans="1:6" x14ac:dyDescent="0.25">
      <c r="A1173" s="5">
        <v>95275</v>
      </c>
      <c r="B1173" s="10">
        <v>2900</v>
      </c>
      <c r="C1173" s="11" t="s">
        <v>96</v>
      </c>
      <c r="D1173" s="5" t="s">
        <v>242</v>
      </c>
      <c r="E1173" s="5" t="s">
        <v>189</v>
      </c>
      <c r="F1173" s="5" t="s">
        <v>190</v>
      </c>
    </row>
    <row r="1174" spans="1:6" x14ac:dyDescent="0.25">
      <c r="A1174" s="5">
        <v>95277</v>
      </c>
      <c r="B1174" s="10">
        <v>2900</v>
      </c>
      <c r="C1174" s="11" t="s">
        <v>96</v>
      </c>
      <c r="D1174" s="5" t="s">
        <v>242</v>
      </c>
      <c r="E1174" s="5" t="s">
        <v>189</v>
      </c>
      <c r="F1174" s="5" t="s">
        <v>190</v>
      </c>
    </row>
    <row r="1175" spans="1:6" x14ac:dyDescent="0.25">
      <c r="A1175" s="5">
        <v>95279</v>
      </c>
      <c r="B1175" s="10">
        <v>2900</v>
      </c>
      <c r="C1175" s="11" t="s">
        <v>96</v>
      </c>
      <c r="D1175" s="5" t="s">
        <v>242</v>
      </c>
      <c r="E1175" s="5" t="s">
        <v>189</v>
      </c>
      <c r="F1175" s="5" t="s">
        <v>190</v>
      </c>
    </row>
    <row r="1176" spans="1:6" x14ac:dyDescent="0.25">
      <c r="A1176" s="5">
        <v>95280</v>
      </c>
      <c r="B1176" s="10">
        <v>2900</v>
      </c>
      <c r="C1176" s="11" t="s">
        <v>96</v>
      </c>
      <c r="D1176" s="5" t="s">
        <v>242</v>
      </c>
      <c r="E1176" s="5" t="s">
        <v>189</v>
      </c>
      <c r="F1176" s="5" t="s">
        <v>190</v>
      </c>
    </row>
    <row r="1177" spans="1:6" x14ac:dyDescent="0.25">
      <c r="A1177" s="5">
        <v>95283</v>
      </c>
      <c r="B1177" s="10">
        <v>2900</v>
      </c>
      <c r="C1177" s="11" t="s">
        <v>96</v>
      </c>
      <c r="D1177" s="5" t="s">
        <v>242</v>
      </c>
      <c r="E1177" s="5" t="s">
        <v>189</v>
      </c>
      <c r="F1177" s="5" t="s">
        <v>190</v>
      </c>
    </row>
    <row r="1178" spans="1:6" x14ac:dyDescent="0.25">
      <c r="A1178" s="5">
        <v>95284</v>
      </c>
      <c r="B1178" s="10">
        <v>2900</v>
      </c>
      <c r="C1178" s="11" t="s">
        <v>96</v>
      </c>
      <c r="D1178" s="5" t="s">
        <v>242</v>
      </c>
      <c r="E1178" s="5" t="s">
        <v>189</v>
      </c>
      <c r="F1178" s="5" t="s">
        <v>190</v>
      </c>
    </row>
    <row r="1179" spans="1:6" x14ac:dyDescent="0.25">
      <c r="A1179" s="5">
        <v>95286</v>
      </c>
      <c r="B1179" s="10">
        <v>2900</v>
      </c>
      <c r="C1179" s="11" t="s">
        <v>96</v>
      </c>
      <c r="D1179" s="5" t="s">
        <v>242</v>
      </c>
      <c r="E1179" s="5" t="s">
        <v>189</v>
      </c>
      <c r="F1179" s="5" t="s">
        <v>190</v>
      </c>
    </row>
    <row r="1180" spans="1:6" x14ac:dyDescent="0.25">
      <c r="A1180" s="5">
        <v>95292</v>
      </c>
      <c r="B1180" s="10">
        <v>2900</v>
      </c>
      <c r="C1180" s="11" t="s">
        <v>96</v>
      </c>
      <c r="D1180" s="5" t="s">
        <v>242</v>
      </c>
      <c r="E1180" s="5" t="s">
        <v>189</v>
      </c>
      <c r="F1180" s="5" t="s">
        <v>190</v>
      </c>
    </row>
    <row r="1181" spans="1:6" x14ac:dyDescent="0.25">
      <c r="A1181" s="5">
        <v>95297</v>
      </c>
      <c r="B1181" s="10">
        <v>2900</v>
      </c>
      <c r="C1181" s="11" t="s">
        <v>96</v>
      </c>
      <c r="D1181" s="5" t="s">
        <v>242</v>
      </c>
      <c r="E1181" s="5" t="s">
        <v>189</v>
      </c>
      <c r="F1181" s="5" t="s">
        <v>190</v>
      </c>
    </row>
    <row r="1182" spans="1:6" x14ac:dyDescent="0.25">
      <c r="A1182" s="5">
        <v>95312</v>
      </c>
      <c r="B1182" s="10">
        <v>2900</v>
      </c>
      <c r="C1182" s="11" t="s">
        <v>96</v>
      </c>
      <c r="D1182" s="5" t="s">
        <v>242</v>
      </c>
      <c r="E1182" s="5" t="s">
        <v>189</v>
      </c>
      <c r="F1182" s="5" t="s">
        <v>190</v>
      </c>
    </row>
    <row r="1183" spans="1:6" x14ac:dyDescent="0.25">
      <c r="A1183" s="5">
        <v>95313</v>
      </c>
      <c r="B1183" s="10">
        <v>2900</v>
      </c>
      <c r="C1183" s="11" t="s">
        <v>96</v>
      </c>
      <c r="D1183" s="5" t="s">
        <v>242</v>
      </c>
      <c r="E1183" s="5" t="s">
        <v>189</v>
      </c>
      <c r="F1183" s="5" t="s">
        <v>190</v>
      </c>
    </row>
    <row r="1184" spans="1:6" x14ac:dyDescent="0.25">
      <c r="A1184" s="5">
        <v>95314</v>
      </c>
      <c r="B1184" s="10">
        <v>2900</v>
      </c>
      <c r="C1184" s="11" t="s">
        <v>104</v>
      </c>
      <c r="D1184" s="5" t="s">
        <v>254</v>
      </c>
      <c r="E1184" s="5" t="s">
        <v>189</v>
      </c>
      <c r="F1184" s="5" t="s">
        <v>190</v>
      </c>
    </row>
    <row r="1185" spans="1:6" x14ac:dyDescent="0.25">
      <c r="A1185" s="5">
        <v>95317</v>
      </c>
      <c r="B1185" s="10">
        <v>2900</v>
      </c>
      <c r="C1185" s="11" t="s">
        <v>96</v>
      </c>
      <c r="D1185" s="5" t="s">
        <v>242</v>
      </c>
      <c r="E1185" s="5" t="s">
        <v>189</v>
      </c>
      <c r="F1185" s="5" t="s">
        <v>190</v>
      </c>
    </row>
    <row r="1186" spans="1:6" x14ac:dyDescent="0.25">
      <c r="A1186" s="5">
        <v>95319</v>
      </c>
      <c r="B1186" s="10">
        <v>2900</v>
      </c>
      <c r="C1186" s="11" t="s">
        <v>96</v>
      </c>
      <c r="D1186" s="5" t="s">
        <v>242</v>
      </c>
      <c r="E1186" s="5" t="s">
        <v>189</v>
      </c>
      <c r="F1186" s="5" t="s">
        <v>190</v>
      </c>
    </row>
    <row r="1187" spans="1:6" x14ac:dyDescent="0.25">
      <c r="A1187" s="5">
        <v>95332</v>
      </c>
      <c r="B1187" s="10">
        <v>2900</v>
      </c>
      <c r="C1187" s="11" t="s">
        <v>118</v>
      </c>
      <c r="D1187" s="5" t="s">
        <v>119</v>
      </c>
      <c r="E1187" s="5" t="s">
        <v>189</v>
      </c>
      <c r="F1187" s="5" t="s">
        <v>190</v>
      </c>
    </row>
    <row r="1188" spans="1:6" x14ac:dyDescent="0.25">
      <c r="A1188" s="5">
        <v>95334</v>
      </c>
      <c r="B1188" s="10">
        <v>2900</v>
      </c>
      <c r="C1188" s="11" t="s">
        <v>78</v>
      </c>
      <c r="D1188" s="5" t="s">
        <v>244</v>
      </c>
      <c r="E1188" s="5" t="s">
        <v>189</v>
      </c>
      <c r="F1188" s="5" t="s">
        <v>190</v>
      </c>
    </row>
    <row r="1189" spans="1:6" x14ac:dyDescent="0.25">
      <c r="A1189" s="5">
        <v>95335</v>
      </c>
      <c r="B1189" s="10">
        <v>2900</v>
      </c>
      <c r="C1189" s="11" t="s">
        <v>118</v>
      </c>
      <c r="D1189" s="5" t="s">
        <v>119</v>
      </c>
      <c r="E1189" s="5" t="s">
        <v>189</v>
      </c>
      <c r="F1189" s="5" t="s">
        <v>190</v>
      </c>
    </row>
    <row r="1190" spans="1:6" x14ac:dyDescent="0.25">
      <c r="A1190" s="5">
        <v>95337</v>
      </c>
      <c r="B1190" s="10">
        <v>2900</v>
      </c>
      <c r="C1190" s="11" t="s">
        <v>118</v>
      </c>
      <c r="D1190" s="5" t="s">
        <v>119</v>
      </c>
      <c r="E1190" s="5" t="s">
        <v>189</v>
      </c>
      <c r="F1190" s="5" t="s">
        <v>190</v>
      </c>
    </row>
    <row r="1191" spans="1:6" x14ac:dyDescent="0.25">
      <c r="A1191" s="5">
        <v>95340</v>
      </c>
      <c r="B1191" s="10">
        <v>2900</v>
      </c>
      <c r="C1191" s="11" t="s">
        <v>118</v>
      </c>
      <c r="D1191" s="5" t="s">
        <v>119</v>
      </c>
      <c r="E1191" s="5" t="s">
        <v>189</v>
      </c>
      <c r="F1191" s="5" t="s">
        <v>190</v>
      </c>
    </row>
    <row r="1192" spans="1:6" x14ac:dyDescent="0.25">
      <c r="A1192" s="5">
        <v>95344</v>
      </c>
      <c r="B1192" s="10">
        <v>2900</v>
      </c>
      <c r="C1192" s="11" t="s">
        <v>104</v>
      </c>
      <c r="D1192" s="5" t="s">
        <v>254</v>
      </c>
      <c r="E1192" s="5" t="s">
        <v>189</v>
      </c>
      <c r="F1192" s="5" t="s">
        <v>190</v>
      </c>
    </row>
    <row r="1193" spans="1:6" x14ac:dyDescent="0.25">
      <c r="A1193" s="5">
        <v>95346</v>
      </c>
      <c r="B1193" s="10">
        <v>2900</v>
      </c>
      <c r="C1193" s="11" t="s">
        <v>102</v>
      </c>
      <c r="D1193" s="5" t="s">
        <v>103</v>
      </c>
      <c r="E1193" s="5" t="s">
        <v>189</v>
      </c>
      <c r="F1193" s="5" t="s">
        <v>190</v>
      </c>
    </row>
    <row r="1194" spans="1:6" x14ac:dyDescent="0.25">
      <c r="A1194" s="5">
        <v>95349</v>
      </c>
      <c r="B1194" s="10">
        <v>2900</v>
      </c>
      <c r="C1194" s="11" t="s">
        <v>104</v>
      </c>
      <c r="D1194" s="5" t="s">
        <v>254</v>
      </c>
      <c r="E1194" s="5" t="s">
        <v>189</v>
      </c>
      <c r="F1194" s="5" t="s">
        <v>190</v>
      </c>
    </row>
    <row r="1195" spans="1:6" x14ac:dyDescent="0.25">
      <c r="A1195" s="5">
        <v>95354</v>
      </c>
      <c r="B1195" s="10">
        <v>2900</v>
      </c>
      <c r="C1195" s="11" t="s">
        <v>102</v>
      </c>
      <c r="D1195" s="5" t="s">
        <v>103</v>
      </c>
      <c r="E1195" s="5" t="s">
        <v>189</v>
      </c>
      <c r="F1195" s="5" t="s">
        <v>190</v>
      </c>
    </row>
    <row r="1196" spans="1:6" x14ac:dyDescent="0.25">
      <c r="A1196" s="5">
        <v>95359</v>
      </c>
      <c r="B1196" s="10">
        <v>2900</v>
      </c>
      <c r="C1196" s="11" t="s">
        <v>102</v>
      </c>
      <c r="D1196" s="5" t="s">
        <v>103</v>
      </c>
      <c r="E1196" s="5" t="s">
        <v>189</v>
      </c>
      <c r="F1196" s="5" t="s">
        <v>190</v>
      </c>
    </row>
    <row r="1197" spans="1:6" x14ac:dyDescent="0.25">
      <c r="A1197" s="5">
        <v>95364</v>
      </c>
      <c r="B1197" s="10">
        <v>2900</v>
      </c>
      <c r="C1197" s="11" t="s">
        <v>102</v>
      </c>
      <c r="D1197" s="5" t="s">
        <v>103</v>
      </c>
      <c r="E1197" s="5" t="s">
        <v>189</v>
      </c>
      <c r="F1197" s="5" t="s">
        <v>190</v>
      </c>
    </row>
    <row r="1198" spans="1:6" x14ac:dyDescent="0.25">
      <c r="A1198" s="5">
        <v>95365</v>
      </c>
      <c r="B1198" s="10">
        <v>2900</v>
      </c>
      <c r="C1198" s="11" t="s">
        <v>118</v>
      </c>
      <c r="D1198" s="5" t="s">
        <v>119</v>
      </c>
      <c r="E1198" s="5" t="s">
        <v>189</v>
      </c>
      <c r="F1198" s="5" t="s">
        <v>190</v>
      </c>
    </row>
    <row r="1199" spans="1:6" x14ac:dyDescent="0.25">
      <c r="A1199" s="5">
        <v>95368</v>
      </c>
      <c r="B1199" s="10">
        <v>2900</v>
      </c>
      <c r="C1199" s="11" t="s">
        <v>102</v>
      </c>
      <c r="D1199" s="5" t="s">
        <v>103</v>
      </c>
      <c r="E1199" s="5" t="s">
        <v>189</v>
      </c>
      <c r="F1199" s="5" t="s">
        <v>190</v>
      </c>
    </row>
    <row r="1200" spans="1:6" x14ac:dyDescent="0.25">
      <c r="A1200" s="5">
        <v>95373</v>
      </c>
      <c r="B1200" s="10">
        <v>2900</v>
      </c>
      <c r="C1200" s="11" t="s">
        <v>96</v>
      </c>
      <c r="D1200" s="5" t="s">
        <v>242</v>
      </c>
      <c r="E1200" s="5" t="s">
        <v>189</v>
      </c>
      <c r="F1200" s="5" t="s">
        <v>190</v>
      </c>
    </row>
    <row r="1201" spans="1:6" x14ac:dyDescent="0.25">
      <c r="A1201" s="5">
        <v>95374</v>
      </c>
      <c r="B1201" s="10">
        <v>2900</v>
      </c>
      <c r="C1201" s="11" t="s">
        <v>96</v>
      </c>
      <c r="D1201" s="5" t="s">
        <v>242</v>
      </c>
      <c r="E1201" s="5" t="s">
        <v>189</v>
      </c>
      <c r="F1201" s="5" t="s">
        <v>190</v>
      </c>
    </row>
    <row r="1202" spans="1:6" x14ac:dyDescent="0.25">
      <c r="A1202" s="5">
        <v>95375</v>
      </c>
      <c r="B1202" s="10">
        <v>2900</v>
      </c>
      <c r="C1202" s="11" t="s">
        <v>96</v>
      </c>
      <c r="D1202" s="5" t="s">
        <v>242</v>
      </c>
      <c r="E1202" s="5" t="s">
        <v>189</v>
      </c>
      <c r="F1202" s="5" t="s">
        <v>190</v>
      </c>
    </row>
    <row r="1203" spans="1:6" x14ac:dyDescent="0.25">
      <c r="A1203" s="5">
        <v>95378</v>
      </c>
      <c r="B1203" s="10">
        <v>1450</v>
      </c>
      <c r="C1203" s="11" t="s">
        <v>96</v>
      </c>
      <c r="D1203" s="5" t="s">
        <v>242</v>
      </c>
      <c r="E1203" s="5" t="s">
        <v>189</v>
      </c>
      <c r="F1203" s="5" t="s">
        <v>190</v>
      </c>
    </row>
    <row r="1204" spans="1:6" x14ac:dyDescent="0.25">
      <c r="A1204" s="5">
        <v>95416</v>
      </c>
      <c r="B1204" s="10">
        <v>1450</v>
      </c>
      <c r="C1204" s="11" t="s">
        <v>96</v>
      </c>
      <c r="D1204" s="5" t="s">
        <v>242</v>
      </c>
      <c r="E1204" s="5" t="s">
        <v>189</v>
      </c>
      <c r="F1204" s="5" t="s">
        <v>190</v>
      </c>
    </row>
    <row r="1205" spans="1:6" x14ac:dyDescent="0.25">
      <c r="A1205" s="5">
        <v>95423</v>
      </c>
      <c r="B1205" s="10">
        <v>1450</v>
      </c>
      <c r="C1205" s="11" t="s">
        <v>104</v>
      </c>
      <c r="D1205" s="5" t="s">
        <v>254</v>
      </c>
      <c r="E1205" s="5" t="s">
        <v>189</v>
      </c>
      <c r="F1205" s="5" t="s">
        <v>190</v>
      </c>
    </row>
    <row r="1206" spans="1:6" x14ac:dyDescent="0.25">
      <c r="A1206" s="5">
        <v>95427</v>
      </c>
      <c r="B1206" s="10">
        <v>1450</v>
      </c>
      <c r="C1206" s="11" t="s">
        <v>102</v>
      </c>
      <c r="D1206" s="5" t="s">
        <v>103</v>
      </c>
      <c r="E1206" s="5" t="s">
        <v>189</v>
      </c>
      <c r="F1206" s="5" t="s">
        <v>190</v>
      </c>
    </row>
    <row r="1207" spans="1:6" x14ac:dyDescent="0.25">
      <c r="A1207" s="5">
        <v>95428</v>
      </c>
      <c r="B1207" s="10">
        <v>1450</v>
      </c>
      <c r="C1207" s="11" t="s">
        <v>60</v>
      </c>
      <c r="D1207" s="5" t="s">
        <v>245</v>
      </c>
      <c r="E1207" s="5" t="s">
        <v>189</v>
      </c>
      <c r="F1207" s="5" t="s">
        <v>190</v>
      </c>
    </row>
    <row r="1208" spans="1:6" x14ac:dyDescent="0.25">
      <c r="A1208" s="5">
        <v>95429</v>
      </c>
      <c r="B1208" s="10">
        <v>1450</v>
      </c>
      <c r="C1208" s="11" t="s">
        <v>60</v>
      </c>
      <c r="D1208" s="5" t="s">
        <v>245</v>
      </c>
      <c r="E1208" s="5" t="s">
        <v>189</v>
      </c>
      <c r="F1208" s="5" t="s">
        <v>190</v>
      </c>
    </row>
    <row r="1209" spans="1:6" x14ac:dyDescent="0.25">
      <c r="A1209" s="5">
        <v>95433</v>
      </c>
      <c r="B1209" s="10">
        <v>1450</v>
      </c>
      <c r="C1209" s="11" t="s">
        <v>74</v>
      </c>
      <c r="D1209" s="5" t="s">
        <v>243</v>
      </c>
      <c r="E1209" s="5" t="s">
        <v>189</v>
      </c>
      <c r="F1209" s="5" t="s">
        <v>190</v>
      </c>
    </row>
    <row r="1210" spans="1:6" x14ac:dyDescent="0.25">
      <c r="A1210" s="5">
        <v>95434</v>
      </c>
      <c r="B1210" s="10">
        <v>1450</v>
      </c>
      <c r="C1210" s="11" t="s">
        <v>74</v>
      </c>
      <c r="D1210" s="5" t="s">
        <v>243</v>
      </c>
      <c r="E1210" s="5" t="s">
        <v>189</v>
      </c>
      <c r="F1210" s="5" t="s">
        <v>190</v>
      </c>
    </row>
    <row r="1211" spans="1:6" x14ac:dyDescent="0.25">
      <c r="A1211" s="5">
        <v>95435</v>
      </c>
      <c r="B1211" s="10">
        <v>1450</v>
      </c>
      <c r="C1211" s="11" t="s">
        <v>74</v>
      </c>
      <c r="D1211" s="5" t="s">
        <v>243</v>
      </c>
      <c r="E1211" s="5" t="s">
        <v>189</v>
      </c>
      <c r="F1211" s="5" t="s">
        <v>190</v>
      </c>
    </row>
    <row r="1212" spans="1:6" x14ac:dyDescent="0.25">
      <c r="A1212" s="5">
        <v>95436</v>
      </c>
      <c r="B1212" s="10">
        <v>1450</v>
      </c>
      <c r="C1212" s="11" t="s">
        <v>74</v>
      </c>
      <c r="D1212" s="5" t="s">
        <v>243</v>
      </c>
      <c r="E1212" s="5" t="s">
        <v>189</v>
      </c>
      <c r="F1212" s="5" t="s">
        <v>190</v>
      </c>
    </row>
    <row r="1213" spans="1:6" x14ac:dyDescent="0.25">
      <c r="A1213" s="5">
        <v>95437</v>
      </c>
      <c r="B1213" s="10">
        <v>1450</v>
      </c>
      <c r="C1213" s="11" t="s">
        <v>102</v>
      </c>
      <c r="D1213" s="5" t="s">
        <v>103</v>
      </c>
      <c r="E1213" s="5" t="s">
        <v>189</v>
      </c>
      <c r="F1213" s="5" t="s">
        <v>190</v>
      </c>
    </row>
    <row r="1214" spans="1:6" x14ac:dyDescent="0.25">
      <c r="A1214" s="5">
        <v>95440</v>
      </c>
      <c r="B1214" s="10">
        <v>1450</v>
      </c>
      <c r="C1214" s="11" t="s">
        <v>104</v>
      </c>
      <c r="D1214" s="5" t="s">
        <v>254</v>
      </c>
      <c r="E1214" s="5" t="s">
        <v>189</v>
      </c>
      <c r="F1214" s="5" t="s">
        <v>190</v>
      </c>
    </row>
    <row r="1215" spans="1:6" x14ac:dyDescent="0.25">
      <c r="A1215" s="5">
        <v>95442</v>
      </c>
      <c r="B1215" s="10">
        <v>1450</v>
      </c>
      <c r="C1215" s="11" t="s">
        <v>74</v>
      </c>
      <c r="D1215" s="5" t="s">
        <v>243</v>
      </c>
      <c r="E1215" s="5" t="s">
        <v>189</v>
      </c>
      <c r="F1215" s="5" t="s">
        <v>190</v>
      </c>
    </row>
    <row r="1216" spans="1:6" x14ac:dyDescent="0.25">
      <c r="A1216" s="5">
        <v>95443</v>
      </c>
      <c r="B1216" s="10">
        <v>1450</v>
      </c>
      <c r="C1216" s="11" t="s">
        <v>74</v>
      </c>
      <c r="D1216" s="5" t="s">
        <v>243</v>
      </c>
      <c r="E1216" s="5" t="s">
        <v>189</v>
      </c>
      <c r="F1216" s="5" t="s">
        <v>190</v>
      </c>
    </row>
    <row r="1217" spans="1:6" x14ac:dyDescent="0.25">
      <c r="A1217" s="5">
        <v>95444</v>
      </c>
      <c r="B1217" s="10">
        <v>1450</v>
      </c>
      <c r="C1217" s="11" t="s">
        <v>74</v>
      </c>
      <c r="D1217" s="5" t="s">
        <v>243</v>
      </c>
      <c r="E1217" s="5" t="s">
        <v>189</v>
      </c>
      <c r="F1217" s="5" t="s">
        <v>190</v>
      </c>
    </row>
    <row r="1218" spans="1:6" x14ac:dyDescent="0.25">
      <c r="A1218" s="5">
        <v>95446</v>
      </c>
      <c r="B1218" s="10">
        <v>1450</v>
      </c>
      <c r="C1218" s="11" t="s">
        <v>74</v>
      </c>
      <c r="D1218" s="5" t="s">
        <v>243</v>
      </c>
      <c r="E1218" s="5" t="s">
        <v>189</v>
      </c>
      <c r="F1218" s="5" t="s">
        <v>190</v>
      </c>
    </row>
    <row r="1219" spans="1:6" x14ac:dyDescent="0.25">
      <c r="A1219" s="5">
        <v>95447</v>
      </c>
      <c r="B1219" s="10">
        <v>1450</v>
      </c>
      <c r="C1219" s="11" t="s">
        <v>74</v>
      </c>
      <c r="D1219" s="5" t="s">
        <v>243</v>
      </c>
      <c r="E1219" s="5" t="s">
        <v>189</v>
      </c>
      <c r="F1219" s="5" t="s">
        <v>190</v>
      </c>
    </row>
    <row r="1220" spans="1:6" x14ac:dyDescent="0.25">
      <c r="A1220" s="5">
        <v>95452</v>
      </c>
      <c r="B1220" s="10">
        <v>1450</v>
      </c>
      <c r="C1220" s="11" t="s">
        <v>74</v>
      </c>
      <c r="D1220" s="5" t="s">
        <v>243</v>
      </c>
      <c r="E1220" s="5" t="s">
        <v>189</v>
      </c>
      <c r="F1220" s="5" t="s">
        <v>190</v>
      </c>
    </row>
    <row r="1221" spans="1:6" x14ac:dyDescent="0.25">
      <c r="A1221" s="5">
        <v>95454</v>
      </c>
      <c r="B1221" s="10">
        <v>1450</v>
      </c>
      <c r="C1221" s="11" t="s">
        <v>74</v>
      </c>
      <c r="D1221" s="5" t="s">
        <v>243</v>
      </c>
      <c r="E1221" s="5" t="s">
        <v>189</v>
      </c>
      <c r="F1221" s="5" t="s">
        <v>190</v>
      </c>
    </row>
    <row r="1222" spans="1:6" x14ac:dyDescent="0.25">
      <c r="A1222" s="5">
        <v>95507</v>
      </c>
      <c r="B1222" s="10">
        <v>2900</v>
      </c>
      <c r="C1222" s="11" t="s">
        <v>74</v>
      </c>
      <c r="D1222" s="5" t="s">
        <v>243</v>
      </c>
      <c r="E1222" s="5" t="s">
        <v>189</v>
      </c>
      <c r="F1222" s="5" t="s">
        <v>190</v>
      </c>
    </row>
    <row r="1223" spans="1:6" x14ac:dyDescent="0.25">
      <c r="B1223" s="12">
        <f>SUM(B2:B1222)</f>
        <v>3506100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A713-76FC-49A6-A0CB-26F4833CD5B5}">
  <sheetPr>
    <tabColor rgb="FF00B050"/>
  </sheetPr>
  <dimension ref="A1:AB899"/>
  <sheetViews>
    <sheetView topLeftCell="J1" zoomScale="106" zoomScaleNormal="106" workbookViewId="0">
      <pane ySplit="1" topLeftCell="A529" activePane="bottomLeft" state="frozen"/>
      <selection activeCell="H32" sqref="H32"/>
      <selection pane="bottomLeft" activeCell="U530" sqref="U530"/>
    </sheetView>
  </sheetViews>
  <sheetFormatPr baseColWidth="10" defaultColWidth="9.140625" defaultRowHeight="15" x14ac:dyDescent="0.25"/>
  <cols>
    <col min="1" max="1" width="10" style="5" bestFit="1" customWidth="1"/>
    <col min="2" max="2" width="17" style="5" bestFit="1" customWidth="1"/>
    <col min="3" max="3" width="30" style="5" bestFit="1" customWidth="1"/>
    <col min="4" max="4" width="6" style="5" bestFit="1" customWidth="1"/>
    <col min="5" max="5" width="17" style="5" bestFit="1" customWidth="1"/>
    <col min="6" max="6" width="42" style="5" bestFit="1" customWidth="1"/>
    <col min="7" max="7" width="12" style="5" bestFit="1" customWidth="1"/>
    <col min="8" max="9" width="20" style="5" bestFit="1" customWidth="1"/>
    <col min="10" max="10" width="18" style="5" bestFit="1" customWidth="1"/>
    <col min="11" max="11" width="21" style="5" bestFit="1" customWidth="1"/>
    <col min="12" max="12" width="14" style="5" bestFit="1" customWidth="1"/>
    <col min="13" max="13" width="12" style="5" bestFit="1" customWidth="1"/>
    <col min="14" max="14" width="21" style="5" bestFit="1" customWidth="1"/>
    <col min="15" max="15" width="12" style="5" bestFit="1" customWidth="1"/>
    <col min="16" max="16" width="18" style="5" bestFit="1" customWidth="1"/>
    <col min="17" max="18" width="18" style="5" customWidth="1"/>
    <col min="19" max="19" width="12" style="5" bestFit="1" customWidth="1"/>
    <col min="20" max="20" width="13" style="5" bestFit="1" customWidth="1"/>
    <col min="21" max="21" width="12" style="5" customWidth="1"/>
    <col min="22" max="22" width="17" style="5" bestFit="1" customWidth="1"/>
    <col min="23" max="23" width="12" style="5" bestFit="1" customWidth="1"/>
    <col min="24" max="24" width="5" style="5" bestFit="1" customWidth="1"/>
    <col min="25" max="25" width="11.28515625" style="8" bestFit="1" customWidth="1"/>
    <col min="26" max="26" width="12.28515625" style="5" bestFit="1" customWidth="1"/>
    <col min="27" max="16384" width="9.140625" style="5"/>
  </cols>
  <sheetData>
    <row r="1" spans="1:28" ht="60" x14ac:dyDescent="0.25">
      <c r="A1" s="3" t="s">
        <v>10</v>
      </c>
      <c r="B1" s="3" t="s">
        <v>11</v>
      </c>
      <c r="C1" s="3" t="s">
        <v>12</v>
      </c>
      <c r="D1" s="4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25</v>
      </c>
      <c r="Q1" s="21" t="s">
        <v>270</v>
      </c>
      <c r="R1" s="4" t="s">
        <v>271</v>
      </c>
      <c r="S1" s="4" t="s">
        <v>26</v>
      </c>
      <c r="T1" s="4" t="s">
        <v>270</v>
      </c>
      <c r="U1" s="4" t="s">
        <v>272</v>
      </c>
      <c r="V1" s="4" t="s">
        <v>27</v>
      </c>
      <c r="W1" s="4" t="s">
        <v>28</v>
      </c>
      <c r="X1" s="4" t="s">
        <v>29</v>
      </c>
      <c r="Y1" s="20" t="s">
        <v>270</v>
      </c>
      <c r="Z1" s="4" t="s">
        <v>273</v>
      </c>
    </row>
    <row r="2" spans="1:28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6">
        <v>45961</v>
      </c>
      <c r="I2" s="6">
        <v>45961</v>
      </c>
      <c r="J2" s="6">
        <v>45964</v>
      </c>
      <c r="K2" s="5" t="s">
        <v>41</v>
      </c>
      <c r="L2" s="5" t="s">
        <v>42</v>
      </c>
      <c r="M2" s="5" t="s">
        <v>43</v>
      </c>
      <c r="N2" s="5" t="s">
        <v>44</v>
      </c>
      <c r="O2" s="7">
        <v>472.03</v>
      </c>
      <c r="P2" s="5" t="s">
        <v>45</v>
      </c>
      <c r="Q2" s="22"/>
      <c r="R2" s="8">
        <f t="shared" ref="R2:R65" si="0">+O2+Q2</f>
        <v>472.03</v>
      </c>
      <c r="S2" s="7">
        <v>472.03</v>
      </c>
      <c r="T2" s="7"/>
      <c r="U2" s="7">
        <f>+S2+T2</f>
        <v>472.03</v>
      </c>
      <c r="V2" s="5" t="s">
        <v>45</v>
      </c>
      <c r="W2" s="7">
        <v>138.91</v>
      </c>
      <c r="X2" s="5" t="s">
        <v>46</v>
      </c>
      <c r="Z2" s="8">
        <f t="shared" ref="Z2:Z65" si="1">+W2+Y2</f>
        <v>138.91</v>
      </c>
      <c r="AB2" s="8"/>
    </row>
    <row r="3" spans="1:28" x14ac:dyDescent="0.25">
      <c r="A3" s="5" t="s">
        <v>34</v>
      </c>
      <c r="B3" s="5" t="s">
        <v>35</v>
      </c>
      <c r="C3" s="5" t="s">
        <v>36</v>
      </c>
      <c r="D3" s="5" t="s">
        <v>37</v>
      </c>
      <c r="E3" s="5" t="s">
        <v>48</v>
      </c>
      <c r="F3" s="5" t="s">
        <v>49</v>
      </c>
      <c r="G3" s="5" t="s">
        <v>40</v>
      </c>
      <c r="H3" s="6">
        <v>45961</v>
      </c>
      <c r="I3" s="6">
        <v>45961</v>
      </c>
      <c r="J3" s="6">
        <v>45964</v>
      </c>
      <c r="K3" s="5" t="s">
        <v>41</v>
      </c>
      <c r="L3" s="5" t="s">
        <v>42</v>
      </c>
      <c r="M3" s="5" t="s">
        <v>43</v>
      </c>
      <c r="N3" s="5" t="s">
        <v>44</v>
      </c>
      <c r="O3" s="7">
        <v>4285.25</v>
      </c>
      <c r="P3" s="5" t="s">
        <v>45</v>
      </c>
      <c r="Q3" s="22"/>
      <c r="R3" s="8">
        <f t="shared" si="0"/>
        <v>4285.25</v>
      </c>
      <c r="S3" s="7">
        <v>4285.25</v>
      </c>
      <c r="T3" s="7"/>
      <c r="U3" s="7">
        <f t="shared" ref="U3:U66" si="2">+S3+T3</f>
        <v>4285.25</v>
      </c>
      <c r="V3" s="5" t="s">
        <v>45</v>
      </c>
      <c r="W3" s="7">
        <v>1261.1099999999999</v>
      </c>
      <c r="X3" s="5" t="s">
        <v>46</v>
      </c>
      <c r="Z3" s="8">
        <f t="shared" si="1"/>
        <v>1261.1099999999999</v>
      </c>
    </row>
    <row r="4" spans="1:28" x14ac:dyDescent="0.25">
      <c r="A4" s="5" t="s">
        <v>34</v>
      </c>
      <c r="B4" s="5" t="s">
        <v>35</v>
      </c>
      <c r="C4" s="5" t="s">
        <v>36</v>
      </c>
      <c r="D4" s="5" t="s">
        <v>37</v>
      </c>
      <c r="E4" s="5" t="s">
        <v>50</v>
      </c>
      <c r="F4" s="5" t="s">
        <v>51</v>
      </c>
      <c r="G4" s="5" t="s">
        <v>40</v>
      </c>
      <c r="H4" s="6">
        <v>45961</v>
      </c>
      <c r="I4" s="6">
        <v>45961</v>
      </c>
      <c r="J4" s="6">
        <v>45964</v>
      </c>
      <c r="K4" s="5" t="s">
        <v>41</v>
      </c>
      <c r="L4" s="5" t="s">
        <v>42</v>
      </c>
      <c r="M4" s="5" t="s">
        <v>43</v>
      </c>
      <c r="N4" s="5" t="s">
        <v>44</v>
      </c>
      <c r="O4" s="7">
        <v>3720.03</v>
      </c>
      <c r="P4" s="5" t="s">
        <v>45</v>
      </c>
      <c r="Q4" s="22"/>
      <c r="R4" s="8">
        <f t="shared" si="0"/>
        <v>3720.03</v>
      </c>
      <c r="S4" s="7">
        <v>3720.03</v>
      </c>
      <c r="T4" s="7"/>
      <c r="U4" s="7">
        <f t="shared" si="2"/>
        <v>3720.03</v>
      </c>
      <c r="V4" s="5" t="s">
        <v>45</v>
      </c>
      <c r="W4" s="7">
        <v>1094.77</v>
      </c>
      <c r="X4" s="5" t="s">
        <v>46</v>
      </c>
      <c r="Z4" s="8">
        <f t="shared" si="1"/>
        <v>1094.77</v>
      </c>
    </row>
    <row r="5" spans="1:28" x14ac:dyDescent="0.25">
      <c r="A5" s="5" t="s">
        <v>34</v>
      </c>
      <c r="B5" s="5" t="s">
        <v>35</v>
      </c>
      <c r="C5" s="5" t="s">
        <v>36</v>
      </c>
      <c r="D5" s="5" t="s">
        <v>37</v>
      </c>
      <c r="E5" s="5" t="s">
        <v>52</v>
      </c>
      <c r="F5" s="5" t="s">
        <v>53</v>
      </c>
      <c r="G5" s="5" t="s">
        <v>40</v>
      </c>
      <c r="H5" s="6">
        <v>45961</v>
      </c>
      <c r="I5" s="6">
        <v>45961</v>
      </c>
      <c r="J5" s="6">
        <v>45964</v>
      </c>
      <c r="K5" s="5" t="s">
        <v>41</v>
      </c>
      <c r="L5" s="5" t="s">
        <v>42</v>
      </c>
      <c r="M5" s="5" t="s">
        <v>43</v>
      </c>
      <c r="N5" s="5" t="s">
        <v>44</v>
      </c>
      <c r="O5" s="7">
        <v>1640</v>
      </c>
      <c r="P5" s="5" t="s">
        <v>45</v>
      </c>
      <c r="Q5" s="22"/>
      <c r="R5" s="8">
        <f t="shared" si="0"/>
        <v>1640</v>
      </c>
      <c r="S5" s="7">
        <v>1640</v>
      </c>
      <c r="T5" s="7"/>
      <c r="U5" s="7">
        <f t="shared" si="2"/>
        <v>1640</v>
      </c>
      <c r="V5" s="5" t="s">
        <v>45</v>
      </c>
      <c r="W5" s="7">
        <v>482.64</v>
      </c>
      <c r="X5" s="5" t="s">
        <v>46</v>
      </c>
      <c r="Z5" s="8">
        <f t="shared" si="1"/>
        <v>482.64</v>
      </c>
    </row>
    <row r="6" spans="1:28" x14ac:dyDescent="0.25">
      <c r="A6" s="5" t="s">
        <v>34</v>
      </c>
      <c r="B6" s="5" t="s">
        <v>35</v>
      </c>
      <c r="C6" s="5" t="s">
        <v>36</v>
      </c>
      <c r="D6" s="5" t="s">
        <v>37</v>
      </c>
      <c r="E6" s="5" t="s">
        <v>54</v>
      </c>
      <c r="F6" s="5" t="s">
        <v>55</v>
      </c>
      <c r="G6" s="5" t="s">
        <v>40</v>
      </c>
      <c r="H6" s="6">
        <v>45961</v>
      </c>
      <c r="I6" s="6">
        <v>45961</v>
      </c>
      <c r="J6" s="6">
        <v>45964</v>
      </c>
      <c r="K6" s="5" t="s">
        <v>41</v>
      </c>
      <c r="L6" s="5" t="s">
        <v>42</v>
      </c>
      <c r="M6" s="5" t="s">
        <v>43</v>
      </c>
      <c r="N6" s="5" t="s">
        <v>44</v>
      </c>
      <c r="O6" s="7">
        <v>728.66</v>
      </c>
      <c r="P6" s="5" t="s">
        <v>45</v>
      </c>
      <c r="Q6" s="22"/>
      <c r="R6" s="8">
        <f t="shared" si="0"/>
        <v>728.66</v>
      </c>
      <c r="S6" s="7">
        <v>728.66</v>
      </c>
      <c r="T6" s="7"/>
      <c r="U6" s="7">
        <f t="shared" si="2"/>
        <v>728.66</v>
      </c>
      <c r="V6" s="5" t="s">
        <v>45</v>
      </c>
      <c r="W6" s="7">
        <v>214.44</v>
      </c>
      <c r="X6" s="5" t="s">
        <v>46</v>
      </c>
      <c r="Z6" s="8">
        <f t="shared" si="1"/>
        <v>214.44</v>
      </c>
    </row>
    <row r="7" spans="1:28" x14ac:dyDescent="0.25">
      <c r="A7" s="5" t="s">
        <v>34</v>
      </c>
      <c r="B7" s="5" t="s">
        <v>35</v>
      </c>
      <c r="C7" s="5" t="s">
        <v>36</v>
      </c>
      <c r="D7" s="5" t="s">
        <v>37</v>
      </c>
      <c r="E7" s="5" t="s">
        <v>56</v>
      </c>
      <c r="F7" s="5" t="s">
        <v>57</v>
      </c>
      <c r="G7" s="5" t="s">
        <v>40</v>
      </c>
      <c r="H7" s="6">
        <v>45961</v>
      </c>
      <c r="I7" s="6">
        <v>45961</v>
      </c>
      <c r="J7" s="6">
        <v>45964</v>
      </c>
      <c r="K7" s="5" t="s">
        <v>41</v>
      </c>
      <c r="L7" s="5" t="s">
        <v>42</v>
      </c>
      <c r="M7" s="5" t="s">
        <v>43</v>
      </c>
      <c r="N7" s="5" t="s">
        <v>44</v>
      </c>
      <c r="O7" s="7">
        <v>18824.03</v>
      </c>
      <c r="P7" s="5" t="s">
        <v>45</v>
      </c>
      <c r="Q7" s="22"/>
      <c r="R7" s="8">
        <f t="shared" si="0"/>
        <v>18824.03</v>
      </c>
      <c r="S7" s="7">
        <v>18824.03</v>
      </c>
      <c r="T7" s="7"/>
      <c r="U7" s="7">
        <f t="shared" si="2"/>
        <v>18824.03</v>
      </c>
      <c r="V7" s="5" t="s">
        <v>45</v>
      </c>
      <c r="W7" s="7">
        <v>5539.74</v>
      </c>
      <c r="X7" s="5" t="s">
        <v>46</v>
      </c>
      <c r="Z7" s="8">
        <f t="shared" si="1"/>
        <v>5539.74</v>
      </c>
    </row>
    <row r="8" spans="1:28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58</v>
      </c>
      <c r="F8" s="5" t="s">
        <v>59</v>
      </c>
      <c r="G8" s="5" t="s">
        <v>40</v>
      </c>
      <c r="H8" s="6">
        <v>45961</v>
      </c>
      <c r="I8" s="6">
        <v>45961</v>
      </c>
      <c r="J8" s="6">
        <v>45964</v>
      </c>
      <c r="K8" s="5" t="s">
        <v>41</v>
      </c>
      <c r="L8" s="5" t="s">
        <v>42</v>
      </c>
      <c r="M8" s="5" t="s">
        <v>43</v>
      </c>
      <c r="N8" s="5" t="s">
        <v>44</v>
      </c>
      <c r="O8" s="7">
        <v>26304.36</v>
      </c>
      <c r="P8" s="5" t="s">
        <v>45</v>
      </c>
      <c r="Q8" s="22"/>
      <c r="R8" s="8">
        <f t="shared" si="0"/>
        <v>26304.36</v>
      </c>
      <c r="S8" s="7">
        <v>26304.36</v>
      </c>
      <c r="T8" s="7"/>
      <c r="U8" s="7">
        <f t="shared" si="2"/>
        <v>26304.36</v>
      </c>
      <c r="V8" s="5" t="s">
        <v>45</v>
      </c>
      <c r="W8" s="7">
        <v>7741.13</v>
      </c>
      <c r="X8" s="5" t="s">
        <v>46</v>
      </c>
      <c r="Z8" s="8">
        <f t="shared" si="1"/>
        <v>7741.13</v>
      </c>
    </row>
    <row r="9" spans="1:28" x14ac:dyDescent="0.25">
      <c r="A9" s="5" t="s">
        <v>34</v>
      </c>
      <c r="B9" s="5" t="s">
        <v>35</v>
      </c>
      <c r="C9" s="5" t="s">
        <v>36</v>
      </c>
      <c r="D9" s="5" t="s">
        <v>37</v>
      </c>
      <c r="E9" s="5" t="s">
        <v>60</v>
      </c>
      <c r="F9" s="5" t="s">
        <v>61</v>
      </c>
      <c r="G9" s="5" t="s">
        <v>40</v>
      </c>
      <c r="H9" s="6">
        <v>45961</v>
      </c>
      <c r="I9" s="6">
        <v>45961</v>
      </c>
      <c r="J9" s="6">
        <v>45964</v>
      </c>
      <c r="K9" s="5" t="s">
        <v>41</v>
      </c>
      <c r="L9" s="5" t="s">
        <v>42</v>
      </c>
      <c r="M9" s="5" t="s">
        <v>43</v>
      </c>
      <c r="N9" s="5" t="s">
        <v>44</v>
      </c>
      <c r="O9" s="7">
        <v>29462.720000000001</v>
      </c>
      <c r="P9" s="5" t="s">
        <v>45</v>
      </c>
      <c r="Q9" s="22"/>
      <c r="R9" s="8">
        <f t="shared" si="0"/>
        <v>29462.720000000001</v>
      </c>
      <c r="S9" s="7">
        <v>29462.720000000001</v>
      </c>
      <c r="T9" s="7"/>
      <c r="U9" s="7">
        <f t="shared" si="2"/>
        <v>29462.720000000001</v>
      </c>
      <c r="V9" s="5" t="s">
        <v>45</v>
      </c>
      <c r="W9" s="7">
        <v>8670.61</v>
      </c>
      <c r="X9" s="5" t="s">
        <v>46</v>
      </c>
      <c r="Z9" s="8">
        <f t="shared" si="1"/>
        <v>8670.61</v>
      </c>
    </row>
    <row r="10" spans="1:28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62</v>
      </c>
      <c r="F10" s="5" t="s">
        <v>63</v>
      </c>
      <c r="G10" s="5" t="s">
        <v>40</v>
      </c>
      <c r="H10" s="6">
        <v>45961</v>
      </c>
      <c r="I10" s="6">
        <v>45961</v>
      </c>
      <c r="J10" s="6">
        <v>45964</v>
      </c>
      <c r="K10" s="5" t="s">
        <v>41</v>
      </c>
      <c r="L10" s="5" t="s">
        <v>42</v>
      </c>
      <c r="M10" s="5" t="s">
        <v>43</v>
      </c>
      <c r="N10" s="5" t="s">
        <v>44</v>
      </c>
      <c r="O10" s="7">
        <v>1792.75</v>
      </c>
      <c r="P10" s="5" t="s">
        <v>45</v>
      </c>
      <c r="Q10" s="22"/>
      <c r="R10" s="8">
        <f t="shared" si="0"/>
        <v>1792.75</v>
      </c>
      <c r="S10" s="7">
        <v>1792.75</v>
      </c>
      <c r="T10" s="7"/>
      <c r="U10" s="7">
        <f t="shared" si="2"/>
        <v>1792.75</v>
      </c>
      <c r="V10" s="5" t="s">
        <v>45</v>
      </c>
      <c r="W10" s="7">
        <v>527.59</v>
      </c>
      <c r="X10" s="5" t="s">
        <v>46</v>
      </c>
      <c r="Z10" s="8">
        <f t="shared" si="1"/>
        <v>527.59</v>
      </c>
    </row>
    <row r="11" spans="1:28" x14ac:dyDescent="0.25">
      <c r="A11" s="5" t="s">
        <v>34</v>
      </c>
      <c r="B11" s="5" t="s">
        <v>35</v>
      </c>
      <c r="C11" s="5" t="s">
        <v>36</v>
      </c>
      <c r="D11" s="5" t="s">
        <v>37</v>
      </c>
      <c r="E11" s="5" t="s">
        <v>64</v>
      </c>
      <c r="F11" s="5" t="s">
        <v>65</v>
      </c>
      <c r="G11" s="5" t="s">
        <v>40</v>
      </c>
      <c r="H11" s="6">
        <v>45961</v>
      </c>
      <c r="I11" s="6">
        <v>45961</v>
      </c>
      <c r="J11" s="6">
        <v>45964</v>
      </c>
      <c r="K11" s="5" t="s">
        <v>41</v>
      </c>
      <c r="L11" s="5" t="s">
        <v>42</v>
      </c>
      <c r="M11" s="5" t="s">
        <v>43</v>
      </c>
      <c r="N11" s="5" t="s">
        <v>44</v>
      </c>
      <c r="O11" s="7">
        <v>1887.93</v>
      </c>
      <c r="P11" s="5" t="s">
        <v>45</v>
      </c>
      <c r="Q11" s="22"/>
      <c r="R11" s="8">
        <f t="shared" si="0"/>
        <v>1887.93</v>
      </c>
      <c r="S11" s="7">
        <v>1887.93</v>
      </c>
      <c r="T11" s="7"/>
      <c r="U11" s="7">
        <f t="shared" si="2"/>
        <v>1887.93</v>
      </c>
      <c r="V11" s="5" t="s">
        <v>45</v>
      </c>
      <c r="W11" s="7">
        <v>555.6</v>
      </c>
      <c r="X11" s="5" t="s">
        <v>46</v>
      </c>
      <c r="Z11" s="8">
        <f t="shared" si="1"/>
        <v>555.6</v>
      </c>
    </row>
    <row r="12" spans="1:28" x14ac:dyDescent="0.25">
      <c r="A12" s="5" t="s">
        <v>34</v>
      </c>
      <c r="B12" s="5" t="s">
        <v>35</v>
      </c>
      <c r="C12" s="5" t="s">
        <v>36</v>
      </c>
      <c r="D12" s="5" t="s">
        <v>37</v>
      </c>
      <c r="E12" s="5" t="s">
        <v>66</v>
      </c>
      <c r="F12" s="5" t="s">
        <v>67</v>
      </c>
      <c r="G12" s="5" t="s">
        <v>40</v>
      </c>
      <c r="H12" s="6">
        <v>45961</v>
      </c>
      <c r="I12" s="6">
        <v>45961</v>
      </c>
      <c r="J12" s="6">
        <v>45964</v>
      </c>
      <c r="K12" s="5" t="s">
        <v>41</v>
      </c>
      <c r="L12" s="5" t="s">
        <v>42</v>
      </c>
      <c r="M12" s="5" t="s">
        <v>43</v>
      </c>
      <c r="N12" s="5" t="s">
        <v>44</v>
      </c>
      <c r="O12" s="7">
        <v>16251</v>
      </c>
      <c r="P12" s="5" t="s">
        <v>45</v>
      </c>
      <c r="Q12" s="22"/>
      <c r="R12" s="8">
        <f t="shared" si="0"/>
        <v>16251</v>
      </c>
      <c r="S12" s="7">
        <v>16251</v>
      </c>
      <c r="T12" s="7"/>
      <c r="U12" s="7">
        <f t="shared" si="2"/>
        <v>16251</v>
      </c>
      <c r="V12" s="5" t="s">
        <v>45</v>
      </c>
      <c r="W12" s="7">
        <v>4782.5200000000004</v>
      </c>
      <c r="X12" s="5" t="s">
        <v>46</v>
      </c>
      <c r="Z12" s="8">
        <f t="shared" si="1"/>
        <v>4782.5200000000004</v>
      </c>
    </row>
    <row r="13" spans="1:28" x14ac:dyDescent="0.25">
      <c r="A13" s="5" t="s">
        <v>34</v>
      </c>
      <c r="B13" s="5" t="s">
        <v>35</v>
      </c>
      <c r="C13" s="5" t="s">
        <v>36</v>
      </c>
      <c r="D13" s="5" t="s">
        <v>37</v>
      </c>
      <c r="E13" s="5" t="s">
        <v>68</v>
      </c>
      <c r="F13" s="5" t="s">
        <v>69</v>
      </c>
      <c r="G13" s="5" t="s">
        <v>40</v>
      </c>
      <c r="H13" s="6">
        <v>45961</v>
      </c>
      <c r="I13" s="6">
        <v>45961</v>
      </c>
      <c r="J13" s="6">
        <v>45964</v>
      </c>
      <c r="K13" s="5" t="s">
        <v>41</v>
      </c>
      <c r="L13" s="5" t="s">
        <v>42</v>
      </c>
      <c r="M13" s="5" t="s">
        <v>43</v>
      </c>
      <c r="N13" s="5" t="s">
        <v>44</v>
      </c>
      <c r="O13" s="7">
        <v>898.49</v>
      </c>
      <c r="P13" s="5" t="s">
        <v>45</v>
      </c>
      <c r="Q13" s="22"/>
      <c r="R13" s="8">
        <f t="shared" si="0"/>
        <v>898.49</v>
      </c>
      <c r="S13" s="7">
        <v>898.49</v>
      </c>
      <c r="T13" s="7"/>
      <c r="U13" s="7">
        <f t="shared" si="2"/>
        <v>898.49</v>
      </c>
      <c r="V13" s="5" t="s">
        <v>45</v>
      </c>
      <c r="W13" s="7">
        <v>264.42</v>
      </c>
      <c r="X13" s="5" t="s">
        <v>46</v>
      </c>
      <c r="Z13" s="8">
        <f t="shared" si="1"/>
        <v>264.42</v>
      </c>
    </row>
    <row r="14" spans="1:28" x14ac:dyDescent="0.25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70</v>
      </c>
      <c r="F14" s="5" t="s">
        <v>71</v>
      </c>
      <c r="G14" s="5" t="s">
        <v>40</v>
      </c>
      <c r="H14" s="6">
        <v>45961</v>
      </c>
      <c r="I14" s="6">
        <v>45961</v>
      </c>
      <c r="J14" s="6">
        <v>45964</v>
      </c>
      <c r="K14" s="5" t="s">
        <v>41</v>
      </c>
      <c r="L14" s="5" t="s">
        <v>42</v>
      </c>
      <c r="M14" s="5" t="s">
        <v>43</v>
      </c>
      <c r="N14" s="5" t="s">
        <v>44</v>
      </c>
      <c r="O14" s="7">
        <v>5724.6</v>
      </c>
      <c r="P14" s="5" t="s">
        <v>45</v>
      </c>
      <c r="Q14" s="22"/>
      <c r="R14" s="8">
        <f t="shared" si="0"/>
        <v>5724.6</v>
      </c>
      <c r="S14" s="7">
        <v>5724.6</v>
      </c>
      <c r="T14" s="7"/>
      <c r="U14" s="7">
        <f t="shared" si="2"/>
        <v>5724.6</v>
      </c>
      <c r="V14" s="5" t="s">
        <v>45</v>
      </c>
      <c r="W14" s="7">
        <v>1684.7</v>
      </c>
      <c r="X14" s="5" t="s">
        <v>46</v>
      </c>
      <c r="Z14" s="8">
        <f t="shared" si="1"/>
        <v>1684.7</v>
      </c>
    </row>
    <row r="15" spans="1:28" x14ac:dyDescent="0.25">
      <c r="A15" s="5" t="s">
        <v>34</v>
      </c>
      <c r="B15" s="5" t="s">
        <v>35</v>
      </c>
      <c r="C15" s="5" t="s">
        <v>36</v>
      </c>
      <c r="D15" s="5" t="s">
        <v>37</v>
      </c>
      <c r="E15" s="5" t="s">
        <v>72</v>
      </c>
      <c r="F15" s="5" t="s">
        <v>73</v>
      </c>
      <c r="G15" s="5" t="s">
        <v>40</v>
      </c>
      <c r="H15" s="6">
        <v>45961</v>
      </c>
      <c r="I15" s="6">
        <v>45961</v>
      </c>
      <c r="J15" s="6">
        <v>45964</v>
      </c>
      <c r="K15" s="5" t="s">
        <v>41</v>
      </c>
      <c r="L15" s="5" t="s">
        <v>42</v>
      </c>
      <c r="M15" s="5" t="s">
        <v>43</v>
      </c>
      <c r="N15" s="5" t="s">
        <v>44</v>
      </c>
      <c r="O15" s="7">
        <v>1956</v>
      </c>
      <c r="P15" s="5" t="s">
        <v>45</v>
      </c>
      <c r="Q15" s="22"/>
      <c r="R15" s="8">
        <f t="shared" si="0"/>
        <v>1956</v>
      </c>
      <c r="S15" s="7">
        <v>1956</v>
      </c>
      <c r="T15" s="7"/>
      <c r="U15" s="7">
        <f t="shared" si="2"/>
        <v>1956</v>
      </c>
      <c r="V15" s="5" t="s">
        <v>45</v>
      </c>
      <c r="W15" s="7">
        <v>575.63</v>
      </c>
      <c r="X15" s="5" t="s">
        <v>46</v>
      </c>
      <c r="Z15" s="8">
        <f t="shared" si="1"/>
        <v>575.63</v>
      </c>
    </row>
    <row r="16" spans="1:28" x14ac:dyDescent="0.25">
      <c r="A16" s="5" t="s">
        <v>34</v>
      </c>
      <c r="B16" s="5" t="s">
        <v>35</v>
      </c>
      <c r="C16" s="5" t="s">
        <v>36</v>
      </c>
      <c r="D16" s="5" t="s">
        <v>37</v>
      </c>
      <c r="E16" s="5" t="s">
        <v>74</v>
      </c>
      <c r="F16" s="5" t="s">
        <v>75</v>
      </c>
      <c r="G16" s="5" t="s">
        <v>40</v>
      </c>
      <c r="H16" s="6">
        <v>45961</v>
      </c>
      <c r="I16" s="6">
        <v>45961</v>
      </c>
      <c r="J16" s="6">
        <v>45964</v>
      </c>
      <c r="K16" s="5" t="s">
        <v>41</v>
      </c>
      <c r="L16" s="5" t="s">
        <v>42</v>
      </c>
      <c r="M16" s="5" t="s">
        <v>43</v>
      </c>
      <c r="N16" s="5" t="s">
        <v>44</v>
      </c>
      <c r="O16" s="7">
        <v>12623.62</v>
      </c>
      <c r="P16" s="5" t="s">
        <v>45</v>
      </c>
      <c r="Q16" s="22"/>
      <c r="R16" s="8">
        <f t="shared" si="0"/>
        <v>12623.62</v>
      </c>
      <c r="S16" s="7">
        <v>12623.62</v>
      </c>
      <c r="T16" s="7"/>
      <c r="U16" s="7">
        <f t="shared" si="2"/>
        <v>12623.62</v>
      </c>
      <c r="V16" s="5" t="s">
        <v>45</v>
      </c>
      <c r="W16" s="7">
        <v>3715.01</v>
      </c>
      <c r="X16" s="5" t="s">
        <v>46</v>
      </c>
      <c r="Z16" s="8">
        <f t="shared" si="1"/>
        <v>3715.01</v>
      </c>
    </row>
    <row r="17" spans="1:26" x14ac:dyDescent="0.25">
      <c r="A17" s="5" t="s">
        <v>34</v>
      </c>
      <c r="B17" s="5" t="s">
        <v>35</v>
      </c>
      <c r="C17" s="5" t="s">
        <v>36</v>
      </c>
      <c r="D17" s="5" t="s">
        <v>37</v>
      </c>
      <c r="E17" s="5" t="s">
        <v>76</v>
      </c>
      <c r="F17" s="5" t="s">
        <v>77</v>
      </c>
      <c r="G17" s="5" t="s">
        <v>40</v>
      </c>
      <c r="H17" s="6">
        <v>45961</v>
      </c>
      <c r="I17" s="6">
        <v>45961</v>
      </c>
      <c r="J17" s="6">
        <v>45964</v>
      </c>
      <c r="K17" s="5" t="s">
        <v>41</v>
      </c>
      <c r="L17" s="5" t="s">
        <v>42</v>
      </c>
      <c r="M17" s="5" t="s">
        <v>43</v>
      </c>
      <c r="N17" s="5" t="s">
        <v>44</v>
      </c>
      <c r="O17" s="7">
        <v>2019</v>
      </c>
      <c r="P17" s="5" t="s">
        <v>45</v>
      </c>
      <c r="Q17" s="22"/>
      <c r="R17" s="8">
        <f t="shared" si="0"/>
        <v>2019</v>
      </c>
      <c r="S17" s="7">
        <v>2019</v>
      </c>
      <c r="T17" s="7"/>
      <c r="U17" s="7">
        <f t="shared" si="2"/>
        <v>2019</v>
      </c>
      <c r="V17" s="5" t="s">
        <v>45</v>
      </c>
      <c r="W17" s="7">
        <v>594.16999999999996</v>
      </c>
      <c r="X17" s="5" t="s">
        <v>46</v>
      </c>
      <c r="Z17" s="8">
        <f t="shared" si="1"/>
        <v>594.16999999999996</v>
      </c>
    </row>
    <row r="18" spans="1:26" x14ac:dyDescent="0.25">
      <c r="A18" s="5" t="s">
        <v>34</v>
      </c>
      <c r="B18" s="5" t="s">
        <v>35</v>
      </c>
      <c r="C18" s="5" t="s">
        <v>36</v>
      </c>
      <c r="D18" s="5" t="s">
        <v>37</v>
      </c>
      <c r="E18" s="5" t="s">
        <v>78</v>
      </c>
      <c r="F18" s="5" t="s">
        <v>79</v>
      </c>
      <c r="G18" s="5" t="s">
        <v>40</v>
      </c>
      <c r="H18" s="6">
        <v>45961</v>
      </c>
      <c r="I18" s="6">
        <v>45961</v>
      </c>
      <c r="J18" s="6">
        <v>45964</v>
      </c>
      <c r="K18" s="5" t="s">
        <v>41</v>
      </c>
      <c r="L18" s="5" t="s">
        <v>42</v>
      </c>
      <c r="M18" s="5" t="s">
        <v>43</v>
      </c>
      <c r="N18" s="5" t="s">
        <v>44</v>
      </c>
      <c r="O18" s="7">
        <v>2019.19</v>
      </c>
      <c r="P18" s="5" t="s">
        <v>45</v>
      </c>
      <c r="Q18" s="22"/>
      <c r="R18" s="8">
        <f t="shared" si="0"/>
        <v>2019.19</v>
      </c>
      <c r="S18" s="7">
        <v>2019.19</v>
      </c>
      <c r="T18" s="7"/>
      <c r="U18" s="7">
        <f t="shared" si="2"/>
        <v>2019.19</v>
      </c>
      <c r="V18" s="5" t="s">
        <v>45</v>
      </c>
      <c r="W18" s="7">
        <v>594.23</v>
      </c>
      <c r="X18" s="5" t="s">
        <v>46</v>
      </c>
      <c r="Z18" s="8">
        <f t="shared" si="1"/>
        <v>594.23</v>
      </c>
    </row>
    <row r="19" spans="1:26" x14ac:dyDescent="0.25">
      <c r="A19" s="5" t="s">
        <v>34</v>
      </c>
      <c r="B19" s="5" t="s">
        <v>35</v>
      </c>
      <c r="C19" s="5" t="s">
        <v>36</v>
      </c>
      <c r="D19" s="5" t="s">
        <v>37</v>
      </c>
      <c r="E19" s="5" t="s">
        <v>80</v>
      </c>
      <c r="F19" s="5" t="s">
        <v>81</v>
      </c>
      <c r="G19" s="5" t="s">
        <v>40</v>
      </c>
      <c r="H19" s="6">
        <v>45961</v>
      </c>
      <c r="I19" s="6">
        <v>45961</v>
      </c>
      <c r="J19" s="6">
        <v>45964</v>
      </c>
      <c r="K19" s="5" t="s">
        <v>41</v>
      </c>
      <c r="L19" s="5" t="s">
        <v>42</v>
      </c>
      <c r="M19" s="5" t="s">
        <v>43</v>
      </c>
      <c r="N19" s="5" t="s">
        <v>44</v>
      </c>
      <c r="O19" s="7">
        <v>4523.88</v>
      </c>
      <c r="P19" s="5" t="s">
        <v>45</v>
      </c>
      <c r="Q19" s="22"/>
      <c r="R19" s="8">
        <f t="shared" si="0"/>
        <v>4523.88</v>
      </c>
      <c r="S19" s="7">
        <v>4523.88</v>
      </c>
      <c r="T19" s="7"/>
      <c r="U19" s="7">
        <f t="shared" si="2"/>
        <v>4523.88</v>
      </c>
      <c r="V19" s="5" t="s">
        <v>45</v>
      </c>
      <c r="W19" s="7">
        <v>1331.34</v>
      </c>
      <c r="X19" s="5" t="s">
        <v>46</v>
      </c>
      <c r="Z19" s="8">
        <f t="shared" si="1"/>
        <v>1331.34</v>
      </c>
    </row>
    <row r="20" spans="1:26" x14ac:dyDescent="0.25">
      <c r="A20" s="5" t="s">
        <v>34</v>
      </c>
      <c r="B20" s="5" t="s">
        <v>35</v>
      </c>
      <c r="C20" s="5" t="s">
        <v>36</v>
      </c>
      <c r="D20" s="5" t="s">
        <v>37</v>
      </c>
      <c r="E20" s="5" t="s">
        <v>82</v>
      </c>
      <c r="F20" s="5" t="s">
        <v>83</v>
      </c>
      <c r="G20" s="5" t="s">
        <v>40</v>
      </c>
      <c r="H20" s="6">
        <v>45961</v>
      </c>
      <c r="I20" s="6">
        <v>45961</v>
      </c>
      <c r="J20" s="6">
        <v>45964</v>
      </c>
      <c r="K20" s="5" t="s">
        <v>41</v>
      </c>
      <c r="L20" s="5" t="s">
        <v>42</v>
      </c>
      <c r="M20" s="5" t="s">
        <v>43</v>
      </c>
      <c r="N20" s="5" t="s">
        <v>44</v>
      </c>
      <c r="O20" s="7">
        <v>5600</v>
      </c>
      <c r="P20" s="5" t="s">
        <v>45</v>
      </c>
      <c r="Q20" s="22"/>
      <c r="R20" s="8">
        <f t="shared" si="0"/>
        <v>5600</v>
      </c>
      <c r="S20" s="7">
        <v>5600</v>
      </c>
      <c r="T20" s="7"/>
      <c r="U20" s="7">
        <f t="shared" si="2"/>
        <v>5600</v>
      </c>
      <c r="V20" s="5" t="s">
        <v>45</v>
      </c>
      <c r="W20" s="7">
        <v>1648.03</v>
      </c>
      <c r="X20" s="5" t="s">
        <v>46</v>
      </c>
      <c r="Z20" s="8">
        <f t="shared" si="1"/>
        <v>1648.03</v>
      </c>
    </row>
    <row r="21" spans="1:26" x14ac:dyDescent="0.25">
      <c r="A21" s="5" t="s">
        <v>34</v>
      </c>
      <c r="B21" s="5" t="s">
        <v>35</v>
      </c>
      <c r="C21" s="5" t="s">
        <v>36</v>
      </c>
      <c r="D21" s="5" t="s">
        <v>37</v>
      </c>
      <c r="E21" s="5" t="s">
        <v>84</v>
      </c>
      <c r="F21" s="5" t="s">
        <v>85</v>
      </c>
      <c r="G21" s="5" t="s">
        <v>40</v>
      </c>
      <c r="H21" s="6">
        <v>45961</v>
      </c>
      <c r="I21" s="6">
        <v>45961</v>
      </c>
      <c r="J21" s="6">
        <v>45964</v>
      </c>
      <c r="K21" s="5" t="s">
        <v>41</v>
      </c>
      <c r="L21" s="5" t="s">
        <v>42</v>
      </c>
      <c r="M21" s="5" t="s">
        <v>43</v>
      </c>
      <c r="N21" s="5" t="s">
        <v>44</v>
      </c>
      <c r="O21" s="7">
        <v>11780.02</v>
      </c>
      <c r="P21" s="5" t="s">
        <v>45</v>
      </c>
      <c r="Q21" s="22"/>
      <c r="R21" s="8">
        <f t="shared" si="0"/>
        <v>11780.02</v>
      </c>
      <c r="S21" s="7">
        <v>11780.02</v>
      </c>
      <c r="T21" s="7"/>
      <c r="U21" s="7">
        <f t="shared" si="2"/>
        <v>11780.02</v>
      </c>
      <c r="V21" s="5" t="s">
        <v>45</v>
      </c>
      <c r="W21" s="7">
        <v>3466.75</v>
      </c>
      <c r="X21" s="5" t="s">
        <v>46</v>
      </c>
      <c r="Z21" s="8">
        <f t="shared" si="1"/>
        <v>3466.75</v>
      </c>
    </row>
    <row r="22" spans="1:26" x14ac:dyDescent="0.25">
      <c r="A22" s="5" t="s">
        <v>34</v>
      </c>
      <c r="B22" s="5" t="s">
        <v>35</v>
      </c>
      <c r="C22" s="5" t="s">
        <v>36</v>
      </c>
      <c r="D22" s="5" t="s">
        <v>37</v>
      </c>
      <c r="E22" s="5" t="s">
        <v>86</v>
      </c>
      <c r="F22" s="5" t="s">
        <v>87</v>
      </c>
      <c r="G22" s="5" t="s">
        <v>40</v>
      </c>
      <c r="H22" s="6">
        <v>45961</v>
      </c>
      <c r="I22" s="6">
        <v>45961</v>
      </c>
      <c r="J22" s="6">
        <v>45964</v>
      </c>
      <c r="K22" s="5" t="s">
        <v>41</v>
      </c>
      <c r="L22" s="5" t="s">
        <v>42</v>
      </c>
      <c r="M22" s="5" t="s">
        <v>43</v>
      </c>
      <c r="N22" s="5" t="s">
        <v>44</v>
      </c>
      <c r="O22" s="7">
        <v>4645.41</v>
      </c>
      <c r="P22" s="5" t="s">
        <v>45</v>
      </c>
      <c r="Q22" s="22"/>
      <c r="R22" s="8">
        <f t="shared" si="0"/>
        <v>4645.41</v>
      </c>
      <c r="S22" s="7">
        <v>4645.41</v>
      </c>
      <c r="T22" s="7"/>
      <c r="U22" s="7">
        <f t="shared" si="2"/>
        <v>4645.41</v>
      </c>
      <c r="V22" s="5" t="s">
        <v>45</v>
      </c>
      <c r="W22" s="7">
        <v>1367.1</v>
      </c>
      <c r="X22" s="5" t="s">
        <v>46</v>
      </c>
      <c r="Z22" s="8">
        <f t="shared" si="1"/>
        <v>1367.1</v>
      </c>
    </row>
    <row r="23" spans="1:26" x14ac:dyDescent="0.25">
      <c r="A23" s="5" t="s">
        <v>34</v>
      </c>
      <c r="B23" s="5" t="s">
        <v>35</v>
      </c>
      <c r="C23" s="5" t="s">
        <v>36</v>
      </c>
      <c r="D23" s="5" t="s">
        <v>37</v>
      </c>
      <c r="E23" s="5" t="s">
        <v>88</v>
      </c>
      <c r="F23" s="5" t="s">
        <v>89</v>
      </c>
      <c r="G23" s="5" t="s">
        <v>40</v>
      </c>
      <c r="H23" s="6">
        <v>45961</v>
      </c>
      <c r="I23" s="6">
        <v>45961</v>
      </c>
      <c r="J23" s="6">
        <v>45964</v>
      </c>
      <c r="K23" s="5" t="s">
        <v>41</v>
      </c>
      <c r="L23" s="5" t="s">
        <v>42</v>
      </c>
      <c r="M23" s="5" t="s">
        <v>43</v>
      </c>
      <c r="N23" s="5" t="s">
        <v>44</v>
      </c>
      <c r="O23" s="7">
        <v>1692.24</v>
      </c>
      <c r="P23" s="5" t="s">
        <v>45</v>
      </c>
      <c r="Q23" s="22"/>
      <c r="R23" s="8">
        <f t="shared" si="0"/>
        <v>1692.24</v>
      </c>
      <c r="S23" s="7">
        <v>1692.24</v>
      </c>
      <c r="T23" s="7"/>
      <c r="U23" s="7">
        <f t="shared" si="2"/>
        <v>1692.24</v>
      </c>
      <c r="V23" s="5" t="s">
        <v>45</v>
      </c>
      <c r="W23" s="7">
        <v>498.01</v>
      </c>
      <c r="X23" s="5" t="s">
        <v>46</v>
      </c>
      <c r="Z23" s="8">
        <f t="shared" si="1"/>
        <v>498.01</v>
      </c>
    </row>
    <row r="24" spans="1:26" x14ac:dyDescent="0.25">
      <c r="A24" s="5" t="s">
        <v>34</v>
      </c>
      <c r="B24" s="5" t="s">
        <v>35</v>
      </c>
      <c r="C24" s="5" t="s">
        <v>36</v>
      </c>
      <c r="D24" s="5" t="s">
        <v>37</v>
      </c>
      <c r="E24" s="5" t="s">
        <v>90</v>
      </c>
      <c r="F24" s="5" t="s">
        <v>91</v>
      </c>
      <c r="G24" s="5" t="s">
        <v>40</v>
      </c>
      <c r="H24" s="6">
        <v>45961</v>
      </c>
      <c r="I24" s="6">
        <v>45961</v>
      </c>
      <c r="J24" s="6">
        <v>45964</v>
      </c>
      <c r="K24" s="5" t="s">
        <v>41</v>
      </c>
      <c r="L24" s="5" t="s">
        <v>42</v>
      </c>
      <c r="M24" s="5" t="s">
        <v>43</v>
      </c>
      <c r="N24" s="5" t="s">
        <v>44</v>
      </c>
      <c r="O24" s="7">
        <v>4037.67</v>
      </c>
      <c r="P24" s="5" t="s">
        <v>45</v>
      </c>
      <c r="Q24" s="22"/>
      <c r="R24" s="8">
        <f t="shared" si="0"/>
        <v>4037.67</v>
      </c>
      <c r="S24" s="7">
        <v>4037.67</v>
      </c>
      <c r="T24" s="7"/>
      <c r="U24" s="7">
        <f t="shared" si="2"/>
        <v>4037.67</v>
      </c>
      <c r="V24" s="5" t="s">
        <v>45</v>
      </c>
      <c r="W24" s="7">
        <v>1188.25</v>
      </c>
      <c r="X24" s="5" t="s">
        <v>46</v>
      </c>
      <c r="Z24" s="8">
        <f t="shared" si="1"/>
        <v>1188.25</v>
      </c>
    </row>
    <row r="25" spans="1:26" x14ac:dyDescent="0.25">
      <c r="A25" s="5" t="s">
        <v>34</v>
      </c>
      <c r="B25" s="5" t="s">
        <v>35</v>
      </c>
      <c r="C25" s="5" t="s">
        <v>36</v>
      </c>
      <c r="D25" s="5" t="s">
        <v>37</v>
      </c>
      <c r="E25" s="5" t="s">
        <v>92</v>
      </c>
      <c r="F25" s="5" t="s">
        <v>93</v>
      </c>
      <c r="G25" s="5" t="s">
        <v>40</v>
      </c>
      <c r="H25" s="6">
        <v>45961</v>
      </c>
      <c r="I25" s="6">
        <v>45961</v>
      </c>
      <c r="J25" s="6">
        <v>45964</v>
      </c>
      <c r="K25" s="5" t="s">
        <v>41</v>
      </c>
      <c r="L25" s="5" t="s">
        <v>42</v>
      </c>
      <c r="M25" s="5" t="s">
        <v>43</v>
      </c>
      <c r="N25" s="5" t="s">
        <v>44</v>
      </c>
      <c r="O25" s="7">
        <v>5587.86</v>
      </c>
      <c r="P25" s="5" t="s">
        <v>45</v>
      </c>
      <c r="Q25" s="22"/>
      <c r="R25" s="8">
        <f t="shared" si="0"/>
        <v>5587.86</v>
      </c>
      <c r="S25" s="7">
        <v>5587.86</v>
      </c>
      <c r="T25" s="7"/>
      <c r="U25" s="7">
        <f t="shared" si="2"/>
        <v>5587.86</v>
      </c>
      <c r="V25" s="5" t="s">
        <v>45</v>
      </c>
      <c r="W25" s="7">
        <v>1644.46</v>
      </c>
      <c r="X25" s="5" t="s">
        <v>46</v>
      </c>
      <c r="Z25" s="8">
        <f t="shared" si="1"/>
        <v>1644.46</v>
      </c>
    </row>
    <row r="26" spans="1:26" x14ac:dyDescent="0.25">
      <c r="A26" s="5" t="s">
        <v>34</v>
      </c>
      <c r="B26" s="5" t="s">
        <v>35</v>
      </c>
      <c r="C26" s="5" t="s">
        <v>36</v>
      </c>
      <c r="D26" s="5" t="s">
        <v>37</v>
      </c>
      <c r="E26" s="5" t="s">
        <v>94</v>
      </c>
      <c r="F26" s="5" t="s">
        <v>95</v>
      </c>
      <c r="G26" s="5" t="s">
        <v>40</v>
      </c>
      <c r="H26" s="6">
        <v>45961</v>
      </c>
      <c r="I26" s="6">
        <v>45961</v>
      </c>
      <c r="J26" s="6">
        <v>45964</v>
      </c>
      <c r="K26" s="5" t="s">
        <v>41</v>
      </c>
      <c r="L26" s="5" t="s">
        <v>42</v>
      </c>
      <c r="M26" s="5" t="s">
        <v>43</v>
      </c>
      <c r="N26" s="5" t="s">
        <v>44</v>
      </c>
      <c r="O26" s="7">
        <v>42346.87</v>
      </c>
      <c r="P26" s="5" t="s">
        <v>45</v>
      </c>
      <c r="Q26" s="22"/>
      <c r="R26" s="8">
        <f t="shared" si="0"/>
        <v>42346.87</v>
      </c>
      <c r="S26" s="7">
        <v>42346.87</v>
      </c>
      <c r="T26" s="7"/>
      <c r="U26" s="7">
        <f t="shared" si="2"/>
        <v>42346.87</v>
      </c>
      <c r="V26" s="5" t="s">
        <v>45</v>
      </c>
      <c r="W26" s="7">
        <v>12462.29</v>
      </c>
      <c r="X26" s="5" t="s">
        <v>46</v>
      </c>
      <c r="Z26" s="8">
        <f t="shared" si="1"/>
        <v>12462.29</v>
      </c>
    </row>
    <row r="27" spans="1:26" x14ac:dyDescent="0.25">
      <c r="A27" s="5" t="s">
        <v>34</v>
      </c>
      <c r="B27" s="5" t="s">
        <v>35</v>
      </c>
      <c r="C27" s="5" t="s">
        <v>36</v>
      </c>
      <c r="D27" s="5" t="s">
        <v>37</v>
      </c>
      <c r="E27" s="5" t="s">
        <v>96</v>
      </c>
      <c r="F27" s="5" t="s">
        <v>97</v>
      </c>
      <c r="G27" s="5" t="s">
        <v>40</v>
      </c>
      <c r="H27" s="6">
        <v>45961</v>
      </c>
      <c r="I27" s="6">
        <v>45961</v>
      </c>
      <c r="J27" s="6">
        <v>45964</v>
      </c>
      <c r="K27" s="5" t="s">
        <v>41</v>
      </c>
      <c r="L27" s="5" t="s">
        <v>42</v>
      </c>
      <c r="M27" s="5" t="s">
        <v>43</v>
      </c>
      <c r="N27" s="5" t="s">
        <v>44</v>
      </c>
      <c r="O27" s="7">
        <v>22377</v>
      </c>
      <c r="P27" s="5" t="s">
        <v>45</v>
      </c>
      <c r="Q27" s="22"/>
      <c r="R27" s="8">
        <f t="shared" si="0"/>
        <v>22377</v>
      </c>
      <c r="S27" s="7">
        <v>22377</v>
      </c>
      <c r="T27" s="7"/>
      <c r="U27" s="7">
        <f t="shared" si="2"/>
        <v>22377</v>
      </c>
      <c r="V27" s="5" t="s">
        <v>45</v>
      </c>
      <c r="W27" s="7">
        <v>6585.34</v>
      </c>
      <c r="X27" s="5" t="s">
        <v>46</v>
      </c>
      <c r="Z27" s="8">
        <f t="shared" si="1"/>
        <v>6585.34</v>
      </c>
    </row>
    <row r="28" spans="1:26" x14ac:dyDescent="0.25">
      <c r="A28" s="5" t="s">
        <v>34</v>
      </c>
      <c r="B28" s="5" t="s">
        <v>35</v>
      </c>
      <c r="C28" s="5" t="s">
        <v>36</v>
      </c>
      <c r="D28" s="5" t="s">
        <v>37</v>
      </c>
      <c r="E28" s="5" t="s">
        <v>98</v>
      </c>
      <c r="F28" s="5" t="s">
        <v>99</v>
      </c>
      <c r="G28" s="5" t="s">
        <v>40</v>
      </c>
      <c r="H28" s="6">
        <v>45961</v>
      </c>
      <c r="I28" s="6">
        <v>45961</v>
      </c>
      <c r="J28" s="6">
        <v>45964</v>
      </c>
      <c r="K28" s="5" t="s">
        <v>41</v>
      </c>
      <c r="L28" s="5" t="s">
        <v>42</v>
      </c>
      <c r="M28" s="5" t="s">
        <v>43</v>
      </c>
      <c r="N28" s="5" t="s">
        <v>44</v>
      </c>
      <c r="O28" s="7">
        <v>15524</v>
      </c>
      <c r="P28" s="5" t="s">
        <v>45</v>
      </c>
      <c r="Q28" s="22"/>
      <c r="R28" s="8">
        <f t="shared" si="0"/>
        <v>15524</v>
      </c>
      <c r="S28" s="7">
        <v>15524</v>
      </c>
      <c r="T28" s="7"/>
      <c r="U28" s="7">
        <f t="shared" si="2"/>
        <v>15524</v>
      </c>
      <c r="V28" s="5" t="s">
        <v>45</v>
      </c>
      <c r="W28" s="7">
        <v>4568.57</v>
      </c>
      <c r="X28" s="5" t="s">
        <v>46</v>
      </c>
      <c r="Z28" s="8">
        <f t="shared" si="1"/>
        <v>4568.57</v>
      </c>
    </row>
    <row r="29" spans="1:26" x14ac:dyDescent="0.25">
      <c r="A29" s="5" t="s">
        <v>34</v>
      </c>
      <c r="B29" s="5" t="s">
        <v>35</v>
      </c>
      <c r="C29" s="5" t="s">
        <v>36</v>
      </c>
      <c r="D29" s="5" t="s">
        <v>37</v>
      </c>
      <c r="E29" s="5" t="s">
        <v>100</v>
      </c>
      <c r="F29" s="5" t="s">
        <v>101</v>
      </c>
      <c r="G29" s="5" t="s">
        <v>40</v>
      </c>
      <c r="H29" s="6">
        <v>45961</v>
      </c>
      <c r="I29" s="6">
        <v>45961</v>
      </c>
      <c r="J29" s="6">
        <v>45964</v>
      </c>
      <c r="K29" s="5" t="s">
        <v>41</v>
      </c>
      <c r="L29" s="5" t="s">
        <v>42</v>
      </c>
      <c r="M29" s="5" t="s">
        <v>43</v>
      </c>
      <c r="N29" s="5" t="s">
        <v>44</v>
      </c>
      <c r="O29" s="7">
        <v>5543.35</v>
      </c>
      <c r="P29" s="5" t="s">
        <v>45</v>
      </c>
      <c r="Q29" s="22"/>
      <c r="R29" s="8">
        <f t="shared" si="0"/>
        <v>5543.35</v>
      </c>
      <c r="S29" s="7">
        <v>5543.35</v>
      </c>
      <c r="T29" s="7"/>
      <c r="U29" s="7">
        <f t="shared" si="2"/>
        <v>5543.35</v>
      </c>
      <c r="V29" s="5" t="s">
        <v>45</v>
      </c>
      <c r="W29" s="7">
        <v>1631.36</v>
      </c>
      <c r="X29" s="5" t="s">
        <v>46</v>
      </c>
      <c r="Z29" s="8">
        <f t="shared" si="1"/>
        <v>1631.36</v>
      </c>
    </row>
    <row r="30" spans="1:26" x14ac:dyDescent="0.25">
      <c r="A30" s="5" t="s">
        <v>34</v>
      </c>
      <c r="B30" s="5" t="s">
        <v>35</v>
      </c>
      <c r="C30" s="5" t="s">
        <v>36</v>
      </c>
      <c r="D30" s="5" t="s">
        <v>37</v>
      </c>
      <c r="E30" s="5" t="s">
        <v>102</v>
      </c>
      <c r="F30" s="5" t="s">
        <v>103</v>
      </c>
      <c r="G30" s="5" t="s">
        <v>40</v>
      </c>
      <c r="H30" s="6">
        <v>45961</v>
      </c>
      <c r="I30" s="6">
        <v>45961</v>
      </c>
      <c r="J30" s="6">
        <v>45964</v>
      </c>
      <c r="K30" s="5" t="s">
        <v>41</v>
      </c>
      <c r="L30" s="5" t="s">
        <v>42</v>
      </c>
      <c r="M30" s="5" t="s">
        <v>43</v>
      </c>
      <c r="N30" s="5" t="s">
        <v>44</v>
      </c>
      <c r="O30" s="7">
        <v>4033.88</v>
      </c>
      <c r="P30" s="5" t="s">
        <v>45</v>
      </c>
      <c r="Q30" s="22"/>
      <c r="R30" s="8">
        <f t="shared" si="0"/>
        <v>4033.88</v>
      </c>
      <c r="S30" s="7">
        <v>4033.88</v>
      </c>
      <c r="T30" s="7"/>
      <c r="U30" s="7">
        <f t="shared" si="2"/>
        <v>4033.88</v>
      </c>
      <c r="V30" s="5" t="s">
        <v>45</v>
      </c>
      <c r="W30" s="7">
        <v>1187.1300000000001</v>
      </c>
      <c r="X30" s="5" t="s">
        <v>46</v>
      </c>
      <c r="Z30" s="8">
        <f t="shared" si="1"/>
        <v>1187.1300000000001</v>
      </c>
    </row>
    <row r="31" spans="1:26" x14ac:dyDescent="0.25">
      <c r="A31" s="5" t="s">
        <v>34</v>
      </c>
      <c r="B31" s="5" t="s">
        <v>35</v>
      </c>
      <c r="C31" s="5" t="s">
        <v>36</v>
      </c>
      <c r="D31" s="5" t="s">
        <v>37</v>
      </c>
      <c r="E31" s="5" t="s">
        <v>104</v>
      </c>
      <c r="F31" s="5" t="s">
        <v>105</v>
      </c>
      <c r="G31" s="5" t="s">
        <v>40</v>
      </c>
      <c r="H31" s="6">
        <v>45961</v>
      </c>
      <c r="I31" s="6">
        <v>45961</v>
      </c>
      <c r="J31" s="6">
        <v>45964</v>
      </c>
      <c r="K31" s="5" t="s">
        <v>41</v>
      </c>
      <c r="L31" s="5" t="s">
        <v>42</v>
      </c>
      <c r="M31" s="5" t="s">
        <v>43</v>
      </c>
      <c r="N31" s="5" t="s">
        <v>44</v>
      </c>
      <c r="O31" s="7">
        <v>12168.46</v>
      </c>
      <c r="P31" s="5" t="s">
        <v>45</v>
      </c>
      <c r="Q31" s="22"/>
      <c r="R31" s="8">
        <f t="shared" si="0"/>
        <v>12168.46</v>
      </c>
      <c r="S31" s="7">
        <v>12168.46</v>
      </c>
      <c r="T31" s="7"/>
      <c r="U31" s="7">
        <f t="shared" si="2"/>
        <v>12168.46</v>
      </c>
      <c r="V31" s="5" t="s">
        <v>45</v>
      </c>
      <c r="W31" s="7">
        <v>3581.07</v>
      </c>
      <c r="X31" s="5" t="s">
        <v>46</v>
      </c>
      <c r="Z31" s="8">
        <f t="shared" si="1"/>
        <v>3581.07</v>
      </c>
    </row>
    <row r="32" spans="1:26" x14ac:dyDescent="0.25">
      <c r="A32" s="5" t="s">
        <v>34</v>
      </c>
      <c r="B32" s="5" t="s">
        <v>35</v>
      </c>
      <c r="C32" s="5" t="s">
        <v>36</v>
      </c>
      <c r="D32" s="5" t="s">
        <v>37</v>
      </c>
      <c r="E32" s="5" t="s">
        <v>106</v>
      </c>
      <c r="F32" s="5" t="s">
        <v>107</v>
      </c>
      <c r="G32" s="5" t="s">
        <v>40</v>
      </c>
      <c r="H32" s="6">
        <v>45961</v>
      </c>
      <c r="I32" s="6">
        <v>45961</v>
      </c>
      <c r="J32" s="6">
        <v>45964</v>
      </c>
      <c r="K32" s="5" t="s">
        <v>41</v>
      </c>
      <c r="L32" s="5" t="s">
        <v>42</v>
      </c>
      <c r="M32" s="5" t="s">
        <v>43</v>
      </c>
      <c r="N32" s="5" t="s">
        <v>44</v>
      </c>
      <c r="O32" s="7">
        <v>5630</v>
      </c>
      <c r="P32" s="5" t="s">
        <v>45</v>
      </c>
      <c r="Q32" s="22"/>
      <c r="R32" s="8">
        <f t="shared" si="0"/>
        <v>5630</v>
      </c>
      <c r="S32" s="7">
        <v>5630</v>
      </c>
      <c r="T32" s="7"/>
      <c r="U32" s="7">
        <f t="shared" si="2"/>
        <v>5630</v>
      </c>
      <c r="V32" s="5" t="s">
        <v>45</v>
      </c>
      <c r="W32" s="7">
        <v>1656.86</v>
      </c>
      <c r="X32" s="5" t="s">
        <v>46</v>
      </c>
      <c r="Z32" s="8">
        <f t="shared" si="1"/>
        <v>1656.86</v>
      </c>
    </row>
    <row r="33" spans="1:26" x14ac:dyDescent="0.25">
      <c r="A33" s="5" t="s">
        <v>34</v>
      </c>
      <c r="B33" s="5" t="s">
        <v>35</v>
      </c>
      <c r="C33" s="5" t="s">
        <v>36</v>
      </c>
      <c r="D33" s="5" t="s">
        <v>37</v>
      </c>
      <c r="E33" s="5" t="s">
        <v>108</v>
      </c>
      <c r="F33" s="5" t="s">
        <v>109</v>
      </c>
      <c r="G33" s="5" t="s">
        <v>40</v>
      </c>
      <c r="H33" s="6">
        <v>45961</v>
      </c>
      <c r="I33" s="6">
        <v>45961</v>
      </c>
      <c r="J33" s="6">
        <v>45964</v>
      </c>
      <c r="K33" s="5" t="s">
        <v>41</v>
      </c>
      <c r="L33" s="5" t="s">
        <v>42</v>
      </c>
      <c r="M33" s="5" t="s">
        <v>43</v>
      </c>
      <c r="N33" s="5" t="s">
        <v>44</v>
      </c>
      <c r="O33" s="7">
        <v>5818</v>
      </c>
      <c r="P33" s="5" t="s">
        <v>45</v>
      </c>
      <c r="Q33" s="22"/>
      <c r="R33" s="8">
        <f t="shared" si="0"/>
        <v>5818</v>
      </c>
      <c r="S33" s="7">
        <v>5818</v>
      </c>
      <c r="T33" s="7"/>
      <c r="U33" s="7">
        <f t="shared" si="2"/>
        <v>5818</v>
      </c>
      <c r="V33" s="5" t="s">
        <v>45</v>
      </c>
      <c r="W33" s="7">
        <v>1712.18</v>
      </c>
      <c r="X33" s="5" t="s">
        <v>46</v>
      </c>
      <c r="Z33" s="8">
        <f t="shared" si="1"/>
        <v>1712.18</v>
      </c>
    </row>
    <row r="34" spans="1:26" x14ac:dyDescent="0.25">
      <c r="A34" s="5" t="s">
        <v>34</v>
      </c>
      <c r="B34" s="5" t="s">
        <v>35</v>
      </c>
      <c r="C34" s="5" t="s">
        <v>36</v>
      </c>
      <c r="D34" s="5" t="s">
        <v>37</v>
      </c>
      <c r="E34" s="5" t="s">
        <v>110</v>
      </c>
      <c r="F34" s="5" t="s">
        <v>111</v>
      </c>
      <c r="G34" s="5" t="s">
        <v>40</v>
      </c>
      <c r="H34" s="6">
        <v>45961</v>
      </c>
      <c r="I34" s="6">
        <v>45961</v>
      </c>
      <c r="J34" s="6">
        <v>45964</v>
      </c>
      <c r="K34" s="5" t="s">
        <v>41</v>
      </c>
      <c r="L34" s="5" t="s">
        <v>42</v>
      </c>
      <c r="M34" s="5" t="s">
        <v>43</v>
      </c>
      <c r="N34" s="5" t="s">
        <v>44</v>
      </c>
      <c r="O34" s="7">
        <v>3753.41</v>
      </c>
      <c r="P34" s="5" t="s">
        <v>45</v>
      </c>
      <c r="Q34" s="22"/>
      <c r="R34" s="8">
        <f t="shared" si="0"/>
        <v>3753.41</v>
      </c>
      <c r="S34" s="7">
        <v>3753.41</v>
      </c>
      <c r="T34" s="7"/>
      <c r="U34" s="7">
        <f t="shared" si="2"/>
        <v>3753.41</v>
      </c>
      <c r="V34" s="5" t="s">
        <v>45</v>
      </c>
      <c r="W34" s="7">
        <v>1104.5899999999999</v>
      </c>
      <c r="X34" s="5" t="s">
        <v>46</v>
      </c>
      <c r="Z34" s="8">
        <f t="shared" si="1"/>
        <v>1104.5899999999999</v>
      </c>
    </row>
    <row r="35" spans="1:26" x14ac:dyDescent="0.25">
      <c r="A35" s="5" t="s">
        <v>34</v>
      </c>
      <c r="B35" s="5" t="s">
        <v>35</v>
      </c>
      <c r="C35" s="5" t="s">
        <v>36</v>
      </c>
      <c r="D35" s="5" t="s">
        <v>37</v>
      </c>
      <c r="E35" s="5" t="s">
        <v>112</v>
      </c>
      <c r="F35" s="5" t="s">
        <v>113</v>
      </c>
      <c r="G35" s="5" t="s">
        <v>40</v>
      </c>
      <c r="H35" s="6">
        <v>45961</v>
      </c>
      <c r="I35" s="6">
        <v>45961</v>
      </c>
      <c r="J35" s="6">
        <v>45964</v>
      </c>
      <c r="K35" s="5" t="s">
        <v>41</v>
      </c>
      <c r="L35" s="5" t="s">
        <v>42</v>
      </c>
      <c r="M35" s="5" t="s">
        <v>43</v>
      </c>
      <c r="N35" s="5" t="s">
        <v>44</v>
      </c>
      <c r="O35" s="7">
        <v>1884.48</v>
      </c>
      <c r="P35" s="5" t="s">
        <v>45</v>
      </c>
      <c r="Q35" s="22"/>
      <c r="R35" s="8">
        <f t="shared" si="0"/>
        <v>1884.48</v>
      </c>
      <c r="S35" s="7">
        <v>1884.48</v>
      </c>
      <c r="T35" s="7"/>
      <c r="U35" s="7">
        <f t="shared" si="2"/>
        <v>1884.48</v>
      </c>
      <c r="V35" s="5" t="s">
        <v>45</v>
      </c>
      <c r="W35" s="7">
        <v>554.59</v>
      </c>
      <c r="X35" s="5" t="s">
        <v>46</v>
      </c>
      <c r="Z35" s="8">
        <f t="shared" si="1"/>
        <v>554.59</v>
      </c>
    </row>
    <row r="36" spans="1:26" x14ac:dyDescent="0.25">
      <c r="A36" s="5" t="s">
        <v>34</v>
      </c>
      <c r="B36" s="5" t="s">
        <v>35</v>
      </c>
      <c r="C36" s="5" t="s">
        <v>36</v>
      </c>
      <c r="D36" s="5" t="s">
        <v>37</v>
      </c>
      <c r="E36" s="5" t="s">
        <v>114</v>
      </c>
      <c r="F36" s="5" t="s">
        <v>115</v>
      </c>
      <c r="G36" s="5" t="s">
        <v>40</v>
      </c>
      <c r="H36" s="6">
        <v>45961</v>
      </c>
      <c r="I36" s="6">
        <v>45961</v>
      </c>
      <c r="J36" s="6">
        <v>45964</v>
      </c>
      <c r="K36" s="5" t="s">
        <v>41</v>
      </c>
      <c r="L36" s="5" t="s">
        <v>42</v>
      </c>
      <c r="M36" s="5" t="s">
        <v>43</v>
      </c>
      <c r="N36" s="5" t="s">
        <v>44</v>
      </c>
      <c r="O36" s="7">
        <v>18160</v>
      </c>
      <c r="P36" s="5" t="s">
        <v>45</v>
      </c>
      <c r="Q36" s="22"/>
      <c r="R36" s="8">
        <f t="shared" si="0"/>
        <v>18160</v>
      </c>
      <c r="S36" s="7">
        <v>18160</v>
      </c>
      <c r="T36" s="7"/>
      <c r="U36" s="7">
        <f t="shared" si="2"/>
        <v>18160</v>
      </c>
      <c r="V36" s="5" t="s">
        <v>45</v>
      </c>
      <c r="W36" s="7">
        <v>5344.32</v>
      </c>
      <c r="X36" s="5" t="s">
        <v>46</v>
      </c>
      <c r="Z36" s="8">
        <f t="shared" si="1"/>
        <v>5344.32</v>
      </c>
    </row>
    <row r="37" spans="1:26" x14ac:dyDescent="0.25">
      <c r="A37" s="5" t="s">
        <v>34</v>
      </c>
      <c r="B37" s="5" t="s">
        <v>35</v>
      </c>
      <c r="C37" s="5" t="s">
        <v>36</v>
      </c>
      <c r="D37" s="5" t="s">
        <v>37</v>
      </c>
      <c r="E37" s="5" t="s">
        <v>116</v>
      </c>
      <c r="F37" s="5" t="s">
        <v>117</v>
      </c>
      <c r="G37" s="5" t="s">
        <v>40</v>
      </c>
      <c r="H37" s="6">
        <v>45961</v>
      </c>
      <c r="I37" s="6">
        <v>45961</v>
      </c>
      <c r="J37" s="6">
        <v>45964</v>
      </c>
      <c r="K37" s="5" t="s">
        <v>41</v>
      </c>
      <c r="L37" s="5" t="s">
        <v>42</v>
      </c>
      <c r="M37" s="5" t="s">
        <v>43</v>
      </c>
      <c r="N37" s="5" t="s">
        <v>44</v>
      </c>
      <c r="O37" s="7">
        <v>2325</v>
      </c>
      <c r="P37" s="5" t="s">
        <v>45</v>
      </c>
      <c r="Q37" s="22"/>
      <c r="R37" s="8">
        <f t="shared" si="0"/>
        <v>2325</v>
      </c>
      <c r="S37" s="7">
        <v>2325</v>
      </c>
      <c r="T37" s="7"/>
      <c r="U37" s="7">
        <f t="shared" si="2"/>
        <v>2325</v>
      </c>
      <c r="V37" s="5" t="s">
        <v>45</v>
      </c>
      <c r="W37" s="7">
        <v>684.23</v>
      </c>
      <c r="X37" s="5" t="s">
        <v>46</v>
      </c>
      <c r="Z37" s="8">
        <f t="shared" si="1"/>
        <v>684.23</v>
      </c>
    </row>
    <row r="38" spans="1:26" x14ac:dyDescent="0.25">
      <c r="A38" s="5" t="s">
        <v>34</v>
      </c>
      <c r="B38" s="5" t="s">
        <v>35</v>
      </c>
      <c r="C38" s="5" t="s">
        <v>36</v>
      </c>
      <c r="D38" s="5" t="s">
        <v>37</v>
      </c>
      <c r="E38" s="5" t="s">
        <v>118</v>
      </c>
      <c r="F38" s="5" t="s">
        <v>119</v>
      </c>
      <c r="G38" s="5" t="s">
        <v>40</v>
      </c>
      <c r="H38" s="6">
        <v>45961</v>
      </c>
      <c r="I38" s="6">
        <v>45961</v>
      </c>
      <c r="J38" s="6">
        <v>45964</v>
      </c>
      <c r="K38" s="5" t="s">
        <v>41</v>
      </c>
      <c r="L38" s="5" t="s">
        <v>42</v>
      </c>
      <c r="M38" s="5" t="s">
        <v>43</v>
      </c>
      <c r="N38" s="5" t="s">
        <v>44</v>
      </c>
      <c r="O38" s="7">
        <v>2018.66</v>
      </c>
      <c r="P38" s="5" t="s">
        <v>45</v>
      </c>
      <c r="Q38" s="22"/>
      <c r="R38" s="8">
        <f t="shared" si="0"/>
        <v>2018.66</v>
      </c>
      <c r="S38" s="7">
        <v>2018.66</v>
      </c>
      <c r="T38" s="7"/>
      <c r="U38" s="7">
        <f t="shared" si="2"/>
        <v>2018.66</v>
      </c>
      <c r="V38" s="5" t="s">
        <v>45</v>
      </c>
      <c r="W38" s="7">
        <v>594.07000000000005</v>
      </c>
      <c r="X38" s="5" t="s">
        <v>46</v>
      </c>
      <c r="Z38" s="8">
        <f t="shared" si="1"/>
        <v>594.07000000000005</v>
      </c>
    </row>
    <row r="39" spans="1:26" x14ac:dyDescent="0.25">
      <c r="A39" s="5" t="s">
        <v>34</v>
      </c>
      <c r="B39" s="5" t="s">
        <v>120</v>
      </c>
      <c r="C39" s="5" t="s">
        <v>121</v>
      </c>
      <c r="D39" s="5" t="s">
        <v>37</v>
      </c>
      <c r="E39" s="5" t="s">
        <v>88</v>
      </c>
      <c r="F39" s="5" t="s">
        <v>89</v>
      </c>
      <c r="G39" s="5" t="s">
        <v>40</v>
      </c>
      <c r="H39" s="6">
        <v>45961</v>
      </c>
      <c r="I39" s="6">
        <v>45961</v>
      </c>
      <c r="J39" s="6">
        <v>45964</v>
      </c>
      <c r="K39" s="5" t="s">
        <v>41</v>
      </c>
      <c r="L39" s="5" t="s">
        <v>42</v>
      </c>
      <c r="M39" s="5" t="s">
        <v>43</v>
      </c>
      <c r="N39" s="5" t="s">
        <v>44</v>
      </c>
      <c r="O39" s="7">
        <v>113</v>
      </c>
      <c r="P39" s="5" t="s">
        <v>45</v>
      </c>
      <c r="Q39" s="22"/>
      <c r="R39" s="8">
        <f t="shared" si="0"/>
        <v>113</v>
      </c>
      <c r="S39" s="7">
        <v>113</v>
      </c>
      <c r="T39" s="7"/>
      <c r="U39" s="7">
        <f t="shared" si="2"/>
        <v>113</v>
      </c>
      <c r="V39" s="5" t="s">
        <v>45</v>
      </c>
      <c r="W39" s="7">
        <v>33.25</v>
      </c>
      <c r="X39" s="5" t="s">
        <v>46</v>
      </c>
      <c r="Z39" s="8">
        <f t="shared" si="1"/>
        <v>33.25</v>
      </c>
    </row>
    <row r="40" spans="1:26" x14ac:dyDescent="0.25">
      <c r="A40" s="5" t="s">
        <v>34</v>
      </c>
      <c r="B40" s="5" t="s">
        <v>120</v>
      </c>
      <c r="C40" s="5" t="s">
        <v>121</v>
      </c>
      <c r="D40" s="5" t="s">
        <v>37</v>
      </c>
      <c r="E40" s="5" t="s">
        <v>56</v>
      </c>
      <c r="F40" s="5" t="s">
        <v>57</v>
      </c>
      <c r="G40" s="5" t="s">
        <v>40</v>
      </c>
      <c r="H40" s="6">
        <v>45961</v>
      </c>
      <c r="I40" s="6">
        <v>45961</v>
      </c>
      <c r="J40" s="6">
        <v>45964</v>
      </c>
      <c r="K40" s="5" t="s">
        <v>41</v>
      </c>
      <c r="L40" s="5" t="s">
        <v>42</v>
      </c>
      <c r="M40" s="5" t="s">
        <v>43</v>
      </c>
      <c r="N40" s="5" t="s">
        <v>44</v>
      </c>
      <c r="O40" s="7">
        <v>678</v>
      </c>
      <c r="P40" s="5" t="s">
        <v>45</v>
      </c>
      <c r="Q40" s="22"/>
      <c r="R40" s="8">
        <f t="shared" si="0"/>
        <v>678</v>
      </c>
      <c r="S40" s="7">
        <v>678</v>
      </c>
      <c r="T40" s="7"/>
      <c r="U40" s="7">
        <f t="shared" si="2"/>
        <v>678</v>
      </c>
      <c r="V40" s="5" t="s">
        <v>45</v>
      </c>
      <c r="W40" s="7">
        <v>199.53</v>
      </c>
      <c r="X40" s="5" t="s">
        <v>46</v>
      </c>
      <c r="Z40" s="8">
        <f t="shared" si="1"/>
        <v>199.53</v>
      </c>
    </row>
    <row r="41" spans="1:26" x14ac:dyDescent="0.25">
      <c r="A41" s="5" t="s">
        <v>34</v>
      </c>
      <c r="B41" s="5" t="s">
        <v>120</v>
      </c>
      <c r="C41" s="5" t="s">
        <v>121</v>
      </c>
      <c r="D41" s="5" t="s">
        <v>37</v>
      </c>
      <c r="E41" s="5" t="s">
        <v>74</v>
      </c>
      <c r="F41" s="5" t="s">
        <v>75</v>
      </c>
      <c r="G41" s="5" t="s">
        <v>40</v>
      </c>
      <c r="H41" s="6">
        <v>45961</v>
      </c>
      <c r="I41" s="6">
        <v>45961</v>
      </c>
      <c r="J41" s="6">
        <v>45964</v>
      </c>
      <c r="K41" s="5" t="s">
        <v>41</v>
      </c>
      <c r="L41" s="5" t="s">
        <v>42</v>
      </c>
      <c r="M41" s="5" t="s">
        <v>43</v>
      </c>
      <c r="N41" s="5" t="s">
        <v>44</v>
      </c>
      <c r="O41" s="7">
        <v>452</v>
      </c>
      <c r="P41" s="5" t="s">
        <v>45</v>
      </c>
      <c r="Q41" s="22"/>
      <c r="R41" s="8">
        <f t="shared" si="0"/>
        <v>452</v>
      </c>
      <c r="S41" s="7">
        <v>452</v>
      </c>
      <c r="T41" s="7"/>
      <c r="U41" s="7">
        <f t="shared" si="2"/>
        <v>452</v>
      </c>
      <c r="V41" s="5" t="s">
        <v>45</v>
      </c>
      <c r="W41" s="7">
        <v>133.02000000000001</v>
      </c>
      <c r="X41" s="5" t="s">
        <v>46</v>
      </c>
      <c r="Z41" s="8">
        <f t="shared" si="1"/>
        <v>133.02000000000001</v>
      </c>
    </row>
    <row r="42" spans="1:26" x14ac:dyDescent="0.25">
      <c r="A42" s="5" t="s">
        <v>34</v>
      </c>
      <c r="B42" s="5" t="s">
        <v>120</v>
      </c>
      <c r="C42" s="5" t="s">
        <v>121</v>
      </c>
      <c r="D42" s="5" t="s">
        <v>37</v>
      </c>
      <c r="E42" s="5" t="s">
        <v>114</v>
      </c>
      <c r="F42" s="5" t="s">
        <v>115</v>
      </c>
      <c r="G42" s="5" t="s">
        <v>40</v>
      </c>
      <c r="H42" s="6">
        <v>45961</v>
      </c>
      <c r="I42" s="6">
        <v>45961</v>
      </c>
      <c r="J42" s="6">
        <v>45964</v>
      </c>
      <c r="K42" s="5" t="s">
        <v>41</v>
      </c>
      <c r="L42" s="5" t="s">
        <v>42</v>
      </c>
      <c r="M42" s="5" t="s">
        <v>43</v>
      </c>
      <c r="N42" s="5" t="s">
        <v>44</v>
      </c>
      <c r="O42" s="7">
        <v>339</v>
      </c>
      <c r="P42" s="5" t="s">
        <v>45</v>
      </c>
      <c r="Q42" s="22"/>
      <c r="R42" s="8">
        <f t="shared" si="0"/>
        <v>339</v>
      </c>
      <c r="S42" s="7">
        <v>339</v>
      </c>
      <c r="T42" s="7"/>
      <c r="U42" s="7">
        <f t="shared" si="2"/>
        <v>339</v>
      </c>
      <c r="V42" s="5" t="s">
        <v>45</v>
      </c>
      <c r="W42" s="7">
        <v>99.76</v>
      </c>
      <c r="X42" s="5" t="s">
        <v>46</v>
      </c>
      <c r="Z42" s="8">
        <f t="shared" si="1"/>
        <v>99.76</v>
      </c>
    </row>
    <row r="43" spans="1:26" x14ac:dyDescent="0.25">
      <c r="A43" s="5" t="s">
        <v>34</v>
      </c>
      <c r="B43" s="5" t="s">
        <v>120</v>
      </c>
      <c r="C43" s="5" t="s">
        <v>121</v>
      </c>
      <c r="D43" s="5" t="s">
        <v>37</v>
      </c>
      <c r="E43" s="5" t="s">
        <v>82</v>
      </c>
      <c r="F43" s="5" t="s">
        <v>83</v>
      </c>
      <c r="G43" s="5" t="s">
        <v>40</v>
      </c>
      <c r="H43" s="6">
        <v>45961</v>
      </c>
      <c r="I43" s="6">
        <v>45961</v>
      </c>
      <c r="J43" s="6">
        <v>45964</v>
      </c>
      <c r="K43" s="5" t="s">
        <v>41</v>
      </c>
      <c r="L43" s="5" t="s">
        <v>42</v>
      </c>
      <c r="M43" s="5" t="s">
        <v>43</v>
      </c>
      <c r="N43" s="5" t="s">
        <v>44</v>
      </c>
      <c r="O43" s="7">
        <v>113</v>
      </c>
      <c r="P43" s="5" t="s">
        <v>45</v>
      </c>
      <c r="Q43" s="22"/>
      <c r="R43" s="8">
        <f t="shared" si="0"/>
        <v>113</v>
      </c>
      <c r="S43" s="7">
        <v>113</v>
      </c>
      <c r="T43" s="7"/>
      <c r="U43" s="7">
        <f t="shared" si="2"/>
        <v>113</v>
      </c>
      <c r="V43" s="5" t="s">
        <v>45</v>
      </c>
      <c r="W43" s="7">
        <v>33.25</v>
      </c>
      <c r="X43" s="5" t="s">
        <v>46</v>
      </c>
      <c r="Z43" s="8">
        <f t="shared" si="1"/>
        <v>33.25</v>
      </c>
    </row>
    <row r="44" spans="1:26" x14ac:dyDescent="0.25">
      <c r="A44" s="5" t="s">
        <v>34</v>
      </c>
      <c r="B44" s="5" t="s">
        <v>120</v>
      </c>
      <c r="C44" s="5" t="s">
        <v>121</v>
      </c>
      <c r="D44" s="5" t="s">
        <v>37</v>
      </c>
      <c r="E44" s="5" t="s">
        <v>70</v>
      </c>
      <c r="F44" s="5" t="s">
        <v>71</v>
      </c>
      <c r="G44" s="5" t="s">
        <v>40</v>
      </c>
      <c r="H44" s="6">
        <v>45961</v>
      </c>
      <c r="I44" s="6">
        <v>45961</v>
      </c>
      <c r="J44" s="6">
        <v>45964</v>
      </c>
      <c r="K44" s="5" t="s">
        <v>41</v>
      </c>
      <c r="L44" s="5" t="s">
        <v>42</v>
      </c>
      <c r="M44" s="5" t="s">
        <v>43</v>
      </c>
      <c r="N44" s="5" t="s">
        <v>44</v>
      </c>
      <c r="O44" s="7">
        <v>113</v>
      </c>
      <c r="P44" s="5" t="s">
        <v>45</v>
      </c>
      <c r="Q44" s="22"/>
      <c r="R44" s="8">
        <f t="shared" si="0"/>
        <v>113</v>
      </c>
      <c r="S44" s="7">
        <v>113</v>
      </c>
      <c r="T44" s="7"/>
      <c r="U44" s="7">
        <f t="shared" si="2"/>
        <v>113</v>
      </c>
      <c r="V44" s="5" t="s">
        <v>45</v>
      </c>
      <c r="W44" s="7">
        <v>33.25</v>
      </c>
      <c r="X44" s="5" t="s">
        <v>46</v>
      </c>
      <c r="Z44" s="8">
        <f t="shared" si="1"/>
        <v>33.25</v>
      </c>
    </row>
    <row r="45" spans="1:26" x14ac:dyDescent="0.25">
      <c r="A45" s="5" t="s">
        <v>34</v>
      </c>
      <c r="B45" s="5" t="s">
        <v>120</v>
      </c>
      <c r="C45" s="5" t="s">
        <v>121</v>
      </c>
      <c r="D45" s="5" t="s">
        <v>37</v>
      </c>
      <c r="E45" s="5" t="s">
        <v>84</v>
      </c>
      <c r="F45" s="5" t="s">
        <v>85</v>
      </c>
      <c r="G45" s="5" t="s">
        <v>40</v>
      </c>
      <c r="H45" s="6">
        <v>45961</v>
      </c>
      <c r="I45" s="6">
        <v>45961</v>
      </c>
      <c r="J45" s="6">
        <v>45964</v>
      </c>
      <c r="K45" s="5" t="s">
        <v>41</v>
      </c>
      <c r="L45" s="5" t="s">
        <v>42</v>
      </c>
      <c r="M45" s="5" t="s">
        <v>43</v>
      </c>
      <c r="N45" s="5" t="s">
        <v>44</v>
      </c>
      <c r="O45" s="7">
        <v>452</v>
      </c>
      <c r="P45" s="5" t="s">
        <v>45</v>
      </c>
      <c r="Q45" s="22"/>
      <c r="R45" s="8">
        <f t="shared" si="0"/>
        <v>452</v>
      </c>
      <c r="S45" s="7">
        <v>452</v>
      </c>
      <c r="T45" s="7"/>
      <c r="U45" s="7">
        <f t="shared" si="2"/>
        <v>452</v>
      </c>
      <c r="V45" s="5" t="s">
        <v>45</v>
      </c>
      <c r="W45" s="7">
        <v>133.02000000000001</v>
      </c>
      <c r="X45" s="5" t="s">
        <v>46</v>
      </c>
      <c r="Z45" s="8">
        <f t="shared" si="1"/>
        <v>133.02000000000001</v>
      </c>
    </row>
    <row r="46" spans="1:26" x14ac:dyDescent="0.25">
      <c r="A46" s="5" t="s">
        <v>34</v>
      </c>
      <c r="B46" s="5" t="s">
        <v>120</v>
      </c>
      <c r="C46" s="5" t="s">
        <v>121</v>
      </c>
      <c r="D46" s="5" t="s">
        <v>37</v>
      </c>
      <c r="E46" s="5" t="s">
        <v>118</v>
      </c>
      <c r="F46" s="5" t="s">
        <v>119</v>
      </c>
      <c r="G46" s="5" t="s">
        <v>40</v>
      </c>
      <c r="H46" s="6">
        <v>45961</v>
      </c>
      <c r="I46" s="6">
        <v>45961</v>
      </c>
      <c r="J46" s="6">
        <v>45964</v>
      </c>
      <c r="K46" s="5" t="s">
        <v>41</v>
      </c>
      <c r="L46" s="5" t="s">
        <v>42</v>
      </c>
      <c r="M46" s="5" t="s">
        <v>43</v>
      </c>
      <c r="N46" s="5" t="s">
        <v>44</v>
      </c>
      <c r="O46" s="7">
        <v>113</v>
      </c>
      <c r="P46" s="5" t="s">
        <v>45</v>
      </c>
      <c r="Q46" s="22"/>
      <c r="R46" s="8">
        <f t="shared" si="0"/>
        <v>113</v>
      </c>
      <c r="S46" s="7">
        <v>113</v>
      </c>
      <c r="T46" s="7"/>
      <c r="U46" s="7">
        <f t="shared" si="2"/>
        <v>113</v>
      </c>
      <c r="V46" s="5" t="s">
        <v>45</v>
      </c>
      <c r="W46" s="7">
        <v>33.25</v>
      </c>
      <c r="X46" s="5" t="s">
        <v>46</v>
      </c>
      <c r="Z46" s="8">
        <f t="shared" si="1"/>
        <v>33.25</v>
      </c>
    </row>
    <row r="47" spans="1:26" x14ac:dyDescent="0.25">
      <c r="A47" s="5" t="s">
        <v>34</v>
      </c>
      <c r="B47" s="5" t="s">
        <v>120</v>
      </c>
      <c r="C47" s="5" t="s">
        <v>121</v>
      </c>
      <c r="D47" s="5" t="s">
        <v>37</v>
      </c>
      <c r="E47" s="5" t="s">
        <v>92</v>
      </c>
      <c r="F47" s="5" t="s">
        <v>93</v>
      </c>
      <c r="G47" s="5" t="s">
        <v>40</v>
      </c>
      <c r="H47" s="6">
        <v>45961</v>
      </c>
      <c r="I47" s="6">
        <v>45961</v>
      </c>
      <c r="J47" s="6">
        <v>45964</v>
      </c>
      <c r="K47" s="5" t="s">
        <v>41</v>
      </c>
      <c r="L47" s="5" t="s">
        <v>42</v>
      </c>
      <c r="M47" s="5" t="s">
        <v>43</v>
      </c>
      <c r="N47" s="5" t="s">
        <v>44</v>
      </c>
      <c r="O47" s="7">
        <v>113</v>
      </c>
      <c r="P47" s="5" t="s">
        <v>45</v>
      </c>
      <c r="Q47" s="22"/>
      <c r="R47" s="8">
        <f t="shared" si="0"/>
        <v>113</v>
      </c>
      <c r="S47" s="7">
        <v>113</v>
      </c>
      <c r="T47" s="7"/>
      <c r="U47" s="7">
        <f t="shared" si="2"/>
        <v>113</v>
      </c>
      <c r="V47" s="5" t="s">
        <v>45</v>
      </c>
      <c r="W47" s="7">
        <v>33.25</v>
      </c>
      <c r="X47" s="5" t="s">
        <v>46</v>
      </c>
      <c r="Z47" s="8">
        <f t="shared" si="1"/>
        <v>33.25</v>
      </c>
    </row>
    <row r="48" spans="1:26" x14ac:dyDescent="0.25">
      <c r="A48" s="5" t="s">
        <v>34</v>
      </c>
      <c r="B48" s="5" t="s">
        <v>120</v>
      </c>
      <c r="C48" s="5" t="s">
        <v>121</v>
      </c>
      <c r="D48" s="5" t="s">
        <v>37</v>
      </c>
      <c r="E48" s="5" t="s">
        <v>72</v>
      </c>
      <c r="F48" s="5" t="s">
        <v>73</v>
      </c>
      <c r="G48" s="5" t="s">
        <v>40</v>
      </c>
      <c r="H48" s="6">
        <v>45961</v>
      </c>
      <c r="I48" s="6">
        <v>45961</v>
      </c>
      <c r="J48" s="6">
        <v>45964</v>
      </c>
      <c r="K48" s="5" t="s">
        <v>41</v>
      </c>
      <c r="L48" s="5" t="s">
        <v>42</v>
      </c>
      <c r="M48" s="5" t="s">
        <v>43</v>
      </c>
      <c r="N48" s="5" t="s">
        <v>44</v>
      </c>
      <c r="O48" s="7">
        <v>113</v>
      </c>
      <c r="P48" s="5" t="s">
        <v>45</v>
      </c>
      <c r="Q48" s="22"/>
      <c r="R48" s="8">
        <f t="shared" si="0"/>
        <v>113</v>
      </c>
      <c r="S48" s="7">
        <v>113</v>
      </c>
      <c r="T48" s="7"/>
      <c r="U48" s="7">
        <f t="shared" si="2"/>
        <v>113</v>
      </c>
      <c r="V48" s="5" t="s">
        <v>45</v>
      </c>
      <c r="W48" s="7">
        <v>33.25</v>
      </c>
      <c r="X48" s="5" t="s">
        <v>46</v>
      </c>
      <c r="Z48" s="8">
        <f t="shared" si="1"/>
        <v>33.25</v>
      </c>
    </row>
    <row r="49" spans="1:26" x14ac:dyDescent="0.25">
      <c r="A49" s="5" t="s">
        <v>34</v>
      </c>
      <c r="B49" s="5" t="s">
        <v>120</v>
      </c>
      <c r="C49" s="5" t="s">
        <v>121</v>
      </c>
      <c r="D49" s="5" t="s">
        <v>37</v>
      </c>
      <c r="E49" s="5" t="s">
        <v>64</v>
      </c>
      <c r="F49" s="5" t="s">
        <v>65</v>
      </c>
      <c r="G49" s="5" t="s">
        <v>40</v>
      </c>
      <c r="H49" s="6">
        <v>45961</v>
      </c>
      <c r="I49" s="6">
        <v>45961</v>
      </c>
      <c r="J49" s="6">
        <v>45964</v>
      </c>
      <c r="K49" s="5" t="s">
        <v>41</v>
      </c>
      <c r="L49" s="5" t="s">
        <v>42</v>
      </c>
      <c r="M49" s="5" t="s">
        <v>43</v>
      </c>
      <c r="N49" s="5" t="s">
        <v>44</v>
      </c>
      <c r="O49" s="7">
        <v>113</v>
      </c>
      <c r="P49" s="5" t="s">
        <v>45</v>
      </c>
      <c r="Q49" s="22"/>
      <c r="R49" s="8">
        <f t="shared" si="0"/>
        <v>113</v>
      </c>
      <c r="S49" s="7">
        <v>113</v>
      </c>
      <c r="T49" s="7"/>
      <c r="U49" s="7">
        <f t="shared" si="2"/>
        <v>113</v>
      </c>
      <c r="V49" s="5" t="s">
        <v>45</v>
      </c>
      <c r="W49" s="7">
        <v>33.25</v>
      </c>
      <c r="X49" s="5" t="s">
        <v>46</v>
      </c>
      <c r="Z49" s="8">
        <f t="shared" si="1"/>
        <v>33.25</v>
      </c>
    </row>
    <row r="50" spans="1:26" x14ac:dyDescent="0.25">
      <c r="A50" s="5" t="s">
        <v>34</v>
      </c>
      <c r="B50" s="5" t="s">
        <v>120</v>
      </c>
      <c r="C50" s="5" t="s">
        <v>121</v>
      </c>
      <c r="D50" s="5" t="s">
        <v>37</v>
      </c>
      <c r="E50" s="5" t="s">
        <v>76</v>
      </c>
      <c r="F50" s="5" t="s">
        <v>77</v>
      </c>
      <c r="G50" s="5" t="s">
        <v>40</v>
      </c>
      <c r="H50" s="6">
        <v>45961</v>
      </c>
      <c r="I50" s="6">
        <v>45961</v>
      </c>
      <c r="J50" s="6">
        <v>45964</v>
      </c>
      <c r="K50" s="5" t="s">
        <v>41</v>
      </c>
      <c r="L50" s="5" t="s">
        <v>42</v>
      </c>
      <c r="M50" s="5" t="s">
        <v>43</v>
      </c>
      <c r="N50" s="5" t="s">
        <v>44</v>
      </c>
      <c r="O50" s="7">
        <v>113</v>
      </c>
      <c r="P50" s="5" t="s">
        <v>45</v>
      </c>
      <c r="Q50" s="22"/>
      <c r="R50" s="8">
        <f t="shared" si="0"/>
        <v>113</v>
      </c>
      <c r="S50" s="7">
        <v>113</v>
      </c>
      <c r="T50" s="7"/>
      <c r="U50" s="7">
        <f t="shared" si="2"/>
        <v>113</v>
      </c>
      <c r="V50" s="5" t="s">
        <v>45</v>
      </c>
      <c r="W50" s="7">
        <v>33.25</v>
      </c>
      <c r="X50" s="5" t="s">
        <v>46</v>
      </c>
      <c r="Z50" s="8">
        <f t="shared" si="1"/>
        <v>33.25</v>
      </c>
    </row>
    <row r="51" spans="1:26" x14ac:dyDescent="0.25">
      <c r="A51" s="5" t="s">
        <v>34</v>
      </c>
      <c r="B51" s="5" t="s">
        <v>120</v>
      </c>
      <c r="C51" s="5" t="s">
        <v>121</v>
      </c>
      <c r="D51" s="5" t="s">
        <v>37</v>
      </c>
      <c r="E51" s="5" t="s">
        <v>116</v>
      </c>
      <c r="F51" s="5" t="s">
        <v>117</v>
      </c>
      <c r="G51" s="5" t="s">
        <v>40</v>
      </c>
      <c r="H51" s="6">
        <v>45961</v>
      </c>
      <c r="I51" s="6">
        <v>45961</v>
      </c>
      <c r="J51" s="6">
        <v>45964</v>
      </c>
      <c r="K51" s="5" t="s">
        <v>41</v>
      </c>
      <c r="L51" s="5" t="s">
        <v>42</v>
      </c>
      <c r="M51" s="5" t="s">
        <v>43</v>
      </c>
      <c r="N51" s="5" t="s">
        <v>44</v>
      </c>
      <c r="O51" s="7">
        <v>226</v>
      </c>
      <c r="P51" s="5" t="s">
        <v>45</v>
      </c>
      <c r="Q51" s="22"/>
      <c r="R51" s="8">
        <f t="shared" si="0"/>
        <v>226</v>
      </c>
      <c r="S51" s="7">
        <v>226</v>
      </c>
      <c r="T51" s="7"/>
      <c r="U51" s="7">
        <f t="shared" si="2"/>
        <v>226</v>
      </c>
      <c r="V51" s="5" t="s">
        <v>45</v>
      </c>
      <c r="W51" s="7">
        <v>66.510000000000005</v>
      </c>
      <c r="X51" s="5" t="s">
        <v>46</v>
      </c>
      <c r="Z51" s="8">
        <f t="shared" si="1"/>
        <v>66.510000000000005</v>
      </c>
    </row>
    <row r="52" spans="1:26" x14ac:dyDescent="0.25">
      <c r="A52" s="5" t="s">
        <v>34</v>
      </c>
      <c r="B52" s="5" t="s">
        <v>120</v>
      </c>
      <c r="C52" s="5" t="s">
        <v>121</v>
      </c>
      <c r="D52" s="5" t="s">
        <v>37</v>
      </c>
      <c r="E52" s="5" t="s">
        <v>78</v>
      </c>
      <c r="F52" s="5" t="s">
        <v>79</v>
      </c>
      <c r="G52" s="5" t="s">
        <v>40</v>
      </c>
      <c r="H52" s="6">
        <v>45961</v>
      </c>
      <c r="I52" s="6">
        <v>45961</v>
      </c>
      <c r="J52" s="6">
        <v>45964</v>
      </c>
      <c r="K52" s="5" t="s">
        <v>41</v>
      </c>
      <c r="L52" s="5" t="s">
        <v>42</v>
      </c>
      <c r="M52" s="5" t="s">
        <v>43</v>
      </c>
      <c r="N52" s="5" t="s">
        <v>44</v>
      </c>
      <c r="O52" s="7">
        <v>113</v>
      </c>
      <c r="P52" s="5" t="s">
        <v>45</v>
      </c>
      <c r="Q52" s="22"/>
      <c r="R52" s="8">
        <f t="shared" si="0"/>
        <v>113</v>
      </c>
      <c r="S52" s="7">
        <v>113</v>
      </c>
      <c r="T52" s="7"/>
      <c r="U52" s="7">
        <f t="shared" si="2"/>
        <v>113</v>
      </c>
      <c r="V52" s="5" t="s">
        <v>45</v>
      </c>
      <c r="W52" s="7">
        <v>33.25</v>
      </c>
      <c r="X52" s="5" t="s">
        <v>46</v>
      </c>
      <c r="Z52" s="8">
        <f t="shared" si="1"/>
        <v>33.25</v>
      </c>
    </row>
    <row r="53" spans="1:26" x14ac:dyDescent="0.25">
      <c r="A53" s="5" t="s">
        <v>34</v>
      </c>
      <c r="B53" s="5" t="s">
        <v>120</v>
      </c>
      <c r="C53" s="5" t="s">
        <v>121</v>
      </c>
      <c r="D53" s="5" t="s">
        <v>37</v>
      </c>
      <c r="E53" s="5" t="s">
        <v>80</v>
      </c>
      <c r="F53" s="5" t="s">
        <v>81</v>
      </c>
      <c r="G53" s="5" t="s">
        <v>40</v>
      </c>
      <c r="H53" s="6">
        <v>45961</v>
      </c>
      <c r="I53" s="6">
        <v>45961</v>
      </c>
      <c r="J53" s="6">
        <v>45964</v>
      </c>
      <c r="K53" s="5" t="s">
        <v>41</v>
      </c>
      <c r="L53" s="5" t="s">
        <v>42</v>
      </c>
      <c r="M53" s="5" t="s">
        <v>43</v>
      </c>
      <c r="N53" s="5" t="s">
        <v>44</v>
      </c>
      <c r="O53" s="7">
        <v>226</v>
      </c>
      <c r="P53" s="5" t="s">
        <v>45</v>
      </c>
      <c r="Q53" s="22"/>
      <c r="R53" s="8">
        <f t="shared" si="0"/>
        <v>226</v>
      </c>
      <c r="S53" s="7">
        <v>226</v>
      </c>
      <c r="T53" s="7"/>
      <c r="U53" s="7">
        <f t="shared" si="2"/>
        <v>226</v>
      </c>
      <c r="V53" s="5" t="s">
        <v>45</v>
      </c>
      <c r="W53" s="7">
        <v>66.510000000000005</v>
      </c>
      <c r="X53" s="5" t="s">
        <v>46</v>
      </c>
      <c r="Z53" s="8">
        <f t="shared" si="1"/>
        <v>66.510000000000005</v>
      </c>
    </row>
    <row r="54" spans="1:26" x14ac:dyDescent="0.25">
      <c r="A54" s="5" t="s">
        <v>34</v>
      </c>
      <c r="B54" s="5" t="s">
        <v>120</v>
      </c>
      <c r="C54" s="5" t="s">
        <v>121</v>
      </c>
      <c r="D54" s="5" t="s">
        <v>37</v>
      </c>
      <c r="E54" s="5" t="s">
        <v>48</v>
      </c>
      <c r="F54" s="5" t="s">
        <v>49</v>
      </c>
      <c r="G54" s="5" t="s">
        <v>40</v>
      </c>
      <c r="H54" s="6">
        <v>45961</v>
      </c>
      <c r="I54" s="6">
        <v>45961</v>
      </c>
      <c r="J54" s="6">
        <v>45964</v>
      </c>
      <c r="K54" s="5" t="s">
        <v>41</v>
      </c>
      <c r="L54" s="5" t="s">
        <v>42</v>
      </c>
      <c r="M54" s="5" t="s">
        <v>43</v>
      </c>
      <c r="N54" s="5" t="s">
        <v>44</v>
      </c>
      <c r="O54" s="7">
        <v>226</v>
      </c>
      <c r="P54" s="5" t="s">
        <v>45</v>
      </c>
      <c r="Q54" s="22"/>
      <c r="R54" s="8">
        <f t="shared" si="0"/>
        <v>226</v>
      </c>
      <c r="S54" s="7">
        <v>226</v>
      </c>
      <c r="T54" s="7"/>
      <c r="U54" s="7">
        <f t="shared" si="2"/>
        <v>226</v>
      </c>
      <c r="V54" s="5" t="s">
        <v>45</v>
      </c>
      <c r="W54" s="7">
        <v>66.510000000000005</v>
      </c>
      <c r="X54" s="5" t="s">
        <v>46</v>
      </c>
      <c r="Z54" s="8">
        <f t="shared" si="1"/>
        <v>66.510000000000005</v>
      </c>
    </row>
    <row r="55" spans="1:26" x14ac:dyDescent="0.25">
      <c r="A55" s="5" t="s">
        <v>34</v>
      </c>
      <c r="B55" s="5" t="s">
        <v>120</v>
      </c>
      <c r="C55" s="5" t="s">
        <v>121</v>
      </c>
      <c r="D55" s="5" t="s">
        <v>37</v>
      </c>
      <c r="E55" s="5" t="s">
        <v>58</v>
      </c>
      <c r="F55" s="5" t="s">
        <v>59</v>
      </c>
      <c r="G55" s="5" t="s">
        <v>40</v>
      </c>
      <c r="H55" s="6">
        <v>45961</v>
      </c>
      <c r="I55" s="6">
        <v>45961</v>
      </c>
      <c r="J55" s="6">
        <v>45964</v>
      </c>
      <c r="K55" s="5" t="s">
        <v>41</v>
      </c>
      <c r="L55" s="5" t="s">
        <v>42</v>
      </c>
      <c r="M55" s="5" t="s">
        <v>43</v>
      </c>
      <c r="N55" s="5" t="s">
        <v>44</v>
      </c>
      <c r="O55" s="7">
        <v>226</v>
      </c>
      <c r="P55" s="5" t="s">
        <v>45</v>
      </c>
      <c r="Q55" s="22"/>
      <c r="R55" s="8">
        <f t="shared" si="0"/>
        <v>226</v>
      </c>
      <c r="S55" s="7">
        <v>226</v>
      </c>
      <c r="T55" s="7"/>
      <c r="U55" s="7">
        <f t="shared" si="2"/>
        <v>226</v>
      </c>
      <c r="V55" s="5" t="s">
        <v>45</v>
      </c>
      <c r="W55" s="7">
        <v>66.510000000000005</v>
      </c>
      <c r="X55" s="5" t="s">
        <v>46</v>
      </c>
      <c r="Z55" s="8">
        <f t="shared" si="1"/>
        <v>66.510000000000005</v>
      </c>
    </row>
    <row r="56" spans="1:26" x14ac:dyDescent="0.25">
      <c r="A56" s="5" t="s">
        <v>34</v>
      </c>
      <c r="B56" s="5" t="s">
        <v>120</v>
      </c>
      <c r="C56" s="5" t="s">
        <v>121</v>
      </c>
      <c r="D56" s="5" t="s">
        <v>37</v>
      </c>
      <c r="E56" s="5" t="s">
        <v>90</v>
      </c>
      <c r="F56" s="5" t="s">
        <v>91</v>
      </c>
      <c r="G56" s="5" t="s">
        <v>40</v>
      </c>
      <c r="H56" s="6">
        <v>45961</v>
      </c>
      <c r="I56" s="6">
        <v>45961</v>
      </c>
      <c r="J56" s="6">
        <v>45964</v>
      </c>
      <c r="K56" s="5" t="s">
        <v>41</v>
      </c>
      <c r="L56" s="5" t="s">
        <v>42</v>
      </c>
      <c r="M56" s="5" t="s">
        <v>43</v>
      </c>
      <c r="N56" s="5" t="s">
        <v>44</v>
      </c>
      <c r="O56" s="7">
        <v>226</v>
      </c>
      <c r="P56" s="5" t="s">
        <v>45</v>
      </c>
      <c r="Q56" s="22"/>
      <c r="R56" s="8">
        <f t="shared" si="0"/>
        <v>226</v>
      </c>
      <c r="S56" s="7">
        <v>226</v>
      </c>
      <c r="T56" s="7"/>
      <c r="U56" s="7">
        <f t="shared" si="2"/>
        <v>226</v>
      </c>
      <c r="V56" s="5" t="s">
        <v>45</v>
      </c>
      <c r="W56" s="7">
        <v>66.510000000000005</v>
      </c>
      <c r="X56" s="5" t="s">
        <v>46</v>
      </c>
      <c r="Z56" s="8">
        <f t="shared" si="1"/>
        <v>66.510000000000005</v>
      </c>
    </row>
    <row r="57" spans="1:26" x14ac:dyDescent="0.25">
      <c r="A57" s="5" t="s">
        <v>34</v>
      </c>
      <c r="B57" s="5" t="s">
        <v>120</v>
      </c>
      <c r="C57" s="5" t="s">
        <v>121</v>
      </c>
      <c r="D57" s="5" t="s">
        <v>37</v>
      </c>
      <c r="E57" s="5" t="s">
        <v>104</v>
      </c>
      <c r="F57" s="5" t="s">
        <v>105</v>
      </c>
      <c r="G57" s="5" t="s">
        <v>40</v>
      </c>
      <c r="H57" s="6">
        <v>45961</v>
      </c>
      <c r="I57" s="6">
        <v>45961</v>
      </c>
      <c r="J57" s="6">
        <v>45964</v>
      </c>
      <c r="K57" s="5" t="s">
        <v>41</v>
      </c>
      <c r="L57" s="5" t="s">
        <v>42</v>
      </c>
      <c r="M57" s="5" t="s">
        <v>43</v>
      </c>
      <c r="N57" s="5" t="s">
        <v>44</v>
      </c>
      <c r="O57" s="7">
        <v>339</v>
      </c>
      <c r="P57" s="5" t="s">
        <v>45</v>
      </c>
      <c r="Q57" s="22"/>
      <c r="R57" s="8">
        <f t="shared" si="0"/>
        <v>339</v>
      </c>
      <c r="S57" s="7">
        <v>339</v>
      </c>
      <c r="T57" s="7"/>
      <c r="U57" s="7">
        <f t="shared" si="2"/>
        <v>339</v>
      </c>
      <c r="V57" s="5" t="s">
        <v>45</v>
      </c>
      <c r="W57" s="7">
        <v>99.76</v>
      </c>
      <c r="X57" s="5" t="s">
        <v>46</v>
      </c>
      <c r="Z57" s="8">
        <f t="shared" si="1"/>
        <v>99.76</v>
      </c>
    </row>
    <row r="58" spans="1:26" x14ac:dyDescent="0.25">
      <c r="A58" s="5" t="s">
        <v>34</v>
      </c>
      <c r="B58" s="5" t="s">
        <v>120</v>
      </c>
      <c r="C58" s="5" t="s">
        <v>121</v>
      </c>
      <c r="D58" s="5" t="s">
        <v>37</v>
      </c>
      <c r="E58" s="5" t="s">
        <v>96</v>
      </c>
      <c r="F58" s="5" t="s">
        <v>97</v>
      </c>
      <c r="G58" s="5" t="s">
        <v>40</v>
      </c>
      <c r="H58" s="6">
        <v>45961</v>
      </c>
      <c r="I58" s="6">
        <v>45961</v>
      </c>
      <c r="J58" s="6">
        <v>45964</v>
      </c>
      <c r="K58" s="5" t="s">
        <v>41</v>
      </c>
      <c r="L58" s="5" t="s">
        <v>42</v>
      </c>
      <c r="M58" s="5" t="s">
        <v>43</v>
      </c>
      <c r="N58" s="5" t="s">
        <v>44</v>
      </c>
      <c r="O58" s="7">
        <v>904</v>
      </c>
      <c r="P58" s="5" t="s">
        <v>45</v>
      </c>
      <c r="Q58" s="22"/>
      <c r="R58" s="8">
        <f t="shared" si="0"/>
        <v>904</v>
      </c>
      <c r="S58" s="7">
        <v>904</v>
      </c>
      <c r="T58" s="7"/>
      <c r="U58" s="7">
        <f t="shared" si="2"/>
        <v>904</v>
      </c>
      <c r="V58" s="5" t="s">
        <v>45</v>
      </c>
      <c r="W58" s="7">
        <v>266.04000000000002</v>
      </c>
      <c r="X58" s="5" t="s">
        <v>46</v>
      </c>
      <c r="Z58" s="8">
        <f t="shared" si="1"/>
        <v>266.04000000000002</v>
      </c>
    </row>
    <row r="59" spans="1:26" x14ac:dyDescent="0.25">
      <c r="A59" s="5" t="s">
        <v>34</v>
      </c>
      <c r="B59" s="5" t="s">
        <v>120</v>
      </c>
      <c r="C59" s="5" t="s">
        <v>121</v>
      </c>
      <c r="D59" s="5" t="s">
        <v>37</v>
      </c>
      <c r="E59" s="5" t="s">
        <v>50</v>
      </c>
      <c r="F59" s="5" t="s">
        <v>51</v>
      </c>
      <c r="G59" s="5" t="s">
        <v>40</v>
      </c>
      <c r="H59" s="6">
        <v>45961</v>
      </c>
      <c r="I59" s="6">
        <v>45961</v>
      </c>
      <c r="J59" s="6">
        <v>45964</v>
      </c>
      <c r="K59" s="5" t="s">
        <v>41</v>
      </c>
      <c r="L59" s="5" t="s">
        <v>42</v>
      </c>
      <c r="M59" s="5" t="s">
        <v>43</v>
      </c>
      <c r="N59" s="5" t="s">
        <v>44</v>
      </c>
      <c r="O59" s="7">
        <v>226</v>
      </c>
      <c r="P59" s="5" t="s">
        <v>45</v>
      </c>
      <c r="Q59" s="22"/>
      <c r="R59" s="8">
        <f t="shared" si="0"/>
        <v>226</v>
      </c>
      <c r="S59" s="7">
        <v>226</v>
      </c>
      <c r="T59" s="7"/>
      <c r="U59" s="7">
        <f t="shared" si="2"/>
        <v>226</v>
      </c>
      <c r="V59" s="5" t="s">
        <v>45</v>
      </c>
      <c r="W59" s="7">
        <v>66.510000000000005</v>
      </c>
      <c r="X59" s="5" t="s">
        <v>46</v>
      </c>
      <c r="Z59" s="8">
        <f t="shared" si="1"/>
        <v>66.510000000000005</v>
      </c>
    </row>
    <row r="60" spans="1:26" x14ac:dyDescent="0.25">
      <c r="A60" s="5" t="s">
        <v>34</v>
      </c>
      <c r="B60" s="5" t="s">
        <v>120</v>
      </c>
      <c r="C60" s="5" t="s">
        <v>121</v>
      </c>
      <c r="D60" s="5" t="s">
        <v>37</v>
      </c>
      <c r="E60" s="5" t="s">
        <v>98</v>
      </c>
      <c r="F60" s="5" t="s">
        <v>99</v>
      </c>
      <c r="G60" s="5" t="s">
        <v>40</v>
      </c>
      <c r="H60" s="6">
        <v>45961</v>
      </c>
      <c r="I60" s="6">
        <v>45961</v>
      </c>
      <c r="J60" s="6">
        <v>45964</v>
      </c>
      <c r="K60" s="5" t="s">
        <v>41</v>
      </c>
      <c r="L60" s="5" t="s">
        <v>42</v>
      </c>
      <c r="M60" s="5" t="s">
        <v>43</v>
      </c>
      <c r="N60" s="5" t="s">
        <v>44</v>
      </c>
      <c r="O60" s="7">
        <v>226</v>
      </c>
      <c r="P60" s="5" t="s">
        <v>45</v>
      </c>
      <c r="Q60" s="22"/>
      <c r="R60" s="8">
        <f t="shared" si="0"/>
        <v>226</v>
      </c>
      <c r="S60" s="7">
        <v>226</v>
      </c>
      <c r="T60" s="7"/>
      <c r="U60" s="7">
        <f t="shared" si="2"/>
        <v>226</v>
      </c>
      <c r="V60" s="5" t="s">
        <v>45</v>
      </c>
      <c r="W60" s="7">
        <v>66.510000000000005</v>
      </c>
      <c r="X60" s="5" t="s">
        <v>46</v>
      </c>
      <c r="Z60" s="8">
        <f t="shared" si="1"/>
        <v>66.510000000000005</v>
      </c>
    </row>
    <row r="61" spans="1:26" x14ac:dyDescent="0.25">
      <c r="A61" s="5" t="s">
        <v>34</v>
      </c>
      <c r="B61" s="5" t="s">
        <v>120</v>
      </c>
      <c r="C61" s="5" t="s">
        <v>121</v>
      </c>
      <c r="D61" s="5" t="s">
        <v>37</v>
      </c>
      <c r="E61" s="5" t="s">
        <v>86</v>
      </c>
      <c r="F61" s="5" t="s">
        <v>87</v>
      </c>
      <c r="G61" s="5" t="s">
        <v>40</v>
      </c>
      <c r="H61" s="6">
        <v>45961</v>
      </c>
      <c r="I61" s="6">
        <v>45961</v>
      </c>
      <c r="J61" s="6">
        <v>45964</v>
      </c>
      <c r="K61" s="5" t="s">
        <v>41</v>
      </c>
      <c r="L61" s="5" t="s">
        <v>42</v>
      </c>
      <c r="M61" s="5" t="s">
        <v>43</v>
      </c>
      <c r="N61" s="5" t="s">
        <v>44</v>
      </c>
      <c r="O61" s="7">
        <v>113</v>
      </c>
      <c r="P61" s="5" t="s">
        <v>45</v>
      </c>
      <c r="Q61" s="22"/>
      <c r="R61" s="8">
        <f t="shared" si="0"/>
        <v>113</v>
      </c>
      <c r="S61" s="7">
        <v>113</v>
      </c>
      <c r="T61" s="7"/>
      <c r="U61" s="7">
        <f t="shared" si="2"/>
        <v>113</v>
      </c>
      <c r="V61" s="5" t="s">
        <v>45</v>
      </c>
      <c r="W61" s="7">
        <v>33.25</v>
      </c>
      <c r="X61" s="5" t="s">
        <v>46</v>
      </c>
      <c r="Z61" s="8">
        <f t="shared" si="1"/>
        <v>33.25</v>
      </c>
    </row>
    <row r="62" spans="1:26" x14ac:dyDescent="0.25">
      <c r="A62" s="5" t="s">
        <v>34</v>
      </c>
      <c r="B62" s="5" t="s">
        <v>120</v>
      </c>
      <c r="C62" s="5" t="s">
        <v>121</v>
      </c>
      <c r="D62" s="5" t="s">
        <v>37</v>
      </c>
      <c r="E62" s="5" t="s">
        <v>68</v>
      </c>
      <c r="F62" s="5" t="s">
        <v>69</v>
      </c>
      <c r="G62" s="5" t="s">
        <v>40</v>
      </c>
      <c r="H62" s="6">
        <v>45961</v>
      </c>
      <c r="I62" s="6">
        <v>45961</v>
      </c>
      <c r="J62" s="6">
        <v>45964</v>
      </c>
      <c r="K62" s="5" t="s">
        <v>41</v>
      </c>
      <c r="L62" s="5" t="s">
        <v>42</v>
      </c>
      <c r="M62" s="5" t="s">
        <v>43</v>
      </c>
      <c r="N62" s="5" t="s">
        <v>44</v>
      </c>
      <c r="O62" s="7">
        <v>113</v>
      </c>
      <c r="P62" s="5" t="s">
        <v>45</v>
      </c>
      <c r="Q62" s="22"/>
      <c r="R62" s="8">
        <f t="shared" si="0"/>
        <v>113</v>
      </c>
      <c r="S62" s="7">
        <v>113</v>
      </c>
      <c r="T62" s="7"/>
      <c r="U62" s="7">
        <f t="shared" si="2"/>
        <v>113</v>
      </c>
      <c r="V62" s="5" t="s">
        <v>45</v>
      </c>
      <c r="W62" s="7">
        <v>33.25</v>
      </c>
      <c r="X62" s="5" t="s">
        <v>46</v>
      </c>
      <c r="Z62" s="8">
        <f t="shared" si="1"/>
        <v>33.25</v>
      </c>
    </row>
    <row r="63" spans="1:26" x14ac:dyDescent="0.25">
      <c r="A63" s="5" t="s">
        <v>34</v>
      </c>
      <c r="B63" s="5" t="s">
        <v>120</v>
      </c>
      <c r="C63" s="5" t="s">
        <v>121</v>
      </c>
      <c r="D63" s="5" t="s">
        <v>37</v>
      </c>
      <c r="E63" s="5" t="s">
        <v>54</v>
      </c>
      <c r="F63" s="5" t="s">
        <v>55</v>
      </c>
      <c r="G63" s="5" t="s">
        <v>40</v>
      </c>
      <c r="H63" s="6">
        <v>45961</v>
      </c>
      <c r="I63" s="6">
        <v>45961</v>
      </c>
      <c r="J63" s="6">
        <v>45964</v>
      </c>
      <c r="K63" s="5" t="s">
        <v>41</v>
      </c>
      <c r="L63" s="5" t="s">
        <v>42</v>
      </c>
      <c r="M63" s="5" t="s">
        <v>43</v>
      </c>
      <c r="N63" s="5" t="s">
        <v>44</v>
      </c>
      <c r="O63" s="7">
        <v>113</v>
      </c>
      <c r="P63" s="5" t="s">
        <v>45</v>
      </c>
      <c r="Q63" s="22"/>
      <c r="R63" s="8">
        <f t="shared" si="0"/>
        <v>113</v>
      </c>
      <c r="S63" s="7">
        <v>113</v>
      </c>
      <c r="T63" s="7"/>
      <c r="U63" s="7">
        <f t="shared" si="2"/>
        <v>113</v>
      </c>
      <c r="V63" s="5" t="s">
        <v>45</v>
      </c>
      <c r="W63" s="7">
        <v>33.25</v>
      </c>
      <c r="X63" s="5" t="s">
        <v>46</v>
      </c>
      <c r="Z63" s="8">
        <f t="shared" si="1"/>
        <v>33.25</v>
      </c>
    </row>
    <row r="64" spans="1:26" x14ac:dyDescent="0.25">
      <c r="A64" s="5" t="s">
        <v>34</v>
      </c>
      <c r="B64" s="5" t="s">
        <v>120</v>
      </c>
      <c r="C64" s="5" t="s">
        <v>121</v>
      </c>
      <c r="D64" s="5" t="s">
        <v>37</v>
      </c>
      <c r="E64" s="5" t="s">
        <v>94</v>
      </c>
      <c r="F64" s="5" t="s">
        <v>95</v>
      </c>
      <c r="G64" s="5" t="s">
        <v>40</v>
      </c>
      <c r="H64" s="6">
        <v>45961</v>
      </c>
      <c r="I64" s="6">
        <v>45961</v>
      </c>
      <c r="J64" s="6">
        <v>45964</v>
      </c>
      <c r="K64" s="5" t="s">
        <v>41</v>
      </c>
      <c r="L64" s="5" t="s">
        <v>42</v>
      </c>
      <c r="M64" s="5" t="s">
        <v>43</v>
      </c>
      <c r="N64" s="5" t="s">
        <v>44</v>
      </c>
      <c r="O64" s="7">
        <v>565</v>
      </c>
      <c r="P64" s="5" t="s">
        <v>45</v>
      </c>
      <c r="Q64" s="22"/>
      <c r="R64" s="8">
        <f t="shared" si="0"/>
        <v>565</v>
      </c>
      <c r="S64" s="7">
        <v>565</v>
      </c>
      <c r="T64" s="7"/>
      <c r="U64" s="7">
        <f t="shared" si="2"/>
        <v>565</v>
      </c>
      <c r="V64" s="5" t="s">
        <v>45</v>
      </c>
      <c r="W64" s="7">
        <v>166.27</v>
      </c>
      <c r="X64" s="5" t="s">
        <v>46</v>
      </c>
      <c r="Z64" s="8">
        <f t="shared" si="1"/>
        <v>166.27</v>
      </c>
    </row>
    <row r="65" spans="1:26" x14ac:dyDescent="0.25">
      <c r="A65" s="5" t="s">
        <v>34</v>
      </c>
      <c r="B65" s="5" t="s">
        <v>120</v>
      </c>
      <c r="C65" s="5" t="s">
        <v>121</v>
      </c>
      <c r="D65" s="5" t="s">
        <v>37</v>
      </c>
      <c r="E65" s="5" t="s">
        <v>108</v>
      </c>
      <c r="F65" s="5" t="s">
        <v>109</v>
      </c>
      <c r="G65" s="5" t="s">
        <v>40</v>
      </c>
      <c r="H65" s="6">
        <v>45961</v>
      </c>
      <c r="I65" s="6">
        <v>45961</v>
      </c>
      <c r="J65" s="6">
        <v>45964</v>
      </c>
      <c r="K65" s="5" t="s">
        <v>41</v>
      </c>
      <c r="L65" s="5" t="s">
        <v>42</v>
      </c>
      <c r="M65" s="5" t="s">
        <v>43</v>
      </c>
      <c r="N65" s="5" t="s">
        <v>44</v>
      </c>
      <c r="O65" s="7">
        <v>113</v>
      </c>
      <c r="P65" s="5" t="s">
        <v>45</v>
      </c>
      <c r="Q65" s="22"/>
      <c r="R65" s="8">
        <f t="shared" si="0"/>
        <v>113</v>
      </c>
      <c r="S65" s="7">
        <v>113</v>
      </c>
      <c r="T65" s="7"/>
      <c r="U65" s="7">
        <f t="shared" si="2"/>
        <v>113</v>
      </c>
      <c r="V65" s="5" t="s">
        <v>45</v>
      </c>
      <c r="W65" s="7">
        <v>33.25</v>
      </c>
      <c r="X65" s="5" t="s">
        <v>46</v>
      </c>
      <c r="Z65" s="8">
        <f t="shared" si="1"/>
        <v>33.25</v>
      </c>
    </row>
    <row r="66" spans="1:26" x14ac:dyDescent="0.25">
      <c r="A66" s="5" t="s">
        <v>34</v>
      </c>
      <c r="B66" s="5" t="s">
        <v>120</v>
      </c>
      <c r="C66" s="5" t="s">
        <v>121</v>
      </c>
      <c r="D66" s="5" t="s">
        <v>37</v>
      </c>
      <c r="E66" s="5" t="s">
        <v>60</v>
      </c>
      <c r="F66" s="5" t="s">
        <v>61</v>
      </c>
      <c r="G66" s="5" t="s">
        <v>40</v>
      </c>
      <c r="H66" s="6">
        <v>45961</v>
      </c>
      <c r="I66" s="6">
        <v>45961</v>
      </c>
      <c r="J66" s="6">
        <v>45964</v>
      </c>
      <c r="K66" s="5" t="s">
        <v>41</v>
      </c>
      <c r="L66" s="5" t="s">
        <v>42</v>
      </c>
      <c r="M66" s="5" t="s">
        <v>43</v>
      </c>
      <c r="N66" s="5" t="s">
        <v>44</v>
      </c>
      <c r="O66" s="7">
        <v>678</v>
      </c>
      <c r="P66" s="5" t="s">
        <v>45</v>
      </c>
      <c r="Q66" s="22"/>
      <c r="R66" s="8">
        <f t="shared" ref="R66:R129" si="3">+O66+Q66</f>
        <v>678</v>
      </c>
      <c r="S66" s="7">
        <v>678</v>
      </c>
      <c r="T66" s="7"/>
      <c r="U66" s="7">
        <f t="shared" si="2"/>
        <v>678</v>
      </c>
      <c r="V66" s="5" t="s">
        <v>45</v>
      </c>
      <c r="W66" s="7">
        <v>199.53</v>
      </c>
      <c r="X66" s="5" t="s">
        <v>46</v>
      </c>
      <c r="Z66" s="8">
        <f t="shared" ref="Z66:Z129" si="4">+W66+Y66</f>
        <v>199.53</v>
      </c>
    </row>
    <row r="67" spans="1:26" x14ac:dyDescent="0.25">
      <c r="A67" s="5" t="s">
        <v>34</v>
      </c>
      <c r="B67" s="5" t="s">
        <v>120</v>
      </c>
      <c r="C67" s="5" t="s">
        <v>121</v>
      </c>
      <c r="D67" s="5" t="s">
        <v>37</v>
      </c>
      <c r="E67" s="5" t="s">
        <v>100</v>
      </c>
      <c r="F67" s="5" t="s">
        <v>101</v>
      </c>
      <c r="G67" s="5" t="s">
        <v>40</v>
      </c>
      <c r="H67" s="6">
        <v>45961</v>
      </c>
      <c r="I67" s="6">
        <v>45961</v>
      </c>
      <c r="J67" s="6">
        <v>45964</v>
      </c>
      <c r="K67" s="5" t="s">
        <v>41</v>
      </c>
      <c r="L67" s="5" t="s">
        <v>42</v>
      </c>
      <c r="M67" s="5" t="s">
        <v>43</v>
      </c>
      <c r="N67" s="5" t="s">
        <v>44</v>
      </c>
      <c r="O67" s="7">
        <v>226</v>
      </c>
      <c r="P67" s="5" t="s">
        <v>45</v>
      </c>
      <c r="Q67" s="22"/>
      <c r="R67" s="8">
        <f t="shared" si="3"/>
        <v>226</v>
      </c>
      <c r="S67" s="7">
        <v>226</v>
      </c>
      <c r="T67" s="7"/>
      <c r="U67" s="7">
        <f t="shared" ref="U67:U130" si="5">+S67+T67</f>
        <v>226</v>
      </c>
      <c r="V67" s="5" t="s">
        <v>45</v>
      </c>
      <c r="W67" s="7">
        <v>66.510000000000005</v>
      </c>
      <c r="X67" s="5" t="s">
        <v>46</v>
      </c>
      <c r="Z67" s="8">
        <f t="shared" si="4"/>
        <v>66.510000000000005</v>
      </c>
    </row>
    <row r="68" spans="1:26" x14ac:dyDescent="0.25">
      <c r="A68" s="5" t="s">
        <v>34</v>
      </c>
      <c r="B68" s="5" t="s">
        <v>120</v>
      </c>
      <c r="C68" s="5" t="s">
        <v>121</v>
      </c>
      <c r="D68" s="5" t="s">
        <v>37</v>
      </c>
      <c r="E68" s="5" t="s">
        <v>122</v>
      </c>
      <c r="F68" s="5" t="s">
        <v>123</v>
      </c>
      <c r="G68" s="5" t="s">
        <v>40</v>
      </c>
      <c r="H68" s="6">
        <v>45961</v>
      </c>
      <c r="I68" s="6">
        <v>45961</v>
      </c>
      <c r="J68" s="6">
        <v>45964</v>
      </c>
      <c r="K68" s="5" t="s">
        <v>41</v>
      </c>
      <c r="L68" s="5" t="s">
        <v>42</v>
      </c>
      <c r="M68" s="5" t="s">
        <v>43</v>
      </c>
      <c r="N68" s="5" t="s">
        <v>44</v>
      </c>
      <c r="O68" s="7">
        <v>113</v>
      </c>
      <c r="P68" s="5" t="s">
        <v>45</v>
      </c>
      <c r="Q68" s="22"/>
      <c r="R68" s="8">
        <f t="shared" si="3"/>
        <v>113</v>
      </c>
      <c r="S68" s="7">
        <v>113</v>
      </c>
      <c r="T68" s="7"/>
      <c r="U68" s="7">
        <f t="shared" si="5"/>
        <v>113</v>
      </c>
      <c r="V68" s="5" t="s">
        <v>45</v>
      </c>
      <c r="W68" s="7">
        <v>33.25</v>
      </c>
      <c r="X68" s="5" t="s">
        <v>46</v>
      </c>
      <c r="Z68" s="8">
        <f t="shared" si="4"/>
        <v>33.25</v>
      </c>
    </row>
    <row r="69" spans="1:26" x14ac:dyDescent="0.25">
      <c r="A69" s="5" t="s">
        <v>34</v>
      </c>
      <c r="B69" s="5" t="s">
        <v>120</v>
      </c>
      <c r="C69" s="5" t="s">
        <v>121</v>
      </c>
      <c r="D69" s="5" t="s">
        <v>37</v>
      </c>
      <c r="E69" s="5" t="s">
        <v>66</v>
      </c>
      <c r="F69" s="5" t="s">
        <v>67</v>
      </c>
      <c r="G69" s="5" t="s">
        <v>40</v>
      </c>
      <c r="H69" s="6">
        <v>45961</v>
      </c>
      <c r="I69" s="6">
        <v>45961</v>
      </c>
      <c r="J69" s="6">
        <v>45964</v>
      </c>
      <c r="K69" s="5" t="s">
        <v>41</v>
      </c>
      <c r="L69" s="5" t="s">
        <v>42</v>
      </c>
      <c r="M69" s="5" t="s">
        <v>43</v>
      </c>
      <c r="N69" s="5" t="s">
        <v>44</v>
      </c>
      <c r="O69" s="7">
        <v>113</v>
      </c>
      <c r="P69" s="5" t="s">
        <v>45</v>
      </c>
      <c r="Q69" s="22"/>
      <c r="R69" s="8">
        <f t="shared" si="3"/>
        <v>113</v>
      </c>
      <c r="S69" s="7">
        <v>113</v>
      </c>
      <c r="T69" s="7"/>
      <c r="U69" s="7">
        <f t="shared" si="5"/>
        <v>113</v>
      </c>
      <c r="V69" s="5" t="s">
        <v>45</v>
      </c>
      <c r="W69" s="7">
        <v>33.25</v>
      </c>
      <c r="X69" s="5" t="s">
        <v>46</v>
      </c>
      <c r="Z69" s="8">
        <f t="shared" si="4"/>
        <v>33.25</v>
      </c>
    </row>
    <row r="70" spans="1:26" x14ac:dyDescent="0.25">
      <c r="A70" s="5" t="s">
        <v>34</v>
      </c>
      <c r="B70" s="5" t="s">
        <v>120</v>
      </c>
      <c r="C70" s="5" t="s">
        <v>121</v>
      </c>
      <c r="D70" s="5" t="s">
        <v>37</v>
      </c>
      <c r="E70" s="5" t="s">
        <v>112</v>
      </c>
      <c r="F70" s="5" t="s">
        <v>113</v>
      </c>
      <c r="G70" s="5" t="s">
        <v>40</v>
      </c>
      <c r="H70" s="6">
        <v>45961</v>
      </c>
      <c r="I70" s="6">
        <v>45961</v>
      </c>
      <c r="J70" s="6">
        <v>45964</v>
      </c>
      <c r="K70" s="5" t="s">
        <v>41</v>
      </c>
      <c r="L70" s="5" t="s">
        <v>42</v>
      </c>
      <c r="M70" s="5" t="s">
        <v>43</v>
      </c>
      <c r="N70" s="5" t="s">
        <v>44</v>
      </c>
      <c r="O70" s="7">
        <v>113</v>
      </c>
      <c r="P70" s="5" t="s">
        <v>45</v>
      </c>
      <c r="Q70" s="22"/>
      <c r="R70" s="8">
        <f t="shared" si="3"/>
        <v>113</v>
      </c>
      <c r="S70" s="7">
        <v>113</v>
      </c>
      <c r="T70" s="7"/>
      <c r="U70" s="7">
        <f t="shared" si="5"/>
        <v>113</v>
      </c>
      <c r="V70" s="5" t="s">
        <v>45</v>
      </c>
      <c r="W70" s="7">
        <v>33.25</v>
      </c>
      <c r="X70" s="5" t="s">
        <v>46</v>
      </c>
      <c r="Z70" s="8">
        <f t="shared" si="4"/>
        <v>33.25</v>
      </c>
    </row>
    <row r="71" spans="1:26" x14ac:dyDescent="0.25">
      <c r="A71" s="5" t="s">
        <v>34</v>
      </c>
      <c r="B71" s="5" t="s">
        <v>120</v>
      </c>
      <c r="C71" s="5" t="s">
        <v>121</v>
      </c>
      <c r="D71" s="5" t="s">
        <v>37</v>
      </c>
      <c r="E71" s="5" t="s">
        <v>38</v>
      </c>
      <c r="F71" s="5" t="s">
        <v>39</v>
      </c>
      <c r="G71" s="5" t="s">
        <v>40</v>
      </c>
      <c r="H71" s="6">
        <v>45961</v>
      </c>
      <c r="I71" s="6">
        <v>45961</v>
      </c>
      <c r="J71" s="6">
        <v>45964</v>
      </c>
      <c r="K71" s="5" t="s">
        <v>41</v>
      </c>
      <c r="L71" s="5" t="s">
        <v>42</v>
      </c>
      <c r="M71" s="5" t="s">
        <v>43</v>
      </c>
      <c r="N71" s="5" t="s">
        <v>44</v>
      </c>
      <c r="O71" s="7">
        <v>113</v>
      </c>
      <c r="P71" s="5" t="s">
        <v>45</v>
      </c>
      <c r="Q71" s="22"/>
      <c r="R71" s="8">
        <f t="shared" si="3"/>
        <v>113</v>
      </c>
      <c r="S71" s="7">
        <v>113</v>
      </c>
      <c r="T71" s="7"/>
      <c r="U71" s="7">
        <f t="shared" si="5"/>
        <v>113</v>
      </c>
      <c r="V71" s="5" t="s">
        <v>45</v>
      </c>
      <c r="W71" s="7">
        <v>33.25</v>
      </c>
      <c r="X71" s="5" t="s">
        <v>46</v>
      </c>
      <c r="Z71" s="8">
        <f t="shared" si="4"/>
        <v>33.25</v>
      </c>
    </row>
    <row r="72" spans="1:26" x14ac:dyDescent="0.25">
      <c r="A72" s="5" t="s">
        <v>34</v>
      </c>
      <c r="B72" s="5" t="s">
        <v>120</v>
      </c>
      <c r="C72" s="5" t="s">
        <v>121</v>
      </c>
      <c r="D72" s="5" t="s">
        <v>37</v>
      </c>
      <c r="E72" s="5" t="s">
        <v>110</v>
      </c>
      <c r="F72" s="5" t="s">
        <v>111</v>
      </c>
      <c r="G72" s="5" t="s">
        <v>40</v>
      </c>
      <c r="H72" s="6">
        <v>45961</v>
      </c>
      <c r="I72" s="6">
        <v>45961</v>
      </c>
      <c r="J72" s="6">
        <v>45964</v>
      </c>
      <c r="K72" s="5" t="s">
        <v>41</v>
      </c>
      <c r="L72" s="5" t="s">
        <v>42</v>
      </c>
      <c r="M72" s="5" t="s">
        <v>43</v>
      </c>
      <c r="N72" s="5" t="s">
        <v>44</v>
      </c>
      <c r="O72" s="7">
        <v>226</v>
      </c>
      <c r="P72" s="5" t="s">
        <v>45</v>
      </c>
      <c r="Q72" s="22"/>
      <c r="R72" s="8">
        <f t="shared" si="3"/>
        <v>226</v>
      </c>
      <c r="S72" s="7">
        <v>226</v>
      </c>
      <c r="T72" s="7"/>
      <c r="U72" s="7">
        <f t="shared" si="5"/>
        <v>226</v>
      </c>
      <c r="V72" s="5" t="s">
        <v>45</v>
      </c>
      <c r="W72" s="7">
        <v>66.510000000000005</v>
      </c>
      <c r="X72" s="5" t="s">
        <v>46</v>
      </c>
      <c r="Z72" s="8">
        <f t="shared" si="4"/>
        <v>66.510000000000005</v>
      </c>
    </row>
    <row r="73" spans="1:26" x14ac:dyDescent="0.25">
      <c r="A73" s="5" t="s">
        <v>34</v>
      </c>
      <c r="B73" s="5" t="s">
        <v>120</v>
      </c>
      <c r="C73" s="5" t="s">
        <v>121</v>
      </c>
      <c r="D73" s="5" t="s">
        <v>37</v>
      </c>
      <c r="E73" s="5" t="s">
        <v>102</v>
      </c>
      <c r="F73" s="5" t="s">
        <v>103</v>
      </c>
      <c r="G73" s="5" t="s">
        <v>40</v>
      </c>
      <c r="H73" s="6">
        <v>45961</v>
      </c>
      <c r="I73" s="6">
        <v>45961</v>
      </c>
      <c r="J73" s="6">
        <v>45964</v>
      </c>
      <c r="K73" s="5" t="s">
        <v>41</v>
      </c>
      <c r="L73" s="5" t="s">
        <v>42</v>
      </c>
      <c r="M73" s="5" t="s">
        <v>43</v>
      </c>
      <c r="N73" s="5" t="s">
        <v>44</v>
      </c>
      <c r="O73" s="7">
        <v>113</v>
      </c>
      <c r="P73" s="5" t="s">
        <v>45</v>
      </c>
      <c r="Q73" s="22"/>
      <c r="R73" s="8">
        <f t="shared" si="3"/>
        <v>113</v>
      </c>
      <c r="S73" s="7">
        <v>113</v>
      </c>
      <c r="T73" s="7"/>
      <c r="U73" s="7">
        <f t="shared" si="5"/>
        <v>113</v>
      </c>
      <c r="V73" s="5" t="s">
        <v>45</v>
      </c>
      <c r="W73" s="7">
        <v>33.25</v>
      </c>
      <c r="X73" s="5" t="s">
        <v>46</v>
      </c>
      <c r="Z73" s="8">
        <f t="shared" si="4"/>
        <v>33.25</v>
      </c>
    </row>
    <row r="74" spans="1:26" x14ac:dyDescent="0.25">
      <c r="A74" s="5" t="s">
        <v>34</v>
      </c>
      <c r="B74" s="5" t="s">
        <v>124</v>
      </c>
      <c r="C74" s="5" t="s">
        <v>125</v>
      </c>
      <c r="D74" s="5" t="s">
        <v>37</v>
      </c>
      <c r="E74" s="5" t="s">
        <v>50</v>
      </c>
      <c r="F74" s="5" t="s">
        <v>51</v>
      </c>
      <c r="G74" s="5" t="s">
        <v>40</v>
      </c>
      <c r="H74" s="6">
        <v>45961</v>
      </c>
      <c r="I74" s="6">
        <v>45961</v>
      </c>
      <c r="J74" s="6">
        <v>45964</v>
      </c>
      <c r="K74" s="5" t="s">
        <v>41</v>
      </c>
      <c r="L74" s="5" t="s">
        <v>42</v>
      </c>
      <c r="M74" s="5" t="s">
        <v>43</v>
      </c>
      <c r="N74" s="5" t="s">
        <v>44</v>
      </c>
      <c r="O74" s="7">
        <v>751.72</v>
      </c>
      <c r="P74" s="5" t="s">
        <v>45</v>
      </c>
      <c r="Q74" s="22"/>
      <c r="R74" s="8">
        <f t="shared" si="3"/>
        <v>751.72</v>
      </c>
      <c r="S74" s="7">
        <v>751.72</v>
      </c>
      <c r="T74" s="7"/>
      <c r="U74" s="7">
        <f t="shared" si="5"/>
        <v>751.72</v>
      </c>
      <c r="V74" s="5" t="s">
        <v>45</v>
      </c>
      <c r="W74" s="7">
        <v>221.22</v>
      </c>
      <c r="X74" s="5" t="s">
        <v>46</v>
      </c>
      <c r="Z74" s="8">
        <f t="shared" si="4"/>
        <v>221.22</v>
      </c>
    </row>
    <row r="75" spans="1:26" x14ac:dyDescent="0.25">
      <c r="A75" s="5" t="s">
        <v>34</v>
      </c>
      <c r="B75" s="5" t="s">
        <v>124</v>
      </c>
      <c r="C75" s="5" t="s">
        <v>125</v>
      </c>
      <c r="D75" s="5" t="s">
        <v>37</v>
      </c>
      <c r="E75" s="5" t="s">
        <v>38</v>
      </c>
      <c r="F75" s="5" t="s">
        <v>39</v>
      </c>
      <c r="G75" s="5" t="s">
        <v>40</v>
      </c>
      <c r="H75" s="6">
        <v>45961</v>
      </c>
      <c r="I75" s="6">
        <v>45961</v>
      </c>
      <c r="J75" s="6">
        <v>45964</v>
      </c>
      <c r="K75" s="5" t="s">
        <v>41</v>
      </c>
      <c r="L75" s="5" t="s">
        <v>42</v>
      </c>
      <c r="M75" s="5" t="s">
        <v>43</v>
      </c>
      <c r="N75" s="5" t="s">
        <v>44</v>
      </c>
      <c r="O75" s="7">
        <v>71.2</v>
      </c>
      <c r="P75" s="5" t="s">
        <v>45</v>
      </c>
      <c r="Q75" s="22"/>
      <c r="R75" s="8">
        <f t="shared" si="3"/>
        <v>71.2</v>
      </c>
      <c r="S75" s="7">
        <v>71.2</v>
      </c>
      <c r="T75" s="7"/>
      <c r="U75" s="7">
        <f t="shared" si="5"/>
        <v>71.2</v>
      </c>
      <c r="V75" s="5" t="s">
        <v>45</v>
      </c>
      <c r="W75" s="7">
        <v>20.95</v>
      </c>
      <c r="X75" s="5" t="s">
        <v>46</v>
      </c>
      <c r="Z75" s="8">
        <f t="shared" si="4"/>
        <v>20.95</v>
      </c>
    </row>
    <row r="76" spans="1:26" x14ac:dyDescent="0.25">
      <c r="A76" s="5" t="s">
        <v>34</v>
      </c>
      <c r="B76" s="5" t="s">
        <v>124</v>
      </c>
      <c r="C76" s="5" t="s">
        <v>125</v>
      </c>
      <c r="D76" s="5" t="s">
        <v>37</v>
      </c>
      <c r="E76" s="5" t="s">
        <v>76</v>
      </c>
      <c r="F76" s="5" t="s">
        <v>77</v>
      </c>
      <c r="G76" s="5" t="s">
        <v>40</v>
      </c>
      <c r="H76" s="6">
        <v>45961</v>
      </c>
      <c r="I76" s="6">
        <v>45961</v>
      </c>
      <c r="J76" s="6">
        <v>45964</v>
      </c>
      <c r="K76" s="5" t="s">
        <v>41</v>
      </c>
      <c r="L76" s="5" t="s">
        <v>42</v>
      </c>
      <c r="M76" s="5" t="s">
        <v>43</v>
      </c>
      <c r="N76" s="5" t="s">
        <v>44</v>
      </c>
      <c r="O76" s="7">
        <v>97.72</v>
      </c>
      <c r="P76" s="5" t="s">
        <v>45</v>
      </c>
      <c r="Q76" s="22"/>
      <c r="R76" s="8">
        <f t="shared" si="3"/>
        <v>97.72</v>
      </c>
      <c r="S76" s="7">
        <v>97.72</v>
      </c>
      <c r="T76" s="7"/>
      <c r="U76" s="7">
        <f t="shared" si="5"/>
        <v>97.72</v>
      </c>
      <c r="V76" s="5" t="s">
        <v>45</v>
      </c>
      <c r="W76" s="7">
        <v>28.76</v>
      </c>
      <c r="X76" s="5" t="s">
        <v>46</v>
      </c>
      <c r="Z76" s="8">
        <f t="shared" si="4"/>
        <v>28.76</v>
      </c>
    </row>
    <row r="77" spans="1:26" x14ac:dyDescent="0.25">
      <c r="A77" s="5" t="s">
        <v>34</v>
      </c>
      <c r="B77" s="5" t="s">
        <v>124</v>
      </c>
      <c r="C77" s="5" t="s">
        <v>125</v>
      </c>
      <c r="D77" s="5" t="s">
        <v>37</v>
      </c>
      <c r="E77" s="5" t="s">
        <v>100</v>
      </c>
      <c r="F77" s="5" t="s">
        <v>101</v>
      </c>
      <c r="G77" s="5" t="s">
        <v>40</v>
      </c>
      <c r="H77" s="6">
        <v>45961</v>
      </c>
      <c r="I77" s="6">
        <v>45961</v>
      </c>
      <c r="J77" s="6">
        <v>45964</v>
      </c>
      <c r="K77" s="5" t="s">
        <v>41</v>
      </c>
      <c r="L77" s="5" t="s">
        <v>42</v>
      </c>
      <c r="M77" s="5" t="s">
        <v>43</v>
      </c>
      <c r="N77" s="5" t="s">
        <v>44</v>
      </c>
      <c r="O77" s="7">
        <v>427.02</v>
      </c>
      <c r="P77" s="5" t="s">
        <v>45</v>
      </c>
      <c r="Q77" s="22"/>
      <c r="R77" s="8">
        <f t="shared" si="3"/>
        <v>427.02</v>
      </c>
      <c r="S77" s="7">
        <v>427.02</v>
      </c>
      <c r="T77" s="7"/>
      <c r="U77" s="7">
        <f t="shared" si="5"/>
        <v>427.02</v>
      </c>
      <c r="V77" s="5" t="s">
        <v>45</v>
      </c>
      <c r="W77" s="7">
        <v>125.67</v>
      </c>
      <c r="X77" s="5" t="s">
        <v>46</v>
      </c>
      <c r="Z77" s="8">
        <f t="shared" si="4"/>
        <v>125.67</v>
      </c>
    </row>
    <row r="78" spans="1:26" x14ac:dyDescent="0.25">
      <c r="A78" s="5" t="s">
        <v>34</v>
      </c>
      <c r="B78" s="5" t="s">
        <v>124</v>
      </c>
      <c r="C78" s="5" t="s">
        <v>125</v>
      </c>
      <c r="D78" s="5" t="s">
        <v>37</v>
      </c>
      <c r="E78" s="5" t="s">
        <v>86</v>
      </c>
      <c r="F78" s="5" t="s">
        <v>87</v>
      </c>
      <c r="G78" s="5" t="s">
        <v>40</v>
      </c>
      <c r="H78" s="6">
        <v>45961</v>
      </c>
      <c r="I78" s="6">
        <v>45961</v>
      </c>
      <c r="J78" s="6">
        <v>45964</v>
      </c>
      <c r="K78" s="5" t="s">
        <v>41</v>
      </c>
      <c r="L78" s="5" t="s">
        <v>42</v>
      </c>
      <c r="M78" s="5" t="s">
        <v>43</v>
      </c>
      <c r="N78" s="5" t="s">
        <v>44</v>
      </c>
      <c r="O78" s="7">
        <v>731.99</v>
      </c>
      <c r="P78" s="5" t="s">
        <v>45</v>
      </c>
      <c r="Q78" s="22"/>
      <c r="R78" s="8">
        <f t="shared" si="3"/>
        <v>731.99</v>
      </c>
      <c r="S78" s="7">
        <v>731.99</v>
      </c>
      <c r="T78" s="7"/>
      <c r="U78" s="7">
        <f t="shared" si="5"/>
        <v>731.99</v>
      </c>
      <c r="V78" s="5" t="s">
        <v>45</v>
      </c>
      <c r="W78" s="7">
        <v>215.42</v>
      </c>
      <c r="X78" s="5" t="s">
        <v>46</v>
      </c>
      <c r="Z78" s="8">
        <f t="shared" si="4"/>
        <v>215.42</v>
      </c>
    </row>
    <row r="79" spans="1:26" x14ac:dyDescent="0.25">
      <c r="A79" s="5" t="s">
        <v>34</v>
      </c>
      <c r="B79" s="5" t="s">
        <v>124</v>
      </c>
      <c r="C79" s="5" t="s">
        <v>125</v>
      </c>
      <c r="D79" s="5" t="s">
        <v>37</v>
      </c>
      <c r="E79" s="5" t="s">
        <v>110</v>
      </c>
      <c r="F79" s="5" t="s">
        <v>111</v>
      </c>
      <c r="G79" s="5" t="s">
        <v>40</v>
      </c>
      <c r="H79" s="6">
        <v>45961</v>
      </c>
      <c r="I79" s="6">
        <v>45961</v>
      </c>
      <c r="J79" s="6">
        <v>45964</v>
      </c>
      <c r="K79" s="5" t="s">
        <v>41</v>
      </c>
      <c r="L79" s="5" t="s">
        <v>42</v>
      </c>
      <c r="M79" s="5" t="s">
        <v>43</v>
      </c>
      <c r="N79" s="5" t="s">
        <v>44</v>
      </c>
      <c r="O79" s="7">
        <v>930.47</v>
      </c>
      <c r="P79" s="5" t="s">
        <v>45</v>
      </c>
      <c r="Q79" s="22"/>
      <c r="R79" s="8">
        <f t="shared" si="3"/>
        <v>930.47</v>
      </c>
      <c r="S79" s="7">
        <v>930.47</v>
      </c>
      <c r="T79" s="7"/>
      <c r="U79" s="7">
        <f t="shared" si="5"/>
        <v>930.47</v>
      </c>
      <c r="V79" s="5" t="s">
        <v>45</v>
      </c>
      <c r="W79" s="7">
        <v>273.83</v>
      </c>
      <c r="X79" s="5" t="s">
        <v>46</v>
      </c>
      <c r="Z79" s="8">
        <f t="shared" si="4"/>
        <v>273.83</v>
      </c>
    </row>
    <row r="80" spans="1:26" x14ac:dyDescent="0.25">
      <c r="A80" s="5" t="s">
        <v>34</v>
      </c>
      <c r="B80" s="5" t="s">
        <v>124</v>
      </c>
      <c r="C80" s="5" t="s">
        <v>125</v>
      </c>
      <c r="D80" s="5" t="s">
        <v>37</v>
      </c>
      <c r="E80" s="5" t="s">
        <v>62</v>
      </c>
      <c r="F80" s="5" t="s">
        <v>63</v>
      </c>
      <c r="G80" s="5" t="s">
        <v>40</v>
      </c>
      <c r="H80" s="6">
        <v>45961</v>
      </c>
      <c r="I80" s="6">
        <v>45961</v>
      </c>
      <c r="J80" s="6">
        <v>45964</v>
      </c>
      <c r="K80" s="5" t="s">
        <v>41</v>
      </c>
      <c r="L80" s="5" t="s">
        <v>42</v>
      </c>
      <c r="M80" s="5" t="s">
        <v>43</v>
      </c>
      <c r="N80" s="5" t="s">
        <v>44</v>
      </c>
      <c r="O80" s="7">
        <v>123.79</v>
      </c>
      <c r="P80" s="5" t="s">
        <v>45</v>
      </c>
      <c r="Q80" s="22"/>
      <c r="R80" s="8">
        <f t="shared" si="3"/>
        <v>123.79</v>
      </c>
      <c r="S80" s="7">
        <v>123.79</v>
      </c>
      <c r="T80" s="7"/>
      <c r="U80" s="7">
        <f t="shared" si="5"/>
        <v>123.79</v>
      </c>
      <c r="V80" s="5" t="s">
        <v>45</v>
      </c>
      <c r="W80" s="7">
        <v>36.43</v>
      </c>
      <c r="X80" s="5" t="s">
        <v>46</v>
      </c>
      <c r="Z80" s="8">
        <f t="shared" si="4"/>
        <v>36.43</v>
      </c>
    </row>
    <row r="81" spans="1:26" x14ac:dyDescent="0.25">
      <c r="A81" s="5" t="s">
        <v>34</v>
      </c>
      <c r="B81" s="5" t="s">
        <v>124</v>
      </c>
      <c r="C81" s="5" t="s">
        <v>125</v>
      </c>
      <c r="D81" s="5" t="s">
        <v>37</v>
      </c>
      <c r="E81" s="5" t="s">
        <v>56</v>
      </c>
      <c r="F81" s="5" t="s">
        <v>57</v>
      </c>
      <c r="G81" s="5" t="s">
        <v>40</v>
      </c>
      <c r="H81" s="6">
        <v>45961</v>
      </c>
      <c r="I81" s="6">
        <v>45961</v>
      </c>
      <c r="J81" s="6">
        <v>45964</v>
      </c>
      <c r="K81" s="5" t="s">
        <v>41</v>
      </c>
      <c r="L81" s="5" t="s">
        <v>42</v>
      </c>
      <c r="M81" s="5" t="s">
        <v>43</v>
      </c>
      <c r="N81" s="5" t="s">
        <v>44</v>
      </c>
      <c r="O81" s="7">
        <v>1405.33</v>
      </c>
      <c r="P81" s="5" t="s">
        <v>45</v>
      </c>
      <c r="Q81" s="22"/>
      <c r="R81" s="8">
        <f t="shared" si="3"/>
        <v>1405.33</v>
      </c>
      <c r="S81" s="7">
        <v>1405.33</v>
      </c>
      <c r="T81" s="7"/>
      <c r="U81" s="7">
        <f t="shared" si="5"/>
        <v>1405.33</v>
      </c>
      <c r="V81" s="5" t="s">
        <v>45</v>
      </c>
      <c r="W81" s="7">
        <v>413.58</v>
      </c>
      <c r="X81" s="5" t="s">
        <v>46</v>
      </c>
      <c r="Z81" s="8">
        <f t="shared" si="4"/>
        <v>413.58</v>
      </c>
    </row>
    <row r="82" spans="1:26" x14ac:dyDescent="0.25">
      <c r="A82" s="5" t="s">
        <v>34</v>
      </c>
      <c r="B82" s="5" t="s">
        <v>124</v>
      </c>
      <c r="C82" s="5" t="s">
        <v>125</v>
      </c>
      <c r="D82" s="5" t="s">
        <v>37</v>
      </c>
      <c r="E82" s="5" t="s">
        <v>116</v>
      </c>
      <c r="F82" s="5" t="s">
        <v>117</v>
      </c>
      <c r="G82" s="5" t="s">
        <v>40</v>
      </c>
      <c r="H82" s="6">
        <v>45961</v>
      </c>
      <c r="I82" s="6">
        <v>45961</v>
      </c>
      <c r="J82" s="6">
        <v>45964</v>
      </c>
      <c r="K82" s="5" t="s">
        <v>41</v>
      </c>
      <c r="L82" s="5" t="s">
        <v>42</v>
      </c>
      <c r="M82" s="5" t="s">
        <v>43</v>
      </c>
      <c r="N82" s="5" t="s">
        <v>44</v>
      </c>
      <c r="O82" s="7">
        <v>609.5</v>
      </c>
      <c r="P82" s="5" t="s">
        <v>45</v>
      </c>
      <c r="Q82" s="22"/>
      <c r="R82" s="8">
        <f t="shared" si="3"/>
        <v>609.5</v>
      </c>
      <c r="S82" s="7">
        <v>609.5</v>
      </c>
      <c r="T82" s="7"/>
      <c r="U82" s="7">
        <f t="shared" si="5"/>
        <v>609.5</v>
      </c>
      <c r="V82" s="5" t="s">
        <v>45</v>
      </c>
      <c r="W82" s="7">
        <v>179.37</v>
      </c>
      <c r="X82" s="5" t="s">
        <v>46</v>
      </c>
      <c r="Z82" s="8">
        <f t="shared" si="4"/>
        <v>179.37</v>
      </c>
    </row>
    <row r="83" spans="1:26" x14ac:dyDescent="0.25">
      <c r="A83" s="5" t="s">
        <v>34</v>
      </c>
      <c r="B83" s="5" t="s">
        <v>124</v>
      </c>
      <c r="C83" s="5" t="s">
        <v>125</v>
      </c>
      <c r="D83" s="5" t="s">
        <v>37</v>
      </c>
      <c r="E83" s="5" t="s">
        <v>102</v>
      </c>
      <c r="F83" s="5" t="s">
        <v>103</v>
      </c>
      <c r="G83" s="5" t="s">
        <v>40</v>
      </c>
      <c r="H83" s="6">
        <v>45961</v>
      </c>
      <c r="I83" s="6">
        <v>45961</v>
      </c>
      <c r="J83" s="6">
        <v>45964</v>
      </c>
      <c r="K83" s="5" t="s">
        <v>41</v>
      </c>
      <c r="L83" s="5" t="s">
        <v>42</v>
      </c>
      <c r="M83" s="5" t="s">
        <v>43</v>
      </c>
      <c r="N83" s="5" t="s">
        <v>44</v>
      </c>
      <c r="O83" s="7">
        <v>1271.8800000000001</v>
      </c>
      <c r="P83" s="5" t="s">
        <v>45</v>
      </c>
      <c r="Q83" s="22"/>
      <c r="R83" s="8">
        <f t="shared" si="3"/>
        <v>1271.8800000000001</v>
      </c>
      <c r="S83" s="7">
        <v>1271.8800000000001</v>
      </c>
      <c r="T83" s="7"/>
      <c r="U83" s="7">
        <f t="shared" si="5"/>
        <v>1271.8800000000001</v>
      </c>
      <c r="V83" s="5" t="s">
        <v>45</v>
      </c>
      <c r="W83" s="7">
        <v>374.3</v>
      </c>
      <c r="X83" s="5" t="s">
        <v>46</v>
      </c>
      <c r="Z83" s="8">
        <f t="shared" si="4"/>
        <v>374.3</v>
      </c>
    </row>
    <row r="84" spans="1:26" x14ac:dyDescent="0.25">
      <c r="A84" s="5" t="s">
        <v>34</v>
      </c>
      <c r="B84" s="5" t="s">
        <v>124</v>
      </c>
      <c r="C84" s="5" t="s">
        <v>125</v>
      </c>
      <c r="D84" s="5" t="s">
        <v>37</v>
      </c>
      <c r="E84" s="5" t="s">
        <v>96</v>
      </c>
      <c r="F84" s="5" t="s">
        <v>97</v>
      </c>
      <c r="G84" s="5" t="s">
        <v>40</v>
      </c>
      <c r="H84" s="6">
        <v>45961</v>
      </c>
      <c r="I84" s="6">
        <v>45961</v>
      </c>
      <c r="J84" s="6">
        <v>45964</v>
      </c>
      <c r="K84" s="5" t="s">
        <v>41</v>
      </c>
      <c r="L84" s="5" t="s">
        <v>42</v>
      </c>
      <c r="M84" s="5" t="s">
        <v>43</v>
      </c>
      <c r="N84" s="5" t="s">
        <v>44</v>
      </c>
      <c r="O84" s="7">
        <v>859.36</v>
      </c>
      <c r="P84" s="5" t="s">
        <v>45</v>
      </c>
      <c r="Q84" s="22"/>
      <c r="R84" s="8">
        <f t="shared" si="3"/>
        <v>859.36</v>
      </c>
      <c r="S84" s="7">
        <v>859.36</v>
      </c>
      <c r="T84" s="7"/>
      <c r="U84" s="7">
        <f t="shared" si="5"/>
        <v>859.36</v>
      </c>
      <c r="V84" s="5" t="s">
        <v>45</v>
      </c>
      <c r="W84" s="7">
        <v>252.9</v>
      </c>
      <c r="X84" s="5" t="s">
        <v>46</v>
      </c>
      <c r="Z84" s="8">
        <f t="shared" si="4"/>
        <v>252.9</v>
      </c>
    </row>
    <row r="85" spans="1:26" x14ac:dyDescent="0.25">
      <c r="A85" s="5" t="s">
        <v>34</v>
      </c>
      <c r="B85" s="5" t="s">
        <v>124</v>
      </c>
      <c r="C85" s="5" t="s">
        <v>125</v>
      </c>
      <c r="D85" s="5" t="s">
        <v>37</v>
      </c>
      <c r="E85" s="5" t="s">
        <v>54</v>
      </c>
      <c r="F85" s="5" t="s">
        <v>55</v>
      </c>
      <c r="G85" s="5" t="s">
        <v>40</v>
      </c>
      <c r="H85" s="6">
        <v>45961</v>
      </c>
      <c r="I85" s="6">
        <v>45961</v>
      </c>
      <c r="J85" s="6">
        <v>45964</v>
      </c>
      <c r="K85" s="5" t="s">
        <v>41</v>
      </c>
      <c r="L85" s="5" t="s">
        <v>42</v>
      </c>
      <c r="M85" s="5" t="s">
        <v>43</v>
      </c>
      <c r="N85" s="5" t="s">
        <v>44</v>
      </c>
      <c r="O85" s="7">
        <v>530.87</v>
      </c>
      <c r="P85" s="5" t="s">
        <v>45</v>
      </c>
      <c r="Q85" s="22"/>
      <c r="R85" s="8">
        <f t="shared" si="3"/>
        <v>530.87</v>
      </c>
      <c r="S85" s="7">
        <v>530.87</v>
      </c>
      <c r="T85" s="7"/>
      <c r="U85" s="7">
        <f t="shared" si="5"/>
        <v>530.87</v>
      </c>
      <c r="V85" s="5" t="s">
        <v>45</v>
      </c>
      <c r="W85" s="7">
        <v>156.22999999999999</v>
      </c>
      <c r="X85" s="5" t="s">
        <v>46</v>
      </c>
      <c r="Z85" s="8">
        <f t="shared" si="4"/>
        <v>156.22999999999999</v>
      </c>
    </row>
    <row r="86" spans="1:26" x14ac:dyDescent="0.25">
      <c r="A86" s="5" t="s">
        <v>34</v>
      </c>
      <c r="B86" s="5" t="s">
        <v>124</v>
      </c>
      <c r="C86" s="5" t="s">
        <v>125</v>
      </c>
      <c r="D86" s="5" t="s">
        <v>37</v>
      </c>
      <c r="E86" s="5" t="s">
        <v>48</v>
      </c>
      <c r="F86" s="5" t="s">
        <v>49</v>
      </c>
      <c r="G86" s="5" t="s">
        <v>40</v>
      </c>
      <c r="H86" s="6">
        <v>45961</v>
      </c>
      <c r="I86" s="6">
        <v>45961</v>
      </c>
      <c r="J86" s="6">
        <v>45964</v>
      </c>
      <c r="K86" s="5" t="s">
        <v>41</v>
      </c>
      <c r="L86" s="5" t="s">
        <v>42</v>
      </c>
      <c r="M86" s="5" t="s">
        <v>43</v>
      </c>
      <c r="N86" s="5" t="s">
        <v>44</v>
      </c>
      <c r="O86" s="7">
        <v>483.7</v>
      </c>
      <c r="P86" s="5" t="s">
        <v>45</v>
      </c>
      <c r="Q86" s="22"/>
      <c r="R86" s="8">
        <f t="shared" si="3"/>
        <v>483.7</v>
      </c>
      <c r="S86" s="7">
        <v>483.7</v>
      </c>
      <c r="T86" s="7"/>
      <c r="U86" s="7">
        <f t="shared" si="5"/>
        <v>483.7</v>
      </c>
      <c r="V86" s="5" t="s">
        <v>45</v>
      </c>
      <c r="W86" s="7">
        <v>142.35</v>
      </c>
      <c r="X86" s="5" t="s">
        <v>46</v>
      </c>
      <c r="Z86" s="8">
        <f t="shared" si="4"/>
        <v>142.35</v>
      </c>
    </row>
    <row r="87" spans="1:26" x14ac:dyDescent="0.25">
      <c r="A87" s="5" t="s">
        <v>34</v>
      </c>
      <c r="B87" s="5" t="s">
        <v>124</v>
      </c>
      <c r="C87" s="5" t="s">
        <v>125</v>
      </c>
      <c r="D87" s="5" t="s">
        <v>37</v>
      </c>
      <c r="E87" s="5" t="s">
        <v>84</v>
      </c>
      <c r="F87" s="5" t="s">
        <v>85</v>
      </c>
      <c r="G87" s="5" t="s">
        <v>40</v>
      </c>
      <c r="H87" s="6">
        <v>45961</v>
      </c>
      <c r="I87" s="6">
        <v>45961</v>
      </c>
      <c r="J87" s="6">
        <v>45964</v>
      </c>
      <c r="K87" s="5" t="s">
        <v>41</v>
      </c>
      <c r="L87" s="5" t="s">
        <v>42</v>
      </c>
      <c r="M87" s="5" t="s">
        <v>43</v>
      </c>
      <c r="N87" s="5" t="s">
        <v>44</v>
      </c>
      <c r="O87" s="7">
        <v>436.53</v>
      </c>
      <c r="P87" s="5" t="s">
        <v>45</v>
      </c>
      <c r="Q87" s="22"/>
      <c r="R87" s="8">
        <f t="shared" si="3"/>
        <v>436.53</v>
      </c>
      <c r="S87" s="7">
        <v>436.53</v>
      </c>
      <c r="T87" s="7"/>
      <c r="U87" s="7">
        <f t="shared" si="5"/>
        <v>436.53</v>
      </c>
      <c r="V87" s="5" t="s">
        <v>45</v>
      </c>
      <c r="W87" s="7">
        <v>128.47</v>
      </c>
      <c r="X87" s="5" t="s">
        <v>46</v>
      </c>
      <c r="Z87" s="8">
        <f t="shared" si="4"/>
        <v>128.47</v>
      </c>
    </row>
    <row r="88" spans="1:26" x14ac:dyDescent="0.25">
      <c r="A88" s="5" t="s">
        <v>34</v>
      </c>
      <c r="B88" s="5" t="s">
        <v>124</v>
      </c>
      <c r="C88" s="5" t="s">
        <v>125</v>
      </c>
      <c r="D88" s="5" t="s">
        <v>37</v>
      </c>
      <c r="E88" s="5" t="s">
        <v>90</v>
      </c>
      <c r="F88" s="5" t="s">
        <v>91</v>
      </c>
      <c r="G88" s="5" t="s">
        <v>40</v>
      </c>
      <c r="H88" s="6">
        <v>45961</v>
      </c>
      <c r="I88" s="6">
        <v>45961</v>
      </c>
      <c r="J88" s="6">
        <v>45964</v>
      </c>
      <c r="K88" s="5" t="s">
        <v>41</v>
      </c>
      <c r="L88" s="5" t="s">
        <v>42</v>
      </c>
      <c r="M88" s="5" t="s">
        <v>43</v>
      </c>
      <c r="N88" s="5" t="s">
        <v>44</v>
      </c>
      <c r="O88" s="7">
        <v>222.08</v>
      </c>
      <c r="P88" s="5" t="s">
        <v>45</v>
      </c>
      <c r="Q88" s="22"/>
      <c r="R88" s="8">
        <f t="shared" si="3"/>
        <v>222.08</v>
      </c>
      <c r="S88" s="7">
        <v>222.08</v>
      </c>
      <c r="T88" s="7"/>
      <c r="U88" s="7">
        <f t="shared" si="5"/>
        <v>222.08</v>
      </c>
      <c r="V88" s="5" t="s">
        <v>45</v>
      </c>
      <c r="W88" s="7">
        <v>65.36</v>
      </c>
      <c r="X88" s="5" t="s">
        <v>46</v>
      </c>
      <c r="Z88" s="8">
        <f t="shared" si="4"/>
        <v>65.36</v>
      </c>
    </row>
    <row r="89" spans="1:26" x14ac:dyDescent="0.25">
      <c r="A89" s="5" t="s">
        <v>34</v>
      </c>
      <c r="B89" s="5" t="s">
        <v>124</v>
      </c>
      <c r="C89" s="5" t="s">
        <v>125</v>
      </c>
      <c r="D89" s="5" t="s">
        <v>37</v>
      </c>
      <c r="E89" s="5" t="s">
        <v>72</v>
      </c>
      <c r="F89" s="5" t="s">
        <v>73</v>
      </c>
      <c r="G89" s="5" t="s">
        <v>40</v>
      </c>
      <c r="H89" s="6">
        <v>45961</v>
      </c>
      <c r="I89" s="6">
        <v>45961</v>
      </c>
      <c r="J89" s="6">
        <v>45964</v>
      </c>
      <c r="K89" s="5" t="s">
        <v>41</v>
      </c>
      <c r="L89" s="5" t="s">
        <v>42</v>
      </c>
      <c r="M89" s="5" t="s">
        <v>43</v>
      </c>
      <c r="N89" s="5" t="s">
        <v>44</v>
      </c>
      <c r="O89" s="7">
        <v>379.32</v>
      </c>
      <c r="P89" s="5" t="s">
        <v>45</v>
      </c>
      <c r="Q89" s="22"/>
      <c r="R89" s="8">
        <f t="shared" si="3"/>
        <v>379.32</v>
      </c>
      <c r="S89" s="7">
        <v>379.32</v>
      </c>
      <c r="T89" s="7"/>
      <c r="U89" s="7">
        <f t="shared" si="5"/>
        <v>379.32</v>
      </c>
      <c r="V89" s="5" t="s">
        <v>45</v>
      </c>
      <c r="W89" s="7">
        <v>111.63</v>
      </c>
      <c r="X89" s="5" t="s">
        <v>46</v>
      </c>
      <c r="Z89" s="8">
        <f t="shared" si="4"/>
        <v>111.63</v>
      </c>
    </row>
    <row r="90" spans="1:26" x14ac:dyDescent="0.25">
      <c r="A90" s="5" t="s">
        <v>34</v>
      </c>
      <c r="B90" s="5" t="s">
        <v>124</v>
      </c>
      <c r="C90" s="5" t="s">
        <v>125</v>
      </c>
      <c r="D90" s="5" t="s">
        <v>37</v>
      </c>
      <c r="E90" s="5" t="s">
        <v>60</v>
      </c>
      <c r="F90" s="5" t="s">
        <v>61</v>
      </c>
      <c r="G90" s="5" t="s">
        <v>40</v>
      </c>
      <c r="H90" s="6">
        <v>45961</v>
      </c>
      <c r="I90" s="6">
        <v>45961</v>
      </c>
      <c r="J90" s="6">
        <v>45964</v>
      </c>
      <c r="K90" s="5" t="s">
        <v>41</v>
      </c>
      <c r="L90" s="5" t="s">
        <v>42</v>
      </c>
      <c r="M90" s="5" t="s">
        <v>43</v>
      </c>
      <c r="N90" s="5" t="s">
        <v>44</v>
      </c>
      <c r="O90" s="7">
        <v>1087.1600000000001</v>
      </c>
      <c r="P90" s="5" t="s">
        <v>45</v>
      </c>
      <c r="Q90" s="22"/>
      <c r="R90" s="8">
        <f t="shared" si="3"/>
        <v>1087.1600000000001</v>
      </c>
      <c r="S90" s="7">
        <v>1087.1600000000001</v>
      </c>
      <c r="T90" s="7"/>
      <c r="U90" s="7">
        <f t="shared" si="5"/>
        <v>1087.1600000000001</v>
      </c>
      <c r="V90" s="5" t="s">
        <v>45</v>
      </c>
      <c r="W90" s="7">
        <v>319.94</v>
      </c>
      <c r="X90" s="5" t="s">
        <v>46</v>
      </c>
      <c r="Z90" s="8">
        <f t="shared" si="4"/>
        <v>319.94</v>
      </c>
    </row>
    <row r="91" spans="1:26" x14ac:dyDescent="0.25">
      <c r="A91" s="5" t="s">
        <v>34</v>
      </c>
      <c r="B91" s="5" t="s">
        <v>124</v>
      </c>
      <c r="C91" s="5" t="s">
        <v>125</v>
      </c>
      <c r="D91" s="5" t="s">
        <v>37</v>
      </c>
      <c r="E91" s="5" t="s">
        <v>74</v>
      </c>
      <c r="F91" s="5" t="s">
        <v>75</v>
      </c>
      <c r="G91" s="5" t="s">
        <v>40</v>
      </c>
      <c r="H91" s="6">
        <v>45961</v>
      </c>
      <c r="I91" s="6">
        <v>45961</v>
      </c>
      <c r="J91" s="6">
        <v>45964</v>
      </c>
      <c r="K91" s="5" t="s">
        <v>41</v>
      </c>
      <c r="L91" s="5" t="s">
        <v>42</v>
      </c>
      <c r="M91" s="5" t="s">
        <v>43</v>
      </c>
      <c r="N91" s="5" t="s">
        <v>44</v>
      </c>
      <c r="O91" s="7">
        <v>979.78</v>
      </c>
      <c r="P91" s="5" t="s">
        <v>45</v>
      </c>
      <c r="Q91" s="22"/>
      <c r="R91" s="8">
        <f t="shared" si="3"/>
        <v>979.78</v>
      </c>
      <c r="S91" s="7">
        <v>979.78</v>
      </c>
      <c r="T91" s="7"/>
      <c r="U91" s="7">
        <f t="shared" si="5"/>
        <v>979.78</v>
      </c>
      <c r="V91" s="5" t="s">
        <v>45</v>
      </c>
      <c r="W91" s="7">
        <v>288.33999999999997</v>
      </c>
      <c r="X91" s="5" t="s">
        <v>46</v>
      </c>
      <c r="Z91" s="8">
        <f t="shared" si="4"/>
        <v>288.33999999999997</v>
      </c>
    </row>
    <row r="92" spans="1:26" x14ac:dyDescent="0.25">
      <c r="A92" s="5" t="s">
        <v>34</v>
      </c>
      <c r="B92" s="5" t="s">
        <v>124</v>
      </c>
      <c r="C92" s="5" t="s">
        <v>125</v>
      </c>
      <c r="D92" s="5" t="s">
        <v>37</v>
      </c>
      <c r="E92" s="5" t="s">
        <v>114</v>
      </c>
      <c r="F92" s="5" t="s">
        <v>115</v>
      </c>
      <c r="G92" s="5" t="s">
        <v>40</v>
      </c>
      <c r="H92" s="6">
        <v>45961</v>
      </c>
      <c r="I92" s="6">
        <v>45961</v>
      </c>
      <c r="J92" s="6">
        <v>45964</v>
      </c>
      <c r="K92" s="5" t="s">
        <v>41</v>
      </c>
      <c r="L92" s="5" t="s">
        <v>42</v>
      </c>
      <c r="M92" s="5" t="s">
        <v>43</v>
      </c>
      <c r="N92" s="5" t="s">
        <v>44</v>
      </c>
      <c r="O92" s="7">
        <v>134.72</v>
      </c>
      <c r="P92" s="5" t="s">
        <v>45</v>
      </c>
      <c r="Q92" s="22"/>
      <c r="R92" s="8">
        <f t="shared" si="3"/>
        <v>134.72</v>
      </c>
      <c r="S92" s="7">
        <v>134.72</v>
      </c>
      <c r="T92" s="7"/>
      <c r="U92" s="7">
        <f t="shared" si="5"/>
        <v>134.72</v>
      </c>
      <c r="V92" s="5" t="s">
        <v>45</v>
      </c>
      <c r="W92" s="7">
        <v>39.65</v>
      </c>
      <c r="X92" s="5" t="s">
        <v>46</v>
      </c>
      <c r="Z92" s="8">
        <f t="shared" si="4"/>
        <v>39.65</v>
      </c>
    </row>
    <row r="93" spans="1:26" x14ac:dyDescent="0.25">
      <c r="A93" s="5" t="s">
        <v>34</v>
      </c>
      <c r="B93" s="5" t="s">
        <v>124</v>
      </c>
      <c r="C93" s="5" t="s">
        <v>125</v>
      </c>
      <c r="D93" s="5" t="s">
        <v>37</v>
      </c>
      <c r="E93" s="5" t="s">
        <v>94</v>
      </c>
      <c r="F93" s="5" t="s">
        <v>95</v>
      </c>
      <c r="G93" s="5" t="s">
        <v>40</v>
      </c>
      <c r="H93" s="6">
        <v>45961</v>
      </c>
      <c r="I93" s="6">
        <v>45961</v>
      </c>
      <c r="J93" s="6">
        <v>45964</v>
      </c>
      <c r="K93" s="5" t="s">
        <v>41</v>
      </c>
      <c r="L93" s="5" t="s">
        <v>42</v>
      </c>
      <c r="M93" s="5" t="s">
        <v>43</v>
      </c>
      <c r="N93" s="5" t="s">
        <v>44</v>
      </c>
      <c r="O93" s="7">
        <v>59.85</v>
      </c>
      <c r="P93" s="5" t="s">
        <v>45</v>
      </c>
      <c r="Q93" s="22"/>
      <c r="R93" s="8">
        <f t="shared" si="3"/>
        <v>59.85</v>
      </c>
      <c r="S93" s="7">
        <v>59.85</v>
      </c>
      <c r="T93" s="7"/>
      <c r="U93" s="7">
        <f t="shared" si="5"/>
        <v>59.85</v>
      </c>
      <c r="V93" s="5" t="s">
        <v>45</v>
      </c>
      <c r="W93" s="7">
        <v>17.61</v>
      </c>
      <c r="X93" s="5" t="s">
        <v>46</v>
      </c>
      <c r="Z93" s="8">
        <f t="shared" si="4"/>
        <v>17.61</v>
      </c>
    </row>
    <row r="94" spans="1:26" x14ac:dyDescent="0.25">
      <c r="A94" s="5" t="s">
        <v>34</v>
      </c>
      <c r="B94" s="5" t="s">
        <v>126</v>
      </c>
      <c r="C94" s="5" t="s">
        <v>127</v>
      </c>
      <c r="D94" s="5" t="s">
        <v>37</v>
      </c>
      <c r="E94" s="5" t="s">
        <v>68</v>
      </c>
      <c r="F94" s="5" t="s">
        <v>69</v>
      </c>
      <c r="G94" s="5" t="s">
        <v>40</v>
      </c>
      <c r="H94" s="6">
        <v>45961</v>
      </c>
      <c r="I94" s="6">
        <v>45961</v>
      </c>
      <c r="J94" s="6">
        <v>45964</v>
      </c>
      <c r="K94" s="5" t="s">
        <v>41</v>
      </c>
      <c r="L94" s="5" t="s">
        <v>42</v>
      </c>
      <c r="M94" s="5" t="s">
        <v>43</v>
      </c>
      <c r="N94" s="5" t="s">
        <v>44</v>
      </c>
      <c r="O94" s="7">
        <v>232.53</v>
      </c>
      <c r="P94" s="5" t="s">
        <v>45</v>
      </c>
      <c r="Q94" s="22"/>
      <c r="R94" s="8">
        <f t="shared" si="3"/>
        <v>232.53</v>
      </c>
      <c r="S94" s="7">
        <v>232.53</v>
      </c>
      <c r="T94" s="7"/>
      <c r="U94" s="7">
        <f t="shared" si="5"/>
        <v>232.53</v>
      </c>
      <c r="V94" s="5" t="s">
        <v>45</v>
      </c>
      <c r="W94" s="7">
        <v>68.430000000000007</v>
      </c>
      <c r="X94" s="5" t="s">
        <v>46</v>
      </c>
      <c r="Z94" s="8">
        <f t="shared" si="4"/>
        <v>68.430000000000007</v>
      </c>
    </row>
    <row r="95" spans="1:26" x14ac:dyDescent="0.25">
      <c r="A95" s="5" t="s">
        <v>34</v>
      </c>
      <c r="B95" s="5" t="s">
        <v>126</v>
      </c>
      <c r="C95" s="5" t="s">
        <v>127</v>
      </c>
      <c r="D95" s="5" t="s">
        <v>37</v>
      </c>
      <c r="E95" s="5" t="s">
        <v>78</v>
      </c>
      <c r="F95" s="5" t="s">
        <v>79</v>
      </c>
      <c r="G95" s="5" t="s">
        <v>40</v>
      </c>
      <c r="H95" s="6">
        <v>45961</v>
      </c>
      <c r="I95" s="6">
        <v>45961</v>
      </c>
      <c r="J95" s="6">
        <v>45964</v>
      </c>
      <c r="K95" s="5" t="s">
        <v>41</v>
      </c>
      <c r="L95" s="5" t="s">
        <v>42</v>
      </c>
      <c r="M95" s="5" t="s">
        <v>43</v>
      </c>
      <c r="N95" s="5" t="s">
        <v>44</v>
      </c>
      <c r="O95" s="7">
        <v>377.58</v>
      </c>
      <c r="P95" s="5" t="s">
        <v>45</v>
      </c>
      <c r="Q95" s="22"/>
      <c r="R95" s="8">
        <f t="shared" si="3"/>
        <v>377.58</v>
      </c>
      <c r="S95" s="7">
        <v>377.58</v>
      </c>
      <c r="T95" s="7"/>
      <c r="U95" s="7">
        <f t="shared" si="5"/>
        <v>377.58</v>
      </c>
      <c r="V95" s="5" t="s">
        <v>45</v>
      </c>
      <c r="W95" s="7">
        <v>111.12</v>
      </c>
      <c r="X95" s="5" t="s">
        <v>46</v>
      </c>
      <c r="Z95" s="8">
        <f t="shared" si="4"/>
        <v>111.12</v>
      </c>
    </row>
    <row r="96" spans="1:26" x14ac:dyDescent="0.25">
      <c r="A96" s="5" t="s">
        <v>34</v>
      </c>
      <c r="B96" s="5" t="s">
        <v>126</v>
      </c>
      <c r="C96" s="5" t="s">
        <v>127</v>
      </c>
      <c r="D96" s="5" t="s">
        <v>37</v>
      </c>
      <c r="E96" s="5" t="s">
        <v>122</v>
      </c>
      <c r="F96" s="5" t="s">
        <v>123</v>
      </c>
      <c r="G96" s="5" t="s">
        <v>40</v>
      </c>
      <c r="H96" s="6">
        <v>45961</v>
      </c>
      <c r="I96" s="6">
        <v>45961</v>
      </c>
      <c r="J96" s="6">
        <v>45964</v>
      </c>
      <c r="K96" s="5" t="s">
        <v>41</v>
      </c>
      <c r="L96" s="5" t="s">
        <v>42</v>
      </c>
      <c r="M96" s="5" t="s">
        <v>43</v>
      </c>
      <c r="N96" s="5" t="s">
        <v>44</v>
      </c>
      <c r="O96" s="7">
        <v>76.19</v>
      </c>
      <c r="P96" s="5" t="s">
        <v>45</v>
      </c>
      <c r="Q96" s="22"/>
      <c r="R96" s="8">
        <f t="shared" si="3"/>
        <v>76.19</v>
      </c>
      <c r="S96" s="7">
        <v>76.19</v>
      </c>
      <c r="T96" s="7"/>
      <c r="U96" s="7">
        <f t="shared" si="5"/>
        <v>76.19</v>
      </c>
      <c r="V96" s="5" t="s">
        <v>45</v>
      </c>
      <c r="W96" s="7">
        <v>22.42</v>
      </c>
      <c r="X96" s="5" t="s">
        <v>46</v>
      </c>
      <c r="Z96" s="8">
        <f t="shared" si="4"/>
        <v>22.42</v>
      </c>
    </row>
    <row r="97" spans="1:26" x14ac:dyDescent="0.25">
      <c r="A97" s="5" t="s">
        <v>34</v>
      </c>
      <c r="B97" s="5" t="s">
        <v>126</v>
      </c>
      <c r="C97" s="5" t="s">
        <v>127</v>
      </c>
      <c r="D97" s="5" t="s">
        <v>37</v>
      </c>
      <c r="E97" s="5" t="s">
        <v>110</v>
      </c>
      <c r="F97" s="5" t="s">
        <v>111</v>
      </c>
      <c r="G97" s="5" t="s">
        <v>40</v>
      </c>
      <c r="H97" s="6">
        <v>45961</v>
      </c>
      <c r="I97" s="6">
        <v>45961</v>
      </c>
      <c r="J97" s="6">
        <v>45964</v>
      </c>
      <c r="K97" s="5" t="s">
        <v>41</v>
      </c>
      <c r="L97" s="5" t="s">
        <v>42</v>
      </c>
      <c r="M97" s="5" t="s">
        <v>43</v>
      </c>
      <c r="N97" s="5" t="s">
        <v>44</v>
      </c>
      <c r="O97" s="7">
        <v>1025.33</v>
      </c>
      <c r="P97" s="5" t="s">
        <v>45</v>
      </c>
      <c r="Q97" s="22"/>
      <c r="R97" s="8">
        <f t="shared" si="3"/>
        <v>1025.33</v>
      </c>
      <c r="S97" s="7">
        <v>1025.33</v>
      </c>
      <c r="T97" s="7"/>
      <c r="U97" s="7">
        <f t="shared" si="5"/>
        <v>1025.33</v>
      </c>
      <c r="V97" s="5" t="s">
        <v>45</v>
      </c>
      <c r="W97" s="7">
        <v>301.75</v>
      </c>
      <c r="X97" s="5" t="s">
        <v>46</v>
      </c>
      <c r="Z97" s="8">
        <f t="shared" si="4"/>
        <v>301.75</v>
      </c>
    </row>
    <row r="98" spans="1:26" x14ac:dyDescent="0.25">
      <c r="A98" s="5" t="s">
        <v>34</v>
      </c>
      <c r="B98" s="5" t="s">
        <v>126</v>
      </c>
      <c r="C98" s="5" t="s">
        <v>127</v>
      </c>
      <c r="D98" s="5" t="s">
        <v>37</v>
      </c>
      <c r="E98" s="5" t="s">
        <v>104</v>
      </c>
      <c r="F98" s="5" t="s">
        <v>105</v>
      </c>
      <c r="G98" s="5" t="s">
        <v>40</v>
      </c>
      <c r="H98" s="6">
        <v>45961</v>
      </c>
      <c r="I98" s="6">
        <v>45961</v>
      </c>
      <c r="J98" s="6">
        <v>45964</v>
      </c>
      <c r="K98" s="5" t="s">
        <v>41</v>
      </c>
      <c r="L98" s="5" t="s">
        <v>42</v>
      </c>
      <c r="M98" s="5" t="s">
        <v>43</v>
      </c>
      <c r="N98" s="5" t="s">
        <v>44</v>
      </c>
      <c r="O98" s="7">
        <v>59.42</v>
      </c>
      <c r="P98" s="5" t="s">
        <v>45</v>
      </c>
      <c r="Q98" s="22"/>
      <c r="R98" s="8">
        <f t="shared" si="3"/>
        <v>59.42</v>
      </c>
      <c r="S98" s="7">
        <v>59.42</v>
      </c>
      <c r="T98" s="7"/>
      <c r="U98" s="7">
        <f t="shared" si="5"/>
        <v>59.42</v>
      </c>
      <c r="V98" s="5" t="s">
        <v>45</v>
      </c>
      <c r="W98" s="7">
        <v>17.489999999999998</v>
      </c>
      <c r="X98" s="5" t="s">
        <v>46</v>
      </c>
      <c r="Z98" s="8">
        <f t="shared" si="4"/>
        <v>17.489999999999998</v>
      </c>
    </row>
    <row r="99" spans="1:26" x14ac:dyDescent="0.25">
      <c r="A99" s="5" t="s">
        <v>34</v>
      </c>
      <c r="B99" s="5" t="s">
        <v>126</v>
      </c>
      <c r="C99" s="5" t="s">
        <v>127</v>
      </c>
      <c r="D99" s="5" t="s">
        <v>37</v>
      </c>
      <c r="E99" s="5" t="s">
        <v>38</v>
      </c>
      <c r="F99" s="5" t="s">
        <v>39</v>
      </c>
      <c r="G99" s="5" t="s">
        <v>40</v>
      </c>
      <c r="H99" s="6">
        <v>45961</v>
      </c>
      <c r="I99" s="6">
        <v>45961</v>
      </c>
      <c r="J99" s="6">
        <v>45964</v>
      </c>
      <c r="K99" s="5" t="s">
        <v>41</v>
      </c>
      <c r="L99" s="5" t="s">
        <v>42</v>
      </c>
      <c r="M99" s="5" t="s">
        <v>43</v>
      </c>
      <c r="N99" s="5" t="s">
        <v>44</v>
      </c>
      <c r="O99" s="7">
        <v>89.01</v>
      </c>
      <c r="P99" s="5" t="s">
        <v>45</v>
      </c>
      <c r="Q99" s="22"/>
      <c r="R99" s="8">
        <f t="shared" si="3"/>
        <v>89.01</v>
      </c>
      <c r="S99" s="7">
        <v>89.01</v>
      </c>
      <c r="T99" s="7"/>
      <c r="U99" s="7">
        <f t="shared" si="5"/>
        <v>89.01</v>
      </c>
      <c r="V99" s="5" t="s">
        <v>45</v>
      </c>
      <c r="W99" s="7">
        <v>26.19</v>
      </c>
      <c r="X99" s="5" t="s">
        <v>46</v>
      </c>
      <c r="Z99" s="8">
        <f t="shared" si="4"/>
        <v>26.19</v>
      </c>
    </row>
    <row r="100" spans="1:26" x14ac:dyDescent="0.25">
      <c r="A100" s="5" t="s">
        <v>34</v>
      </c>
      <c r="B100" s="5" t="s">
        <v>126</v>
      </c>
      <c r="C100" s="5" t="s">
        <v>127</v>
      </c>
      <c r="D100" s="5" t="s">
        <v>37</v>
      </c>
      <c r="E100" s="5" t="s">
        <v>116</v>
      </c>
      <c r="F100" s="5" t="s">
        <v>117</v>
      </c>
      <c r="G100" s="5" t="s">
        <v>40</v>
      </c>
      <c r="H100" s="6">
        <v>45961</v>
      </c>
      <c r="I100" s="6">
        <v>45961</v>
      </c>
      <c r="J100" s="6">
        <v>45964</v>
      </c>
      <c r="K100" s="5" t="s">
        <v>41</v>
      </c>
      <c r="L100" s="5" t="s">
        <v>42</v>
      </c>
      <c r="M100" s="5" t="s">
        <v>43</v>
      </c>
      <c r="N100" s="5" t="s">
        <v>44</v>
      </c>
      <c r="O100" s="7">
        <v>507.92</v>
      </c>
      <c r="P100" s="5" t="s">
        <v>45</v>
      </c>
      <c r="Q100" s="22"/>
      <c r="R100" s="8">
        <f t="shared" si="3"/>
        <v>507.92</v>
      </c>
      <c r="S100" s="7">
        <v>507.92</v>
      </c>
      <c r="T100" s="7"/>
      <c r="U100" s="7">
        <f t="shared" si="5"/>
        <v>507.92</v>
      </c>
      <c r="V100" s="5" t="s">
        <v>45</v>
      </c>
      <c r="W100" s="7">
        <v>149.47999999999999</v>
      </c>
      <c r="X100" s="5" t="s">
        <v>46</v>
      </c>
      <c r="Z100" s="8">
        <f t="shared" si="4"/>
        <v>149.47999999999999</v>
      </c>
    </row>
    <row r="101" spans="1:26" x14ac:dyDescent="0.25">
      <c r="A101" s="5" t="s">
        <v>34</v>
      </c>
      <c r="B101" s="5" t="s">
        <v>126</v>
      </c>
      <c r="C101" s="5" t="s">
        <v>127</v>
      </c>
      <c r="D101" s="5" t="s">
        <v>37</v>
      </c>
      <c r="E101" s="5" t="s">
        <v>80</v>
      </c>
      <c r="F101" s="5" t="s">
        <v>81</v>
      </c>
      <c r="G101" s="5" t="s">
        <v>40</v>
      </c>
      <c r="H101" s="6">
        <v>45961</v>
      </c>
      <c r="I101" s="6">
        <v>45961</v>
      </c>
      <c r="J101" s="6">
        <v>45964</v>
      </c>
      <c r="K101" s="5" t="s">
        <v>41</v>
      </c>
      <c r="L101" s="5" t="s">
        <v>42</v>
      </c>
      <c r="M101" s="5" t="s">
        <v>43</v>
      </c>
      <c r="N101" s="5" t="s">
        <v>44</v>
      </c>
      <c r="O101" s="7">
        <v>310.61</v>
      </c>
      <c r="P101" s="5" t="s">
        <v>45</v>
      </c>
      <c r="Q101" s="22"/>
      <c r="R101" s="8">
        <f t="shared" si="3"/>
        <v>310.61</v>
      </c>
      <c r="S101" s="7">
        <v>310.61</v>
      </c>
      <c r="T101" s="7"/>
      <c r="U101" s="7">
        <f t="shared" si="5"/>
        <v>310.61</v>
      </c>
      <c r="V101" s="5" t="s">
        <v>45</v>
      </c>
      <c r="W101" s="7">
        <v>91.41</v>
      </c>
      <c r="X101" s="5" t="s">
        <v>46</v>
      </c>
      <c r="Z101" s="8">
        <f t="shared" si="4"/>
        <v>91.41</v>
      </c>
    </row>
    <row r="102" spans="1:26" x14ac:dyDescent="0.25">
      <c r="A102" s="5" t="s">
        <v>34</v>
      </c>
      <c r="B102" s="5" t="s">
        <v>126</v>
      </c>
      <c r="C102" s="5" t="s">
        <v>127</v>
      </c>
      <c r="D102" s="5" t="s">
        <v>37</v>
      </c>
      <c r="E102" s="5" t="s">
        <v>100</v>
      </c>
      <c r="F102" s="5" t="s">
        <v>101</v>
      </c>
      <c r="G102" s="5" t="s">
        <v>40</v>
      </c>
      <c r="H102" s="6">
        <v>45961</v>
      </c>
      <c r="I102" s="6">
        <v>45961</v>
      </c>
      <c r="J102" s="6">
        <v>45964</v>
      </c>
      <c r="K102" s="5" t="s">
        <v>41</v>
      </c>
      <c r="L102" s="5" t="s">
        <v>42</v>
      </c>
      <c r="M102" s="5" t="s">
        <v>43</v>
      </c>
      <c r="N102" s="5" t="s">
        <v>44</v>
      </c>
      <c r="O102" s="7">
        <v>511.48</v>
      </c>
      <c r="P102" s="5" t="s">
        <v>45</v>
      </c>
      <c r="Q102" s="22"/>
      <c r="R102" s="8">
        <f t="shared" si="3"/>
        <v>511.48</v>
      </c>
      <c r="S102" s="7">
        <v>511.48</v>
      </c>
      <c r="T102" s="7"/>
      <c r="U102" s="7">
        <f t="shared" si="5"/>
        <v>511.48</v>
      </c>
      <c r="V102" s="5" t="s">
        <v>45</v>
      </c>
      <c r="W102" s="7">
        <v>150.52000000000001</v>
      </c>
      <c r="X102" s="5" t="s">
        <v>46</v>
      </c>
      <c r="Z102" s="8">
        <f t="shared" si="4"/>
        <v>150.52000000000001</v>
      </c>
    </row>
    <row r="103" spans="1:26" x14ac:dyDescent="0.25">
      <c r="A103" s="5" t="s">
        <v>34</v>
      </c>
      <c r="B103" s="5" t="s">
        <v>126</v>
      </c>
      <c r="C103" s="5" t="s">
        <v>127</v>
      </c>
      <c r="D103" s="5" t="s">
        <v>37</v>
      </c>
      <c r="E103" s="5" t="s">
        <v>50</v>
      </c>
      <c r="F103" s="5" t="s">
        <v>51</v>
      </c>
      <c r="G103" s="5" t="s">
        <v>40</v>
      </c>
      <c r="H103" s="6">
        <v>45961</v>
      </c>
      <c r="I103" s="6">
        <v>45961</v>
      </c>
      <c r="J103" s="6">
        <v>45964</v>
      </c>
      <c r="K103" s="5" t="s">
        <v>41</v>
      </c>
      <c r="L103" s="5" t="s">
        <v>42</v>
      </c>
      <c r="M103" s="5" t="s">
        <v>43</v>
      </c>
      <c r="N103" s="5" t="s">
        <v>44</v>
      </c>
      <c r="O103" s="7">
        <v>838.07</v>
      </c>
      <c r="P103" s="5" t="s">
        <v>45</v>
      </c>
      <c r="Q103" s="22"/>
      <c r="R103" s="8">
        <f t="shared" si="3"/>
        <v>838.07</v>
      </c>
      <c r="S103" s="7">
        <v>838.07</v>
      </c>
      <c r="T103" s="7"/>
      <c r="U103" s="7">
        <f t="shared" si="5"/>
        <v>838.07</v>
      </c>
      <c r="V103" s="5" t="s">
        <v>45</v>
      </c>
      <c r="W103" s="7">
        <v>246.64</v>
      </c>
      <c r="X103" s="5" t="s">
        <v>46</v>
      </c>
      <c r="Z103" s="8">
        <f t="shared" si="4"/>
        <v>246.64</v>
      </c>
    </row>
    <row r="104" spans="1:26" x14ac:dyDescent="0.25">
      <c r="A104" s="5" t="s">
        <v>34</v>
      </c>
      <c r="B104" s="5" t="s">
        <v>126</v>
      </c>
      <c r="C104" s="5" t="s">
        <v>127</v>
      </c>
      <c r="D104" s="5" t="s">
        <v>37</v>
      </c>
      <c r="E104" s="5" t="s">
        <v>48</v>
      </c>
      <c r="F104" s="5" t="s">
        <v>49</v>
      </c>
      <c r="G104" s="5" t="s">
        <v>40</v>
      </c>
      <c r="H104" s="6">
        <v>45961</v>
      </c>
      <c r="I104" s="6">
        <v>45961</v>
      </c>
      <c r="J104" s="6">
        <v>45964</v>
      </c>
      <c r="K104" s="5" t="s">
        <v>41</v>
      </c>
      <c r="L104" s="5" t="s">
        <v>42</v>
      </c>
      <c r="M104" s="5" t="s">
        <v>43</v>
      </c>
      <c r="N104" s="5" t="s">
        <v>44</v>
      </c>
      <c r="O104" s="7">
        <v>1066.83</v>
      </c>
      <c r="P104" s="5" t="s">
        <v>45</v>
      </c>
      <c r="Q104" s="22"/>
      <c r="R104" s="8">
        <f t="shared" si="3"/>
        <v>1066.83</v>
      </c>
      <c r="S104" s="7">
        <v>1066.83</v>
      </c>
      <c r="T104" s="7"/>
      <c r="U104" s="7">
        <f t="shared" si="5"/>
        <v>1066.83</v>
      </c>
      <c r="V104" s="5" t="s">
        <v>45</v>
      </c>
      <c r="W104" s="7">
        <v>313.95999999999998</v>
      </c>
      <c r="X104" s="5" t="s">
        <v>46</v>
      </c>
      <c r="Z104" s="8">
        <f t="shared" si="4"/>
        <v>313.95999999999998</v>
      </c>
    </row>
    <row r="105" spans="1:26" x14ac:dyDescent="0.25">
      <c r="A105" s="5" t="s">
        <v>34</v>
      </c>
      <c r="B105" s="5" t="s">
        <v>126</v>
      </c>
      <c r="C105" s="5" t="s">
        <v>127</v>
      </c>
      <c r="D105" s="5" t="s">
        <v>37</v>
      </c>
      <c r="E105" s="5" t="s">
        <v>94</v>
      </c>
      <c r="F105" s="5" t="s">
        <v>95</v>
      </c>
      <c r="G105" s="5" t="s">
        <v>40</v>
      </c>
      <c r="H105" s="6">
        <v>45961</v>
      </c>
      <c r="I105" s="6">
        <v>45961</v>
      </c>
      <c r="J105" s="6">
        <v>45964</v>
      </c>
      <c r="K105" s="5" t="s">
        <v>41</v>
      </c>
      <c r="L105" s="5" t="s">
        <v>42</v>
      </c>
      <c r="M105" s="5" t="s">
        <v>43</v>
      </c>
      <c r="N105" s="5" t="s">
        <v>44</v>
      </c>
      <c r="O105" s="7">
        <v>125</v>
      </c>
      <c r="P105" s="5" t="s">
        <v>45</v>
      </c>
      <c r="Q105" s="22"/>
      <c r="R105" s="8">
        <f t="shared" si="3"/>
        <v>125</v>
      </c>
      <c r="S105" s="7">
        <v>125</v>
      </c>
      <c r="T105" s="7"/>
      <c r="U105" s="7">
        <f t="shared" si="5"/>
        <v>125</v>
      </c>
      <c r="V105" s="5" t="s">
        <v>45</v>
      </c>
      <c r="W105" s="7">
        <v>36.79</v>
      </c>
      <c r="X105" s="5" t="s">
        <v>46</v>
      </c>
      <c r="Z105" s="8">
        <f t="shared" si="4"/>
        <v>36.79</v>
      </c>
    </row>
    <row r="106" spans="1:26" x14ac:dyDescent="0.25">
      <c r="A106" s="5" t="s">
        <v>34</v>
      </c>
      <c r="B106" s="5" t="s">
        <v>126</v>
      </c>
      <c r="C106" s="5" t="s">
        <v>127</v>
      </c>
      <c r="D106" s="5" t="s">
        <v>37</v>
      </c>
      <c r="E106" s="5" t="s">
        <v>54</v>
      </c>
      <c r="F106" s="5" t="s">
        <v>55</v>
      </c>
      <c r="G106" s="5" t="s">
        <v>40</v>
      </c>
      <c r="H106" s="6">
        <v>45961</v>
      </c>
      <c r="I106" s="6">
        <v>45961</v>
      </c>
      <c r="J106" s="6">
        <v>45964</v>
      </c>
      <c r="K106" s="5" t="s">
        <v>41</v>
      </c>
      <c r="L106" s="5" t="s">
        <v>42</v>
      </c>
      <c r="M106" s="5" t="s">
        <v>43</v>
      </c>
      <c r="N106" s="5" t="s">
        <v>44</v>
      </c>
      <c r="O106" s="7">
        <v>245.77</v>
      </c>
      <c r="P106" s="5" t="s">
        <v>45</v>
      </c>
      <c r="Q106" s="22"/>
      <c r="R106" s="8">
        <f t="shared" si="3"/>
        <v>245.77</v>
      </c>
      <c r="S106" s="7">
        <v>245.77</v>
      </c>
      <c r="T106" s="7"/>
      <c r="U106" s="7">
        <f t="shared" si="5"/>
        <v>245.77</v>
      </c>
      <c r="V106" s="5" t="s">
        <v>45</v>
      </c>
      <c r="W106" s="7">
        <v>72.33</v>
      </c>
      <c r="X106" s="5" t="s">
        <v>46</v>
      </c>
      <c r="Z106" s="8">
        <f t="shared" si="4"/>
        <v>72.33</v>
      </c>
    </row>
    <row r="107" spans="1:26" x14ac:dyDescent="0.25">
      <c r="A107" s="5" t="s">
        <v>34</v>
      </c>
      <c r="B107" s="5" t="s">
        <v>126</v>
      </c>
      <c r="C107" s="5" t="s">
        <v>127</v>
      </c>
      <c r="D107" s="5" t="s">
        <v>37</v>
      </c>
      <c r="E107" s="5" t="s">
        <v>96</v>
      </c>
      <c r="F107" s="5" t="s">
        <v>97</v>
      </c>
      <c r="G107" s="5" t="s">
        <v>40</v>
      </c>
      <c r="H107" s="6">
        <v>45961</v>
      </c>
      <c r="I107" s="6">
        <v>45961</v>
      </c>
      <c r="J107" s="6">
        <v>45964</v>
      </c>
      <c r="K107" s="5" t="s">
        <v>41</v>
      </c>
      <c r="L107" s="5" t="s">
        <v>42</v>
      </c>
      <c r="M107" s="5" t="s">
        <v>43</v>
      </c>
      <c r="N107" s="5" t="s">
        <v>44</v>
      </c>
      <c r="O107" s="7">
        <v>1957.34</v>
      </c>
      <c r="P107" s="5" t="s">
        <v>45</v>
      </c>
      <c r="Q107" s="22"/>
      <c r="R107" s="8">
        <f t="shared" si="3"/>
        <v>1957.34</v>
      </c>
      <c r="S107" s="7">
        <v>1957.34</v>
      </c>
      <c r="T107" s="7"/>
      <c r="U107" s="7">
        <f t="shared" si="5"/>
        <v>1957.34</v>
      </c>
      <c r="V107" s="5" t="s">
        <v>45</v>
      </c>
      <c r="W107" s="7">
        <v>576.03</v>
      </c>
      <c r="X107" s="5" t="s">
        <v>46</v>
      </c>
      <c r="Z107" s="8">
        <f t="shared" si="4"/>
        <v>576.03</v>
      </c>
    </row>
    <row r="108" spans="1:26" x14ac:dyDescent="0.25">
      <c r="A108" s="5" t="s">
        <v>34</v>
      </c>
      <c r="B108" s="5" t="s">
        <v>126</v>
      </c>
      <c r="C108" s="5" t="s">
        <v>127</v>
      </c>
      <c r="D108" s="5" t="s">
        <v>37</v>
      </c>
      <c r="E108" s="5" t="s">
        <v>86</v>
      </c>
      <c r="F108" s="5" t="s">
        <v>87</v>
      </c>
      <c r="G108" s="5" t="s">
        <v>40</v>
      </c>
      <c r="H108" s="6">
        <v>45961</v>
      </c>
      <c r="I108" s="6">
        <v>45961</v>
      </c>
      <c r="J108" s="6">
        <v>45964</v>
      </c>
      <c r="K108" s="5" t="s">
        <v>41</v>
      </c>
      <c r="L108" s="5" t="s">
        <v>42</v>
      </c>
      <c r="M108" s="5" t="s">
        <v>43</v>
      </c>
      <c r="N108" s="5" t="s">
        <v>44</v>
      </c>
      <c r="O108" s="7">
        <v>1090.4100000000001</v>
      </c>
      <c r="P108" s="5" t="s">
        <v>45</v>
      </c>
      <c r="Q108" s="22"/>
      <c r="R108" s="8">
        <f t="shared" si="3"/>
        <v>1090.4100000000001</v>
      </c>
      <c r="S108" s="7">
        <v>1090.4100000000001</v>
      </c>
      <c r="T108" s="7"/>
      <c r="U108" s="7">
        <f t="shared" si="5"/>
        <v>1090.4100000000001</v>
      </c>
      <c r="V108" s="5" t="s">
        <v>45</v>
      </c>
      <c r="W108" s="7">
        <v>320.89999999999998</v>
      </c>
      <c r="X108" s="5" t="s">
        <v>46</v>
      </c>
      <c r="Z108" s="8">
        <f t="shared" si="4"/>
        <v>320.89999999999998</v>
      </c>
    </row>
    <row r="109" spans="1:26" x14ac:dyDescent="0.25">
      <c r="A109" s="5" t="s">
        <v>34</v>
      </c>
      <c r="B109" s="5" t="s">
        <v>126</v>
      </c>
      <c r="C109" s="5" t="s">
        <v>127</v>
      </c>
      <c r="D109" s="5" t="s">
        <v>37</v>
      </c>
      <c r="E109" s="5" t="s">
        <v>58</v>
      </c>
      <c r="F109" s="5" t="s">
        <v>59</v>
      </c>
      <c r="G109" s="5" t="s">
        <v>40</v>
      </c>
      <c r="H109" s="6">
        <v>45961</v>
      </c>
      <c r="I109" s="6">
        <v>45961</v>
      </c>
      <c r="J109" s="6">
        <v>45964</v>
      </c>
      <c r="K109" s="5" t="s">
        <v>41</v>
      </c>
      <c r="L109" s="5" t="s">
        <v>42</v>
      </c>
      <c r="M109" s="5" t="s">
        <v>43</v>
      </c>
      <c r="N109" s="5" t="s">
        <v>44</v>
      </c>
      <c r="O109" s="7">
        <v>24.34</v>
      </c>
      <c r="P109" s="5" t="s">
        <v>45</v>
      </c>
      <c r="Q109" s="22"/>
      <c r="R109" s="8">
        <f t="shared" si="3"/>
        <v>24.34</v>
      </c>
      <c r="S109" s="7">
        <v>24.34</v>
      </c>
      <c r="T109" s="7"/>
      <c r="U109" s="7">
        <f t="shared" si="5"/>
        <v>24.34</v>
      </c>
      <c r="V109" s="5" t="s">
        <v>45</v>
      </c>
      <c r="W109" s="7">
        <v>7.16</v>
      </c>
      <c r="X109" s="5" t="s">
        <v>46</v>
      </c>
      <c r="Z109" s="8">
        <f t="shared" si="4"/>
        <v>7.16</v>
      </c>
    </row>
    <row r="110" spans="1:26" x14ac:dyDescent="0.25">
      <c r="A110" s="5" t="s">
        <v>34</v>
      </c>
      <c r="B110" s="5" t="s">
        <v>126</v>
      </c>
      <c r="C110" s="5" t="s">
        <v>127</v>
      </c>
      <c r="D110" s="5" t="s">
        <v>37</v>
      </c>
      <c r="E110" s="5" t="s">
        <v>62</v>
      </c>
      <c r="F110" s="5" t="s">
        <v>63</v>
      </c>
      <c r="G110" s="5" t="s">
        <v>40</v>
      </c>
      <c r="H110" s="6">
        <v>45961</v>
      </c>
      <c r="I110" s="6">
        <v>45961</v>
      </c>
      <c r="J110" s="6">
        <v>45964</v>
      </c>
      <c r="K110" s="5" t="s">
        <v>41</v>
      </c>
      <c r="L110" s="5" t="s">
        <v>42</v>
      </c>
      <c r="M110" s="5" t="s">
        <v>43</v>
      </c>
      <c r="N110" s="5" t="s">
        <v>44</v>
      </c>
      <c r="O110" s="7">
        <v>644.71</v>
      </c>
      <c r="P110" s="5" t="s">
        <v>45</v>
      </c>
      <c r="Q110" s="22"/>
      <c r="R110" s="8">
        <f t="shared" si="3"/>
        <v>644.71</v>
      </c>
      <c r="S110" s="7">
        <v>644.71</v>
      </c>
      <c r="T110" s="7"/>
      <c r="U110" s="7">
        <f t="shared" si="5"/>
        <v>644.71</v>
      </c>
      <c r="V110" s="5" t="s">
        <v>45</v>
      </c>
      <c r="W110" s="7">
        <v>189.73</v>
      </c>
      <c r="X110" s="5" t="s">
        <v>46</v>
      </c>
      <c r="Z110" s="8">
        <f t="shared" si="4"/>
        <v>189.73</v>
      </c>
    </row>
    <row r="111" spans="1:26" x14ac:dyDescent="0.25">
      <c r="A111" s="5" t="s">
        <v>34</v>
      </c>
      <c r="B111" s="5" t="s">
        <v>126</v>
      </c>
      <c r="C111" s="5" t="s">
        <v>127</v>
      </c>
      <c r="D111" s="5" t="s">
        <v>37</v>
      </c>
      <c r="E111" s="5" t="s">
        <v>118</v>
      </c>
      <c r="F111" s="5" t="s">
        <v>119</v>
      </c>
      <c r="G111" s="5" t="s">
        <v>40</v>
      </c>
      <c r="H111" s="6">
        <v>45961</v>
      </c>
      <c r="I111" s="6">
        <v>45961</v>
      </c>
      <c r="J111" s="6">
        <v>45964</v>
      </c>
      <c r="K111" s="5" t="s">
        <v>41</v>
      </c>
      <c r="L111" s="5" t="s">
        <v>42</v>
      </c>
      <c r="M111" s="5" t="s">
        <v>43</v>
      </c>
      <c r="N111" s="5" t="s">
        <v>44</v>
      </c>
      <c r="O111" s="7">
        <v>421.89</v>
      </c>
      <c r="P111" s="5" t="s">
        <v>45</v>
      </c>
      <c r="Q111" s="22"/>
      <c r="R111" s="8">
        <f t="shared" si="3"/>
        <v>421.89</v>
      </c>
      <c r="S111" s="7">
        <v>421.89</v>
      </c>
      <c r="T111" s="7"/>
      <c r="U111" s="7">
        <f t="shared" si="5"/>
        <v>421.89</v>
      </c>
      <c r="V111" s="5" t="s">
        <v>45</v>
      </c>
      <c r="W111" s="7">
        <v>124.16</v>
      </c>
      <c r="X111" s="5" t="s">
        <v>46</v>
      </c>
      <c r="Z111" s="8">
        <f t="shared" si="4"/>
        <v>124.16</v>
      </c>
    </row>
    <row r="112" spans="1:26" x14ac:dyDescent="0.25">
      <c r="A112" s="5" t="s">
        <v>34</v>
      </c>
      <c r="B112" s="5" t="s">
        <v>126</v>
      </c>
      <c r="C112" s="5" t="s">
        <v>127</v>
      </c>
      <c r="D112" s="5" t="s">
        <v>37</v>
      </c>
      <c r="E112" s="5" t="s">
        <v>98</v>
      </c>
      <c r="F112" s="5" t="s">
        <v>99</v>
      </c>
      <c r="G112" s="5" t="s">
        <v>40</v>
      </c>
      <c r="H112" s="6">
        <v>45961</v>
      </c>
      <c r="I112" s="6">
        <v>45961</v>
      </c>
      <c r="J112" s="6">
        <v>45964</v>
      </c>
      <c r="K112" s="5" t="s">
        <v>41</v>
      </c>
      <c r="L112" s="5" t="s">
        <v>42</v>
      </c>
      <c r="M112" s="5" t="s">
        <v>43</v>
      </c>
      <c r="N112" s="5" t="s">
        <v>44</v>
      </c>
      <c r="O112" s="7">
        <v>319.77</v>
      </c>
      <c r="P112" s="5" t="s">
        <v>45</v>
      </c>
      <c r="Q112" s="22"/>
      <c r="R112" s="8">
        <f t="shared" si="3"/>
        <v>319.77</v>
      </c>
      <c r="S112" s="7">
        <v>319.77</v>
      </c>
      <c r="T112" s="7"/>
      <c r="U112" s="7">
        <f t="shared" si="5"/>
        <v>319.77</v>
      </c>
      <c r="V112" s="5" t="s">
        <v>45</v>
      </c>
      <c r="W112" s="7">
        <v>94.11</v>
      </c>
      <c r="X112" s="5" t="s">
        <v>46</v>
      </c>
      <c r="Z112" s="8">
        <f t="shared" si="4"/>
        <v>94.11</v>
      </c>
    </row>
    <row r="113" spans="1:26" x14ac:dyDescent="0.25">
      <c r="A113" s="5" t="s">
        <v>34</v>
      </c>
      <c r="B113" s="5" t="s">
        <v>126</v>
      </c>
      <c r="C113" s="5" t="s">
        <v>127</v>
      </c>
      <c r="D113" s="5" t="s">
        <v>37</v>
      </c>
      <c r="E113" s="5" t="s">
        <v>102</v>
      </c>
      <c r="F113" s="5" t="s">
        <v>103</v>
      </c>
      <c r="G113" s="5" t="s">
        <v>40</v>
      </c>
      <c r="H113" s="6">
        <v>45961</v>
      </c>
      <c r="I113" s="6">
        <v>45961</v>
      </c>
      <c r="J113" s="6">
        <v>45964</v>
      </c>
      <c r="K113" s="5" t="s">
        <v>41</v>
      </c>
      <c r="L113" s="5" t="s">
        <v>42</v>
      </c>
      <c r="M113" s="5" t="s">
        <v>43</v>
      </c>
      <c r="N113" s="5" t="s">
        <v>44</v>
      </c>
      <c r="O113" s="7">
        <v>991.02</v>
      </c>
      <c r="P113" s="5" t="s">
        <v>45</v>
      </c>
      <c r="Q113" s="22"/>
      <c r="R113" s="8">
        <f t="shared" si="3"/>
        <v>991.02</v>
      </c>
      <c r="S113" s="7">
        <v>991.02</v>
      </c>
      <c r="T113" s="7"/>
      <c r="U113" s="7">
        <f t="shared" si="5"/>
        <v>991.02</v>
      </c>
      <c r="V113" s="5" t="s">
        <v>45</v>
      </c>
      <c r="W113" s="7">
        <v>291.64999999999998</v>
      </c>
      <c r="X113" s="5" t="s">
        <v>46</v>
      </c>
      <c r="Z113" s="8">
        <f t="shared" si="4"/>
        <v>291.64999999999998</v>
      </c>
    </row>
    <row r="114" spans="1:26" x14ac:dyDescent="0.25">
      <c r="A114" s="5" t="s">
        <v>34</v>
      </c>
      <c r="B114" s="5" t="s">
        <v>126</v>
      </c>
      <c r="C114" s="5" t="s">
        <v>127</v>
      </c>
      <c r="D114" s="5" t="s">
        <v>37</v>
      </c>
      <c r="E114" s="5" t="s">
        <v>56</v>
      </c>
      <c r="F114" s="5" t="s">
        <v>57</v>
      </c>
      <c r="G114" s="5" t="s">
        <v>40</v>
      </c>
      <c r="H114" s="6">
        <v>45961</v>
      </c>
      <c r="I114" s="6">
        <v>45961</v>
      </c>
      <c r="J114" s="6">
        <v>45964</v>
      </c>
      <c r="K114" s="5" t="s">
        <v>41</v>
      </c>
      <c r="L114" s="5" t="s">
        <v>42</v>
      </c>
      <c r="M114" s="5" t="s">
        <v>43</v>
      </c>
      <c r="N114" s="5" t="s">
        <v>44</v>
      </c>
      <c r="O114" s="7">
        <v>646.27</v>
      </c>
      <c r="P114" s="5" t="s">
        <v>45</v>
      </c>
      <c r="Q114" s="22"/>
      <c r="R114" s="8">
        <f t="shared" si="3"/>
        <v>646.27</v>
      </c>
      <c r="S114" s="7">
        <v>646.27</v>
      </c>
      <c r="T114" s="7"/>
      <c r="U114" s="7">
        <f t="shared" si="5"/>
        <v>646.27</v>
      </c>
      <c r="V114" s="5" t="s">
        <v>45</v>
      </c>
      <c r="W114" s="7">
        <v>190.19</v>
      </c>
      <c r="X114" s="5" t="s">
        <v>46</v>
      </c>
      <c r="Z114" s="8">
        <f t="shared" si="4"/>
        <v>190.19</v>
      </c>
    </row>
    <row r="115" spans="1:26" x14ac:dyDescent="0.25">
      <c r="A115" s="5" t="s">
        <v>34</v>
      </c>
      <c r="B115" s="5" t="s">
        <v>126</v>
      </c>
      <c r="C115" s="5" t="s">
        <v>127</v>
      </c>
      <c r="D115" s="5" t="s">
        <v>37</v>
      </c>
      <c r="E115" s="5" t="s">
        <v>112</v>
      </c>
      <c r="F115" s="5" t="s">
        <v>113</v>
      </c>
      <c r="G115" s="5" t="s">
        <v>40</v>
      </c>
      <c r="H115" s="6">
        <v>45961</v>
      </c>
      <c r="I115" s="6">
        <v>45961</v>
      </c>
      <c r="J115" s="6">
        <v>45964</v>
      </c>
      <c r="K115" s="5" t="s">
        <v>41</v>
      </c>
      <c r="L115" s="5" t="s">
        <v>42</v>
      </c>
      <c r="M115" s="5" t="s">
        <v>43</v>
      </c>
      <c r="N115" s="5" t="s">
        <v>44</v>
      </c>
      <c r="O115" s="7">
        <v>22.21</v>
      </c>
      <c r="P115" s="5" t="s">
        <v>45</v>
      </c>
      <c r="Q115" s="22"/>
      <c r="R115" s="8">
        <f t="shared" si="3"/>
        <v>22.21</v>
      </c>
      <c r="S115" s="7">
        <v>22.21</v>
      </c>
      <c r="T115" s="7"/>
      <c r="U115" s="7">
        <f t="shared" si="5"/>
        <v>22.21</v>
      </c>
      <c r="V115" s="5" t="s">
        <v>45</v>
      </c>
      <c r="W115" s="7">
        <v>6.54</v>
      </c>
      <c r="X115" s="5" t="s">
        <v>46</v>
      </c>
      <c r="Z115" s="8">
        <f t="shared" si="4"/>
        <v>6.54</v>
      </c>
    </row>
    <row r="116" spans="1:26" x14ac:dyDescent="0.25">
      <c r="A116" s="5" t="s">
        <v>34</v>
      </c>
      <c r="B116" s="5" t="s">
        <v>126</v>
      </c>
      <c r="C116" s="5" t="s">
        <v>127</v>
      </c>
      <c r="D116" s="5" t="s">
        <v>37</v>
      </c>
      <c r="E116" s="5" t="s">
        <v>114</v>
      </c>
      <c r="F116" s="5" t="s">
        <v>115</v>
      </c>
      <c r="G116" s="5" t="s">
        <v>40</v>
      </c>
      <c r="H116" s="6">
        <v>45961</v>
      </c>
      <c r="I116" s="6">
        <v>45961</v>
      </c>
      <c r="J116" s="6">
        <v>45964</v>
      </c>
      <c r="K116" s="5" t="s">
        <v>41</v>
      </c>
      <c r="L116" s="5" t="s">
        <v>42</v>
      </c>
      <c r="M116" s="5" t="s">
        <v>43</v>
      </c>
      <c r="N116" s="5" t="s">
        <v>44</v>
      </c>
      <c r="O116" s="7">
        <v>582.27</v>
      </c>
      <c r="P116" s="5" t="s">
        <v>45</v>
      </c>
      <c r="Q116" s="22"/>
      <c r="R116" s="8">
        <f t="shared" si="3"/>
        <v>582.27</v>
      </c>
      <c r="S116" s="7">
        <v>582.27</v>
      </c>
      <c r="T116" s="7"/>
      <c r="U116" s="7">
        <f t="shared" si="5"/>
        <v>582.27</v>
      </c>
      <c r="V116" s="5" t="s">
        <v>45</v>
      </c>
      <c r="W116" s="7">
        <v>171.36</v>
      </c>
      <c r="X116" s="5" t="s">
        <v>46</v>
      </c>
      <c r="Z116" s="8">
        <f t="shared" si="4"/>
        <v>171.36</v>
      </c>
    </row>
    <row r="117" spans="1:26" x14ac:dyDescent="0.25">
      <c r="A117" s="5" t="s">
        <v>34</v>
      </c>
      <c r="B117" s="5" t="s">
        <v>126</v>
      </c>
      <c r="C117" s="5" t="s">
        <v>127</v>
      </c>
      <c r="D117" s="5" t="s">
        <v>37</v>
      </c>
      <c r="E117" s="5" t="s">
        <v>84</v>
      </c>
      <c r="F117" s="5" t="s">
        <v>85</v>
      </c>
      <c r="G117" s="5" t="s">
        <v>40</v>
      </c>
      <c r="H117" s="6">
        <v>45961</v>
      </c>
      <c r="I117" s="6">
        <v>45961</v>
      </c>
      <c r="J117" s="6">
        <v>45964</v>
      </c>
      <c r="K117" s="5" t="s">
        <v>41</v>
      </c>
      <c r="L117" s="5" t="s">
        <v>42</v>
      </c>
      <c r="M117" s="5" t="s">
        <v>43</v>
      </c>
      <c r="N117" s="5" t="s">
        <v>44</v>
      </c>
      <c r="O117" s="7">
        <v>46.66</v>
      </c>
      <c r="P117" s="5" t="s">
        <v>45</v>
      </c>
      <c r="Q117" s="22"/>
      <c r="R117" s="8">
        <f t="shared" si="3"/>
        <v>46.66</v>
      </c>
      <c r="S117" s="7">
        <v>46.66</v>
      </c>
      <c r="T117" s="7"/>
      <c r="U117" s="7">
        <f t="shared" si="5"/>
        <v>46.66</v>
      </c>
      <c r="V117" s="5" t="s">
        <v>45</v>
      </c>
      <c r="W117" s="7">
        <v>13.73</v>
      </c>
      <c r="X117" s="5" t="s">
        <v>46</v>
      </c>
      <c r="Z117" s="8">
        <f t="shared" si="4"/>
        <v>13.73</v>
      </c>
    </row>
    <row r="118" spans="1:26" x14ac:dyDescent="0.25">
      <c r="A118" s="5" t="s">
        <v>34</v>
      </c>
      <c r="B118" s="5" t="s">
        <v>126</v>
      </c>
      <c r="C118" s="5" t="s">
        <v>127</v>
      </c>
      <c r="D118" s="5" t="s">
        <v>37</v>
      </c>
      <c r="E118" s="5" t="s">
        <v>60</v>
      </c>
      <c r="F118" s="5" t="s">
        <v>61</v>
      </c>
      <c r="G118" s="5" t="s">
        <v>40</v>
      </c>
      <c r="H118" s="6">
        <v>45961</v>
      </c>
      <c r="I118" s="6">
        <v>45961</v>
      </c>
      <c r="J118" s="6">
        <v>45964</v>
      </c>
      <c r="K118" s="5" t="s">
        <v>41</v>
      </c>
      <c r="L118" s="5" t="s">
        <v>42</v>
      </c>
      <c r="M118" s="5" t="s">
        <v>43</v>
      </c>
      <c r="N118" s="5" t="s">
        <v>44</v>
      </c>
      <c r="O118" s="7">
        <v>1198.4100000000001</v>
      </c>
      <c r="P118" s="5" t="s">
        <v>45</v>
      </c>
      <c r="Q118" s="22"/>
      <c r="R118" s="8">
        <f t="shared" si="3"/>
        <v>1198.4100000000001</v>
      </c>
      <c r="S118" s="7">
        <v>1198.4100000000001</v>
      </c>
      <c r="T118" s="7"/>
      <c r="U118" s="7">
        <f t="shared" si="5"/>
        <v>1198.4100000000001</v>
      </c>
      <c r="V118" s="5" t="s">
        <v>45</v>
      </c>
      <c r="W118" s="7">
        <v>352.68</v>
      </c>
      <c r="X118" s="5" t="s">
        <v>46</v>
      </c>
      <c r="Z118" s="8">
        <f t="shared" si="4"/>
        <v>352.68</v>
      </c>
    </row>
    <row r="119" spans="1:26" x14ac:dyDescent="0.25">
      <c r="A119" s="5" t="s">
        <v>34</v>
      </c>
      <c r="B119" s="5" t="s">
        <v>126</v>
      </c>
      <c r="C119" s="5" t="s">
        <v>127</v>
      </c>
      <c r="D119" s="5" t="s">
        <v>37</v>
      </c>
      <c r="E119" s="5" t="s">
        <v>88</v>
      </c>
      <c r="F119" s="5" t="s">
        <v>89</v>
      </c>
      <c r="G119" s="5" t="s">
        <v>40</v>
      </c>
      <c r="H119" s="6">
        <v>45961</v>
      </c>
      <c r="I119" s="6">
        <v>45961</v>
      </c>
      <c r="J119" s="6">
        <v>45964</v>
      </c>
      <c r="K119" s="5" t="s">
        <v>41</v>
      </c>
      <c r="L119" s="5" t="s">
        <v>42</v>
      </c>
      <c r="M119" s="5" t="s">
        <v>43</v>
      </c>
      <c r="N119" s="5" t="s">
        <v>44</v>
      </c>
      <c r="O119" s="7">
        <v>618.64</v>
      </c>
      <c r="P119" s="5" t="s">
        <v>45</v>
      </c>
      <c r="Q119" s="22"/>
      <c r="R119" s="8">
        <f t="shared" si="3"/>
        <v>618.64</v>
      </c>
      <c r="S119" s="7">
        <v>618.64</v>
      </c>
      <c r="T119" s="7"/>
      <c r="U119" s="7">
        <f t="shared" si="5"/>
        <v>618.64</v>
      </c>
      <c r="V119" s="5" t="s">
        <v>45</v>
      </c>
      <c r="W119" s="7">
        <v>182.06</v>
      </c>
      <c r="X119" s="5" t="s">
        <v>46</v>
      </c>
      <c r="Z119" s="8">
        <f t="shared" si="4"/>
        <v>182.06</v>
      </c>
    </row>
    <row r="120" spans="1:26" x14ac:dyDescent="0.25">
      <c r="A120" s="5" t="s">
        <v>34</v>
      </c>
      <c r="B120" s="5" t="s">
        <v>126</v>
      </c>
      <c r="C120" s="5" t="s">
        <v>127</v>
      </c>
      <c r="D120" s="5" t="s">
        <v>37</v>
      </c>
      <c r="E120" s="5" t="s">
        <v>74</v>
      </c>
      <c r="F120" s="5" t="s">
        <v>75</v>
      </c>
      <c r="G120" s="5" t="s">
        <v>40</v>
      </c>
      <c r="H120" s="6">
        <v>45961</v>
      </c>
      <c r="I120" s="6">
        <v>45961</v>
      </c>
      <c r="J120" s="6">
        <v>45964</v>
      </c>
      <c r="K120" s="5" t="s">
        <v>41</v>
      </c>
      <c r="L120" s="5" t="s">
        <v>42</v>
      </c>
      <c r="M120" s="5" t="s">
        <v>43</v>
      </c>
      <c r="N120" s="5" t="s">
        <v>44</v>
      </c>
      <c r="O120" s="7">
        <v>854.47</v>
      </c>
      <c r="P120" s="5" t="s">
        <v>45</v>
      </c>
      <c r="Q120" s="22"/>
      <c r="R120" s="8">
        <f t="shared" si="3"/>
        <v>854.47</v>
      </c>
      <c r="S120" s="7">
        <v>854.47</v>
      </c>
      <c r="T120" s="7"/>
      <c r="U120" s="7">
        <f t="shared" si="5"/>
        <v>854.47</v>
      </c>
      <c r="V120" s="5" t="s">
        <v>45</v>
      </c>
      <c r="W120" s="7">
        <v>251.46</v>
      </c>
      <c r="X120" s="5" t="s">
        <v>46</v>
      </c>
      <c r="Z120" s="8">
        <f t="shared" si="4"/>
        <v>251.46</v>
      </c>
    </row>
    <row r="121" spans="1:26" x14ac:dyDescent="0.25">
      <c r="A121" s="5" t="s">
        <v>34</v>
      </c>
      <c r="B121" s="5" t="s">
        <v>126</v>
      </c>
      <c r="C121" s="5" t="s">
        <v>127</v>
      </c>
      <c r="D121" s="5" t="s">
        <v>37</v>
      </c>
      <c r="E121" s="5" t="s">
        <v>72</v>
      </c>
      <c r="F121" s="5" t="s">
        <v>73</v>
      </c>
      <c r="G121" s="5" t="s">
        <v>40</v>
      </c>
      <c r="H121" s="6">
        <v>45961</v>
      </c>
      <c r="I121" s="6">
        <v>45961</v>
      </c>
      <c r="J121" s="6">
        <v>45964</v>
      </c>
      <c r="K121" s="5" t="s">
        <v>41</v>
      </c>
      <c r="L121" s="5" t="s">
        <v>42</v>
      </c>
      <c r="M121" s="5" t="s">
        <v>43</v>
      </c>
      <c r="N121" s="5" t="s">
        <v>44</v>
      </c>
      <c r="O121" s="7">
        <v>409.49</v>
      </c>
      <c r="P121" s="5" t="s">
        <v>45</v>
      </c>
      <c r="Q121" s="22"/>
      <c r="R121" s="8">
        <f t="shared" si="3"/>
        <v>409.49</v>
      </c>
      <c r="S121" s="7">
        <v>409.49</v>
      </c>
      <c r="T121" s="7"/>
      <c r="U121" s="7">
        <f t="shared" si="5"/>
        <v>409.49</v>
      </c>
      <c r="V121" s="5" t="s">
        <v>45</v>
      </c>
      <c r="W121" s="7">
        <v>120.51</v>
      </c>
      <c r="X121" s="5" t="s">
        <v>46</v>
      </c>
      <c r="Z121" s="8">
        <f t="shared" si="4"/>
        <v>120.51</v>
      </c>
    </row>
    <row r="122" spans="1:26" x14ac:dyDescent="0.25">
      <c r="A122" s="5" t="s">
        <v>34</v>
      </c>
      <c r="B122" s="5" t="s">
        <v>126</v>
      </c>
      <c r="C122" s="5" t="s">
        <v>127</v>
      </c>
      <c r="D122" s="5" t="s">
        <v>37</v>
      </c>
      <c r="E122" s="5" t="s">
        <v>90</v>
      </c>
      <c r="F122" s="5" t="s">
        <v>91</v>
      </c>
      <c r="G122" s="5" t="s">
        <v>40</v>
      </c>
      <c r="H122" s="6">
        <v>45961</v>
      </c>
      <c r="I122" s="6">
        <v>45961</v>
      </c>
      <c r="J122" s="6">
        <v>45964</v>
      </c>
      <c r="K122" s="5" t="s">
        <v>41</v>
      </c>
      <c r="L122" s="5" t="s">
        <v>42</v>
      </c>
      <c r="M122" s="5" t="s">
        <v>43</v>
      </c>
      <c r="N122" s="5" t="s">
        <v>44</v>
      </c>
      <c r="O122" s="7">
        <v>66.62</v>
      </c>
      <c r="P122" s="5" t="s">
        <v>45</v>
      </c>
      <c r="Q122" s="22"/>
      <c r="R122" s="8">
        <f t="shared" si="3"/>
        <v>66.62</v>
      </c>
      <c r="S122" s="7">
        <v>66.62</v>
      </c>
      <c r="T122" s="7"/>
      <c r="U122" s="7">
        <f t="shared" si="5"/>
        <v>66.62</v>
      </c>
      <c r="V122" s="5" t="s">
        <v>45</v>
      </c>
      <c r="W122" s="7">
        <v>19.61</v>
      </c>
      <c r="X122" s="5" t="s">
        <v>46</v>
      </c>
      <c r="Z122" s="8">
        <f t="shared" si="4"/>
        <v>19.61</v>
      </c>
    </row>
    <row r="123" spans="1:26" x14ac:dyDescent="0.25">
      <c r="A123" s="5" t="s">
        <v>34</v>
      </c>
      <c r="B123" s="5" t="s">
        <v>128</v>
      </c>
      <c r="C123" s="5" t="s">
        <v>129</v>
      </c>
      <c r="D123" s="5" t="s">
        <v>37</v>
      </c>
      <c r="E123" s="5" t="s">
        <v>54</v>
      </c>
      <c r="F123" s="5" t="s">
        <v>55</v>
      </c>
      <c r="G123" s="5" t="s">
        <v>40</v>
      </c>
      <c r="H123" s="6">
        <v>45961</v>
      </c>
      <c r="I123" s="6">
        <v>45961</v>
      </c>
      <c r="J123" s="6">
        <v>45964</v>
      </c>
      <c r="K123" s="5" t="s">
        <v>41</v>
      </c>
      <c r="L123" s="5" t="s">
        <v>42</v>
      </c>
      <c r="M123" s="5" t="s">
        <v>43</v>
      </c>
      <c r="N123" s="5" t="s">
        <v>44</v>
      </c>
      <c r="O123" s="7">
        <v>86.26</v>
      </c>
      <c r="P123" s="5" t="s">
        <v>45</v>
      </c>
      <c r="Q123" s="22"/>
      <c r="R123" s="8">
        <f t="shared" si="3"/>
        <v>86.26</v>
      </c>
      <c r="S123" s="7">
        <v>86.26</v>
      </c>
      <c r="T123" s="7"/>
      <c r="U123" s="7">
        <f t="shared" si="5"/>
        <v>86.26</v>
      </c>
      <c r="V123" s="5" t="s">
        <v>45</v>
      </c>
      <c r="W123" s="7">
        <v>25.39</v>
      </c>
      <c r="X123" s="5" t="s">
        <v>46</v>
      </c>
      <c r="Z123" s="8">
        <f t="shared" si="4"/>
        <v>25.39</v>
      </c>
    </row>
    <row r="124" spans="1:26" x14ac:dyDescent="0.25">
      <c r="A124" s="5" t="s">
        <v>34</v>
      </c>
      <c r="B124" s="5" t="s">
        <v>128</v>
      </c>
      <c r="C124" s="5" t="s">
        <v>129</v>
      </c>
      <c r="D124" s="5" t="s">
        <v>37</v>
      </c>
      <c r="E124" s="5" t="s">
        <v>114</v>
      </c>
      <c r="F124" s="5" t="s">
        <v>115</v>
      </c>
      <c r="G124" s="5" t="s">
        <v>40</v>
      </c>
      <c r="H124" s="6">
        <v>45961</v>
      </c>
      <c r="I124" s="6">
        <v>45961</v>
      </c>
      <c r="J124" s="6">
        <v>45964</v>
      </c>
      <c r="K124" s="5" t="s">
        <v>41</v>
      </c>
      <c r="L124" s="5" t="s">
        <v>42</v>
      </c>
      <c r="M124" s="5" t="s">
        <v>43</v>
      </c>
      <c r="N124" s="5" t="s">
        <v>44</v>
      </c>
      <c r="O124" s="7">
        <v>217.44</v>
      </c>
      <c r="P124" s="5" t="s">
        <v>45</v>
      </c>
      <c r="Q124" s="22"/>
      <c r="R124" s="8">
        <f t="shared" si="3"/>
        <v>217.44</v>
      </c>
      <c r="S124" s="7">
        <v>217.44</v>
      </c>
      <c r="T124" s="7"/>
      <c r="U124" s="7">
        <f t="shared" si="5"/>
        <v>217.44</v>
      </c>
      <c r="V124" s="5" t="s">
        <v>45</v>
      </c>
      <c r="W124" s="7">
        <v>63.99</v>
      </c>
      <c r="X124" s="5" t="s">
        <v>46</v>
      </c>
      <c r="Z124" s="8">
        <f t="shared" si="4"/>
        <v>63.99</v>
      </c>
    </row>
    <row r="125" spans="1:26" x14ac:dyDescent="0.25">
      <c r="A125" s="5" t="s">
        <v>34</v>
      </c>
      <c r="B125" s="5" t="s">
        <v>128</v>
      </c>
      <c r="C125" s="5" t="s">
        <v>129</v>
      </c>
      <c r="D125" s="5" t="s">
        <v>37</v>
      </c>
      <c r="E125" s="5" t="s">
        <v>122</v>
      </c>
      <c r="F125" s="5" t="s">
        <v>123</v>
      </c>
      <c r="G125" s="5" t="s">
        <v>40</v>
      </c>
      <c r="H125" s="6">
        <v>45961</v>
      </c>
      <c r="I125" s="6">
        <v>45961</v>
      </c>
      <c r="J125" s="6">
        <v>45964</v>
      </c>
      <c r="K125" s="5" t="s">
        <v>41</v>
      </c>
      <c r="L125" s="5" t="s">
        <v>42</v>
      </c>
      <c r="M125" s="5" t="s">
        <v>43</v>
      </c>
      <c r="N125" s="5" t="s">
        <v>44</v>
      </c>
      <c r="O125" s="7">
        <v>41.14</v>
      </c>
      <c r="P125" s="5" t="s">
        <v>45</v>
      </c>
      <c r="Q125" s="22"/>
      <c r="R125" s="8">
        <f t="shared" si="3"/>
        <v>41.14</v>
      </c>
      <c r="S125" s="7">
        <v>41.14</v>
      </c>
      <c r="T125" s="7"/>
      <c r="U125" s="7">
        <f t="shared" si="5"/>
        <v>41.14</v>
      </c>
      <c r="V125" s="5" t="s">
        <v>45</v>
      </c>
      <c r="W125" s="7">
        <v>12.11</v>
      </c>
      <c r="X125" s="5" t="s">
        <v>46</v>
      </c>
      <c r="Z125" s="8">
        <f t="shared" si="4"/>
        <v>12.11</v>
      </c>
    </row>
    <row r="126" spans="1:26" x14ac:dyDescent="0.25">
      <c r="A126" s="5" t="s">
        <v>34</v>
      </c>
      <c r="B126" s="5" t="s">
        <v>128</v>
      </c>
      <c r="C126" s="5" t="s">
        <v>129</v>
      </c>
      <c r="D126" s="5" t="s">
        <v>37</v>
      </c>
      <c r="E126" s="5" t="s">
        <v>80</v>
      </c>
      <c r="F126" s="5" t="s">
        <v>81</v>
      </c>
      <c r="G126" s="5" t="s">
        <v>40</v>
      </c>
      <c r="H126" s="6">
        <v>45961</v>
      </c>
      <c r="I126" s="6">
        <v>45961</v>
      </c>
      <c r="J126" s="6">
        <v>45964</v>
      </c>
      <c r="K126" s="5" t="s">
        <v>41</v>
      </c>
      <c r="L126" s="5" t="s">
        <v>42</v>
      </c>
      <c r="M126" s="5" t="s">
        <v>43</v>
      </c>
      <c r="N126" s="5" t="s">
        <v>44</v>
      </c>
      <c r="O126" s="7">
        <v>141.96</v>
      </c>
      <c r="P126" s="5" t="s">
        <v>45</v>
      </c>
      <c r="Q126" s="22"/>
      <c r="R126" s="8">
        <f t="shared" si="3"/>
        <v>141.96</v>
      </c>
      <c r="S126" s="7">
        <v>141.96</v>
      </c>
      <c r="T126" s="7"/>
      <c r="U126" s="7">
        <f t="shared" si="5"/>
        <v>141.96</v>
      </c>
      <c r="V126" s="5" t="s">
        <v>45</v>
      </c>
      <c r="W126" s="7">
        <v>41.78</v>
      </c>
      <c r="X126" s="5" t="s">
        <v>46</v>
      </c>
      <c r="Z126" s="8">
        <f t="shared" si="4"/>
        <v>41.78</v>
      </c>
    </row>
    <row r="127" spans="1:26" x14ac:dyDescent="0.25">
      <c r="A127" s="5" t="s">
        <v>34</v>
      </c>
      <c r="B127" s="5" t="s">
        <v>128</v>
      </c>
      <c r="C127" s="5" t="s">
        <v>129</v>
      </c>
      <c r="D127" s="5" t="s">
        <v>37</v>
      </c>
      <c r="E127" s="5" t="s">
        <v>112</v>
      </c>
      <c r="F127" s="5" t="s">
        <v>113</v>
      </c>
      <c r="G127" s="5" t="s">
        <v>40</v>
      </c>
      <c r="H127" s="6">
        <v>45961</v>
      </c>
      <c r="I127" s="6">
        <v>45961</v>
      </c>
      <c r="J127" s="6">
        <v>45964</v>
      </c>
      <c r="K127" s="5" t="s">
        <v>41</v>
      </c>
      <c r="L127" s="5" t="s">
        <v>42</v>
      </c>
      <c r="M127" s="5" t="s">
        <v>43</v>
      </c>
      <c r="N127" s="5" t="s">
        <v>44</v>
      </c>
      <c r="O127" s="7">
        <v>26.98</v>
      </c>
      <c r="P127" s="5" t="s">
        <v>45</v>
      </c>
      <c r="Q127" s="22"/>
      <c r="R127" s="8">
        <f t="shared" si="3"/>
        <v>26.98</v>
      </c>
      <c r="S127" s="7">
        <v>26.98</v>
      </c>
      <c r="T127" s="7"/>
      <c r="U127" s="7">
        <f t="shared" si="5"/>
        <v>26.98</v>
      </c>
      <c r="V127" s="5" t="s">
        <v>45</v>
      </c>
      <c r="W127" s="7">
        <v>7.94</v>
      </c>
      <c r="X127" s="5" t="s">
        <v>46</v>
      </c>
      <c r="Z127" s="8">
        <f t="shared" si="4"/>
        <v>7.94</v>
      </c>
    </row>
    <row r="128" spans="1:26" x14ac:dyDescent="0.25">
      <c r="A128" s="5" t="s">
        <v>34</v>
      </c>
      <c r="B128" s="5" t="s">
        <v>128</v>
      </c>
      <c r="C128" s="5" t="s">
        <v>129</v>
      </c>
      <c r="D128" s="5" t="s">
        <v>37</v>
      </c>
      <c r="E128" s="5" t="s">
        <v>56</v>
      </c>
      <c r="F128" s="5" t="s">
        <v>57</v>
      </c>
      <c r="G128" s="5" t="s">
        <v>40</v>
      </c>
      <c r="H128" s="6">
        <v>45961</v>
      </c>
      <c r="I128" s="6">
        <v>45961</v>
      </c>
      <c r="J128" s="6">
        <v>45964</v>
      </c>
      <c r="K128" s="5" t="s">
        <v>41</v>
      </c>
      <c r="L128" s="5" t="s">
        <v>42</v>
      </c>
      <c r="M128" s="5" t="s">
        <v>43</v>
      </c>
      <c r="N128" s="5" t="s">
        <v>44</v>
      </c>
      <c r="O128" s="7">
        <v>343.73</v>
      </c>
      <c r="P128" s="5" t="s">
        <v>45</v>
      </c>
      <c r="Q128" s="22"/>
      <c r="R128" s="8">
        <f t="shared" si="3"/>
        <v>343.73</v>
      </c>
      <c r="S128" s="7">
        <v>343.73</v>
      </c>
      <c r="T128" s="7"/>
      <c r="U128" s="7">
        <f t="shared" si="5"/>
        <v>343.73</v>
      </c>
      <c r="V128" s="5" t="s">
        <v>45</v>
      </c>
      <c r="W128" s="7">
        <v>101.16</v>
      </c>
      <c r="X128" s="5" t="s">
        <v>46</v>
      </c>
      <c r="Z128" s="8">
        <f t="shared" si="4"/>
        <v>101.16</v>
      </c>
    </row>
    <row r="129" spans="1:26" x14ac:dyDescent="0.25">
      <c r="A129" s="5" t="s">
        <v>34</v>
      </c>
      <c r="B129" s="5" t="s">
        <v>128</v>
      </c>
      <c r="C129" s="5" t="s">
        <v>129</v>
      </c>
      <c r="D129" s="5" t="s">
        <v>37</v>
      </c>
      <c r="E129" s="5" t="s">
        <v>94</v>
      </c>
      <c r="F129" s="5" t="s">
        <v>95</v>
      </c>
      <c r="G129" s="5" t="s">
        <v>40</v>
      </c>
      <c r="H129" s="6">
        <v>45961</v>
      </c>
      <c r="I129" s="6">
        <v>45961</v>
      </c>
      <c r="J129" s="6">
        <v>45964</v>
      </c>
      <c r="K129" s="5" t="s">
        <v>41</v>
      </c>
      <c r="L129" s="5" t="s">
        <v>42</v>
      </c>
      <c r="M129" s="5" t="s">
        <v>43</v>
      </c>
      <c r="N129" s="5" t="s">
        <v>44</v>
      </c>
      <c r="O129" s="7">
        <v>166.57</v>
      </c>
      <c r="P129" s="5" t="s">
        <v>45</v>
      </c>
      <c r="Q129" s="22"/>
      <c r="R129" s="8">
        <f t="shared" si="3"/>
        <v>166.57</v>
      </c>
      <c r="S129" s="7">
        <v>166.57</v>
      </c>
      <c r="T129" s="7"/>
      <c r="U129" s="7">
        <f t="shared" si="5"/>
        <v>166.57</v>
      </c>
      <c r="V129" s="5" t="s">
        <v>45</v>
      </c>
      <c r="W129" s="7">
        <v>49.02</v>
      </c>
      <c r="X129" s="5" t="s">
        <v>46</v>
      </c>
      <c r="Z129" s="8">
        <f t="shared" si="4"/>
        <v>49.02</v>
      </c>
    </row>
    <row r="130" spans="1:26" x14ac:dyDescent="0.25">
      <c r="A130" s="5" t="s">
        <v>34</v>
      </c>
      <c r="B130" s="5" t="s">
        <v>128</v>
      </c>
      <c r="C130" s="5" t="s">
        <v>129</v>
      </c>
      <c r="D130" s="5" t="s">
        <v>37</v>
      </c>
      <c r="E130" s="5" t="s">
        <v>90</v>
      </c>
      <c r="F130" s="5" t="s">
        <v>91</v>
      </c>
      <c r="G130" s="5" t="s">
        <v>40</v>
      </c>
      <c r="H130" s="6">
        <v>45961</v>
      </c>
      <c r="I130" s="6">
        <v>45961</v>
      </c>
      <c r="J130" s="6">
        <v>45964</v>
      </c>
      <c r="K130" s="5" t="s">
        <v>41</v>
      </c>
      <c r="L130" s="5" t="s">
        <v>42</v>
      </c>
      <c r="M130" s="5" t="s">
        <v>43</v>
      </c>
      <c r="N130" s="5" t="s">
        <v>44</v>
      </c>
      <c r="O130" s="7">
        <v>50.97</v>
      </c>
      <c r="P130" s="5" t="s">
        <v>45</v>
      </c>
      <c r="Q130" s="22"/>
      <c r="R130" s="8">
        <f t="shared" ref="R130:R193" si="6">+O130+Q130</f>
        <v>50.97</v>
      </c>
      <c r="S130" s="7">
        <v>50.97</v>
      </c>
      <c r="T130" s="7"/>
      <c r="U130" s="7">
        <f t="shared" si="5"/>
        <v>50.97</v>
      </c>
      <c r="V130" s="5" t="s">
        <v>45</v>
      </c>
      <c r="W130" s="7">
        <v>15</v>
      </c>
      <c r="X130" s="5" t="s">
        <v>46</v>
      </c>
      <c r="Z130" s="8">
        <f t="shared" ref="Z130:Z193" si="7">+W130+Y130</f>
        <v>15</v>
      </c>
    </row>
    <row r="131" spans="1:26" x14ac:dyDescent="0.25">
      <c r="A131" s="5" t="s">
        <v>34</v>
      </c>
      <c r="B131" s="5" t="s">
        <v>128</v>
      </c>
      <c r="C131" s="5" t="s">
        <v>129</v>
      </c>
      <c r="D131" s="5" t="s">
        <v>37</v>
      </c>
      <c r="E131" s="5" t="s">
        <v>60</v>
      </c>
      <c r="F131" s="5" t="s">
        <v>61</v>
      </c>
      <c r="G131" s="5" t="s">
        <v>40</v>
      </c>
      <c r="H131" s="6">
        <v>45961</v>
      </c>
      <c r="I131" s="6">
        <v>45961</v>
      </c>
      <c r="J131" s="6">
        <v>45964</v>
      </c>
      <c r="K131" s="5" t="s">
        <v>41</v>
      </c>
      <c r="L131" s="5" t="s">
        <v>42</v>
      </c>
      <c r="M131" s="5" t="s">
        <v>43</v>
      </c>
      <c r="N131" s="5" t="s">
        <v>44</v>
      </c>
      <c r="O131" s="7">
        <v>1329.46</v>
      </c>
      <c r="P131" s="5" t="s">
        <v>45</v>
      </c>
      <c r="Q131" s="22"/>
      <c r="R131" s="8">
        <f t="shared" si="6"/>
        <v>1329.46</v>
      </c>
      <c r="S131" s="7">
        <v>1329.46</v>
      </c>
      <c r="T131" s="7"/>
      <c r="U131" s="7">
        <f t="shared" ref="U131:U194" si="8">+S131+T131</f>
        <v>1329.46</v>
      </c>
      <c r="V131" s="5" t="s">
        <v>45</v>
      </c>
      <c r="W131" s="7">
        <v>391.25</v>
      </c>
      <c r="X131" s="5" t="s">
        <v>46</v>
      </c>
      <c r="Z131" s="8">
        <f t="shared" si="7"/>
        <v>391.25</v>
      </c>
    </row>
    <row r="132" spans="1:26" x14ac:dyDescent="0.25">
      <c r="A132" s="5" t="s">
        <v>34</v>
      </c>
      <c r="B132" s="5" t="s">
        <v>128</v>
      </c>
      <c r="C132" s="5" t="s">
        <v>129</v>
      </c>
      <c r="D132" s="5" t="s">
        <v>37</v>
      </c>
      <c r="E132" s="5" t="s">
        <v>102</v>
      </c>
      <c r="F132" s="5" t="s">
        <v>103</v>
      </c>
      <c r="G132" s="5" t="s">
        <v>40</v>
      </c>
      <c r="H132" s="6">
        <v>45961</v>
      </c>
      <c r="I132" s="6">
        <v>45961</v>
      </c>
      <c r="J132" s="6">
        <v>45964</v>
      </c>
      <c r="K132" s="5" t="s">
        <v>41</v>
      </c>
      <c r="L132" s="5" t="s">
        <v>42</v>
      </c>
      <c r="M132" s="5" t="s">
        <v>43</v>
      </c>
      <c r="N132" s="5" t="s">
        <v>44</v>
      </c>
      <c r="O132" s="7">
        <v>203.43</v>
      </c>
      <c r="P132" s="5" t="s">
        <v>45</v>
      </c>
      <c r="Q132" s="22"/>
      <c r="R132" s="8">
        <f t="shared" si="6"/>
        <v>203.43</v>
      </c>
      <c r="S132" s="7">
        <v>203.43</v>
      </c>
      <c r="T132" s="7"/>
      <c r="U132" s="7">
        <f t="shared" si="8"/>
        <v>203.43</v>
      </c>
      <c r="V132" s="5" t="s">
        <v>45</v>
      </c>
      <c r="W132" s="7">
        <v>59.87</v>
      </c>
      <c r="X132" s="5" t="s">
        <v>46</v>
      </c>
      <c r="Z132" s="8">
        <f t="shared" si="7"/>
        <v>59.87</v>
      </c>
    </row>
    <row r="133" spans="1:26" x14ac:dyDescent="0.25">
      <c r="A133" s="5" t="s">
        <v>34</v>
      </c>
      <c r="B133" s="5" t="s">
        <v>128</v>
      </c>
      <c r="C133" s="5" t="s">
        <v>129</v>
      </c>
      <c r="D133" s="5" t="s">
        <v>37</v>
      </c>
      <c r="E133" s="5" t="s">
        <v>96</v>
      </c>
      <c r="F133" s="5" t="s">
        <v>97</v>
      </c>
      <c r="G133" s="5" t="s">
        <v>40</v>
      </c>
      <c r="H133" s="6">
        <v>45961</v>
      </c>
      <c r="I133" s="6">
        <v>45961</v>
      </c>
      <c r="J133" s="6">
        <v>45964</v>
      </c>
      <c r="K133" s="5" t="s">
        <v>41</v>
      </c>
      <c r="L133" s="5" t="s">
        <v>42</v>
      </c>
      <c r="M133" s="5" t="s">
        <v>43</v>
      </c>
      <c r="N133" s="5" t="s">
        <v>44</v>
      </c>
      <c r="O133" s="7">
        <v>749.42</v>
      </c>
      <c r="P133" s="5" t="s">
        <v>45</v>
      </c>
      <c r="Q133" s="22"/>
      <c r="R133" s="8">
        <f t="shared" si="6"/>
        <v>749.42</v>
      </c>
      <c r="S133" s="7">
        <v>749.42</v>
      </c>
      <c r="T133" s="7"/>
      <c r="U133" s="7">
        <f t="shared" si="8"/>
        <v>749.42</v>
      </c>
      <c r="V133" s="5" t="s">
        <v>45</v>
      </c>
      <c r="W133" s="7">
        <v>220.55</v>
      </c>
      <c r="X133" s="5" t="s">
        <v>46</v>
      </c>
      <c r="Z133" s="8">
        <f t="shared" si="7"/>
        <v>220.55</v>
      </c>
    </row>
    <row r="134" spans="1:26" x14ac:dyDescent="0.25">
      <c r="A134" s="5" t="s">
        <v>34</v>
      </c>
      <c r="B134" s="5" t="s">
        <v>128</v>
      </c>
      <c r="C134" s="5" t="s">
        <v>129</v>
      </c>
      <c r="D134" s="5" t="s">
        <v>37</v>
      </c>
      <c r="E134" s="5" t="s">
        <v>62</v>
      </c>
      <c r="F134" s="5" t="s">
        <v>63</v>
      </c>
      <c r="G134" s="5" t="s">
        <v>40</v>
      </c>
      <c r="H134" s="6">
        <v>45961</v>
      </c>
      <c r="I134" s="6">
        <v>45961</v>
      </c>
      <c r="J134" s="6">
        <v>45964</v>
      </c>
      <c r="K134" s="5" t="s">
        <v>41</v>
      </c>
      <c r="L134" s="5" t="s">
        <v>42</v>
      </c>
      <c r="M134" s="5" t="s">
        <v>43</v>
      </c>
      <c r="N134" s="5" t="s">
        <v>44</v>
      </c>
      <c r="O134" s="7">
        <v>83.55</v>
      </c>
      <c r="P134" s="5" t="s">
        <v>45</v>
      </c>
      <c r="Q134" s="22"/>
      <c r="R134" s="8">
        <f t="shared" si="6"/>
        <v>83.55</v>
      </c>
      <c r="S134" s="7">
        <v>83.55</v>
      </c>
      <c r="T134" s="7"/>
      <c r="U134" s="7">
        <f t="shared" si="8"/>
        <v>83.55</v>
      </c>
      <c r="V134" s="5" t="s">
        <v>45</v>
      </c>
      <c r="W134" s="7">
        <v>24.59</v>
      </c>
      <c r="X134" s="5" t="s">
        <v>46</v>
      </c>
      <c r="Z134" s="8">
        <f t="shared" si="7"/>
        <v>24.59</v>
      </c>
    </row>
    <row r="135" spans="1:26" x14ac:dyDescent="0.25">
      <c r="A135" s="5" t="s">
        <v>34</v>
      </c>
      <c r="B135" s="5" t="s">
        <v>128</v>
      </c>
      <c r="C135" s="5" t="s">
        <v>129</v>
      </c>
      <c r="D135" s="5" t="s">
        <v>37</v>
      </c>
      <c r="E135" s="5" t="s">
        <v>84</v>
      </c>
      <c r="F135" s="5" t="s">
        <v>85</v>
      </c>
      <c r="G135" s="5" t="s">
        <v>40</v>
      </c>
      <c r="H135" s="6">
        <v>45961</v>
      </c>
      <c r="I135" s="6">
        <v>45961</v>
      </c>
      <c r="J135" s="6">
        <v>45964</v>
      </c>
      <c r="K135" s="5" t="s">
        <v>41</v>
      </c>
      <c r="L135" s="5" t="s">
        <v>42</v>
      </c>
      <c r="M135" s="5" t="s">
        <v>43</v>
      </c>
      <c r="N135" s="5" t="s">
        <v>44</v>
      </c>
      <c r="O135" s="7">
        <v>25.2</v>
      </c>
      <c r="P135" s="5" t="s">
        <v>45</v>
      </c>
      <c r="Q135" s="22"/>
      <c r="R135" s="8">
        <f t="shared" si="6"/>
        <v>25.2</v>
      </c>
      <c r="S135" s="7">
        <v>25.2</v>
      </c>
      <c r="T135" s="7"/>
      <c r="U135" s="7">
        <f t="shared" si="8"/>
        <v>25.2</v>
      </c>
      <c r="V135" s="5" t="s">
        <v>45</v>
      </c>
      <c r="W135" s="7">
        <v>7.42</v>
      </c>
      <c r="X135" s="5" t="s">
        <v>46</v>
      </c>
      <c r="Z135" s="8">
        <f t="shared" si="7"/>
        <v>7.42</v>
      </c>
    </row>
    <row r="136" spans="1:26" x14ac:dyDescent="0.25">
      <c r="A136" s="5" t="s">
        <v>34</v>
      </c>
      <c r="B136" s="5" t="s">
        <v>128</v>
      </c>
      <c r="C136" s="5" t="s">
        <v>129</v>
      </c>
      <c r="D136" s="5" t="s">
        <v>37</v>
      </c>
      <c r="E136" s="5" t="s">
        <v>50</v>
      </c>
      <c r="F136" s="5" t="s">
        <v>51</v>
      </c>
      <c r="G136" s="5" t="s">
        <v>40</v>
      </c>
      <c r="H136" s="6">
        <v>45961</v>
      </c>
      <c r="I136" s="6">
        <v>45961</v>
      </c>
      <c r="J136" s="6">
        <v>45964</v>
      </c>
      <c r="K136" s="5" t="s">
        <v>41</v>
      </c>
      <c r="L136" s="5" t="s">
        <v>42</v>
      </c>
      <c r="M136" s="5" t="s">
        <v>43</v>
      </c>
      <c r="N136" s="5" t="s">
        <v>44</v>
      </c>
      <c r="O136" s="7">
        <v>233.13</v>
      </c>
      <c r="P136" s="5" t="s">
        <v>45</v>
      </c>
      <c r="Q136" s="22"/>
      <c r="R136" s="8">
        <f t="shared" si="6"/>
        <v>233.13</v>
      </c>
      <c r="S136" s="7">
        <v>233.13</v>
      </c>
      <c r="T136" s="7"/>
      <c r="U136" s="7">
        <f t="shared" si="8"/>
        <v>233.13</v>
      </c>
      <c r="V136" s="5" t="s">
        <v>45</v>
      </c>
      <c r="W136" s="7">
        <v>68.61</v>
      </c>
      <c r="X136" s="5" t="s">
        <v>46</v>
      </c>
      <c r="Z136" s="8">
        <f t="shared" si="7"/>
        <v>68.61</v>
      </c>
    </row>
    <row r="137" spans="1:26" x14ac:dyDescent="0.25">
      <c r="A137" s="5" t="s">
        <v>34</v>
      </c>
      <c r="B137" s="5" t="s">
        <v>128</v>
      </c>
      <c r="C137" s="5" t="s">
        <v>129</v>
      </c>
      <c r="D137" s="5" t="s">
        <v>37</v>
      </c>
      <c r="E137" s="5" t="s">
        <v>58</v>
      </c>
      <c r="F137" s="5" t="s">
        <v>59</v>
      </c>
      <c r="G137" s="5" t="s">
        <v>40</v>
      </c>
      <c r="H137" s="6">
        <v>45961</v>
      </c>
      <c r="I137" s="6">
        <v>45961</v>
      </c>
      <c r="J137" s="6">
        <v>45964</v>
      </c>
      <c r="K137" s="5" t="s">
        <v>41</v>
      </c>
      <c r="L137" s="5" t="s">
        <v>42</v>
      </c>
      <c r="M137" s="5" t="s">
        <v>43</v>
      </c>
      <c r="N137" s="5" t="s">
        <v>44</v>
      </c>
      <c r="O137" s="7">
        <v>8.81</v>
      </c>
      <c r="P137" s="5" t="s">
        <v>45</v>
      </c>
      <c r="Q137" s="22"/>
      <c r="R137" s="8">
        <f t="shared" si="6"/>
        <v>8.81</v>
      </c>
      <c r="S137" s="7">
        <v>8.81</v>
      </c>
      <c r="T137" s="7"/>
      <c r="U137" s="7">
        <f t="shared" si="8"/>
        <v>8.81</v>
      </c>
      <c r="V137" s="5" t="s">
        <v>45</v>
      </c>
      <c r="W137" s="7">
        <v>2.59</v>
      </c>
      <c r="X137" s="5" t="s">
        <v>46</v>
      </c>
      <c r="Z137" s="8">
        <f t="shared" si="7"/>
        <v>2.59</v>
      </c>
    </row>
    <row r="138" spans="1:26" x14ac:dyDescent="0.25">
      <c r="A138" s="5" t="s">
        <v>34</v>
      </c>
      <c r="B138" s="5" t="s">
        <v>128</v>
      </c>
      <c r="C138" s="5" t="s">
        <v>129</v>
      </c>
      <c r="D138" s="5" t="s">
        <v>37</v>
      </c>
      <c r="E138" s="5" t="s">
        <v>72</v>
      </c>
      <c r="F138" s="5" t="s">
        <v>73</v>
      </c>
      <c r="G138" s="5" t="s">
        <v>40</v>
      </c>
      <c r="H138" s="6">
        <v>45961</v>
      </c>
      <c r="I138" s="6">
        <v>45961</v>
      </c>
      <c r="J138" s="6">
        <v>45964</v>
      </c>
      <c r="K138" s="5" t="s">
        <v>41</v>
      </c>
      <c r="L138" s="5" t="s">
        <v>42</v>
      </c>
      <c r="M138" s="5" t="s">
        <v>43</v>
      </c>
      <c r="N138" s="5" t="s">
        <v>44</v>
      </c>
      <c r="O138" s="7">
        <v>186.21</v>
      </c>
      <c r="P138" s="5" t="s">
        <v>45</v>
      </c>
      <c r="Q138" s="22"/>
      <c r="R138" s="8">
        <f t="shared" si="6"/>
        <v>186.21</v>
      </c>
      <c r="S138" s="7">
        <v>186.21</v>
      </c>
      <c r="T138" s="7"/>
      <c r="U138" s="7">
        <f t="shared" si="8"/>
        <v>186.21</v>
      </c>
      <c r="V138" s="5" t="s">
        <v>45</v>
      </c>
      <c r="W138" s="7">
        <v>54.8</v>
      </c>
      <c r="X138" s="5" t="s">
        <v>46</v>
      </c>
      <c r="Z138" s="8">
        <f t="shared" si="7"/>
        <v>54.8</v>
      </c>
    </row>
    <row r="139" spans="1:26" x14ac:dyDescent="0.25">
      <c r="A139" s="5" t="s">
        <v>34</v>
      </c>
      <c r="B139" s="5" t="s">
        <v>128</v>
      </c>
      <c r="C139" s="5" t="s">
        <v>129</v>
      </c>
      <c r="D139" s="5" t="s">
        <v>37</v>
      </c>
      <c r="E139" s="5" t="s">
        <v>100</v>
      </c>
      <c r="F139" s="5" t="s">
        <v>101</v>
      </c>
      <c r="G139" s="5" t="s">
        <v>40</v>
      </c>
      <c r="H139" s="6">
        <v>45961</v>
      </c>
      <c r="I139" s="6">
        <v>45961</v>
      </c>
      <c r="J139" s="6">
        <v>45964</v>
      </c>
      <c r="K139" s="5" t="s">
        <v>41</v>
      </c>
      <c r="L139" s="5" t="s">
        <v>42</v>
      </c>
      <c r="M139" s="5" t="s">
        <v>43</v>
      </c>
      <c r="N139" s="5" t="s">
        <v>44</v>
      </c>
      <c r="O139" s="7">
        <v>331.45</v>
      </c>
      <c r="P139" s="5" t="s">
        <v>45</v>
      </c>
      <c r="Q139" s="22"/>
      <c r="R139" s="8">
        <f t="shared" si="6"/>
        <v>331.45</v>
      </c>
      <c r="S139" s="7">
        <v>331.45</v>
      </c>
      <c r="T139" s="7"/>
      <c r="U139" s="7">
        <f t="shared" si="8"/>
        <v>331.45</v>
      </c>
      <c r="V139" s="5" t="s">
        <v>45</v>
      </c>
      <c r="W139" s="7">
        <v>97.54</v>
      </c>
      <c r="X139" s="5" t="s">
        <v>46</v>
      </c>
      <c r="Z139" s="8">
        <f t="shared" si="7"/>
        <v>97.54</v>
      </c>
    </row>
    <row r="140" spans="1:26" x14ac:dyDescent="0.25">
      <c r="A140" s="5" t="s">
        <v>34</v>
      </c>
      <c r="B140" s="5" t="s">
        <v>128</v>
      </c>
      <c r="C140" s="5" t="s">
        <v>129</v>
      </c>
      <c r="D140" s="5" t="s">
        <v>37</v>
      </c>
      <c r="E140" s="5" t="s">
        <v>98</v>
      </c>
      <c r="F140" s="5" t="s">
        <v>99</v>
      </c>
      <c r="G140" s="5" t="s">
        <v>40</v>
      </c>
      <c r="H140" s="6">
        <v>45961</v>
      </c>
      <c r="I140" s="6">
        <v>45961</v>
      </c>
      <c r="J140" s="6">
        <v>45964</v>
      </c>
      <c r="K140" s="5" t="s">
        <v>41</v>
      </c>
      <c r="L140" s="5" t="s">
        <v>42</v>
      </c>
      <c r="M140" s="5" t="s">
        <v>43</v>
      </c>
      <c r="N140" s="5" t="s">
        <v>44</v>
      </c>
      <c r="O140" s="7">
        <v>186.49</v>
      </c>
      <c r="P140" s="5" t="s">
        <v>45</v>
      </c>
      <c r="Q140" s="22"/>
      <c r="R140" s="8">
        <f t="shared" si="6"/>
        <v>186.49</v>
      </c>
      <c r="S140" s="7">
        <v>186.49</v>
      </c>
      <c r="T140" s="7"/>
      <c r="U140" s="7">
        <f t="shared" si="8"/>
        <v>186.49</v>
      </c>
      <c r="V140" s="5" t="s">
        <v>45</v>
      </c>
      <c r="W140" s="7">
        <v>54.88</v>
      </c>
      <c r="X140" s="5" t="s">
        <v>46</v>
      </c>
      <c r="Z140" s="8">
        <f t="shared" si="7"/>
        <v>54.88</v>
      </c>
    </row>
    <row r="141" spans="1:26" x14ac:dyDescent="0.25">
      <c r="A141" s="5" t="s">
        <v>34</v>
      </c>
      <c r="B141" s="5" t="s">
        <v>128</v>
      </c>
      <c r="C141" s="5" t="s">
        <v>129</v>
      </c>
      <c r="D141" s="5" t="s">
        <v>37</v>
      </c>
      <c r="E141" s="5" t="s">
        <v>88</v>
      </c>
      <c r="F141" s="5" t="s">
        <v>89</v>
      </c>
      <c r="G141" s="5" t="s">
        <v>40</v>
      </c>
      <c r="H141" s="6">
        <v>45961</v>
      </c>
      <c r="I141" s="6">
        <v>45961</v>
      </c>
      <c r="J141" s="6">
        <v>45964</v>
      </c>
      <c r="K141" s="5" t="s">
        <v>41</v>
      </c>
      <c r="L141" s="5" t="s">
        <v>42</v>
      </c>
      <c r="M141" s="5" t="s">
        <v>43</v>
      </c>
      <c r="N141" s="5" t="s">
        <v>44</v>
      </c>
      <c r="O141" s="7">
        <v>400.88</v>
      </c>
      <c r="P141" s="5" t="s">
        <v>45</v>
      </c>
      <c r="Q141" s="22"/>
      <c r="R141" s="8">
        <f t="shared" si="6"/>
        <v>400.88</v>
      </c>
      <c r="S141" s="7">
        <v>400.88</v>
      </c>
      <c r="T141" s="7"/>
      <c r="U141" s="7">
        <f t="shared" si="8"/>
        <v>400.88</v>
      </c>
      <c r="V141" s="5" t="s">
        <v>45</v>
      </c>
      <c r="W141" s="7">
        <v>117.98</v>
      </c>
      <c r="X141" s="5" t="s">
        <v>46</v>
      </c>
      <c r="Z141" s="8">
        <f t="shared" si="7"/>
        <v>117.98</v>
      </c>
    </row>
    <row r="142" spans="1:26" x14ac:dyDescent="0.25">
      <c r="A142" s="5" t="s">
        <v>34</v>
      </c>
      <c r="B142" s="5" t="s">
        <v>128</v>
      </c>
      <c r="C142" s="5" t="s">
        <v>129</v>
      </c>
      <c r="D142" s="5" t="s">
        <v>37</v>
      </c>
      <c r="E142" s="5" t="s">
        <v>104</v>
      </c>
      <c r="F142" s="5" t="s">
        <v>105</v>
      </c>
      <c r="G142" s="5" t="s">
        <v>40</v>
      </c>
      <c r="H142" s="6">
        <v>45961</v>
      </c>
      <c r="I142" s="6">
        <v>45961</v>
      </c>
      <c r="J142" s="6">
        <v>45964</v>
      </c>
      <c r="K142" s="5" t="s">
        <v>41</v>
      </c>
      <c r="L142" s="5" t="s">
        <v>42</v>
      </c>
      <c r="M142" s="5" t="s">
        <v>43</v>
      </c>
      <c r="N142" s="5" t="s">
        <v>44</v>
      </c>
      <c r="O142" s="7">
        <v>42.78</v>
      </c>
      <c r="P142" s="5" t="s">
        <v>45</v>
      </c>
      <c r="Q142" s="22"/>
      <c r="R142" s="8">
        <f t="shared" si="6"/>
        <v>42.78</v>
      </c>
      <c r="S142" s="7">
        <v>42.78</v>
      </c>
      <c r="T142" s="7"/>
      <c r="U142" s="7">
        <f t="shared" si="8"/>
        <v>42.78</v>
      </c>
      <c r="V142" s="5" t="s">
        <v>45</v>
      </c>
      <c r="W142" s="7">
        <v>12.59</v>
      </c>
      <c r="X142" s="5" t="s">
        <v>46</v>
      </c>
      <c r="Z142" s="8">
        <f t="shared" si="7"/>
        <v>12.59</v>
      </c>
    </row>
    <row r="143" spans="1:26" x14ac:dyDescent="0.25">
      <c r="A143" s="5" t="s">
        <v>34</v>
      </c>
      <c r="B143" s="5" t="s">
        <v>128</v>
      </c>
      <c r="C143" s="5" t="s">
        <v>129</v>
      </c>
      <c r="D143" s="5" t="s">
        <v>37</v>
      </c>
      <c r="E143" s="5" t="s">
        <v>74</v>
      </c>
      <c r="F143" s="5" t="s">
        <v>75</v>
      </c>
      <c r="G143" s="5" t="s">
        <v>40</v>
      </c>
      <c r="H143" s="6">
        <v>45961</v>
      </c>
      <c r="I143" s="6">
        <v>45961</v>
      </c>
      <c r="J143" s="6">
        <v>45964</v>
      </c>
      <c r="K143" s="5" t="s">
        <v>41</v>
      </c>
      <c r="L143" s="5" t="s">
        <v>42</v>
      </c>
      <c r="M143" s="5" t="s">
        <v>43</v>
      </c>
      <c r="N143" s="5" t="s">
        <v>44</v>
      </c>
      <c r="O143" s="7">
        <v>576.19000000000005</v>
      </c>
      <c r="P143" s="5" t="s">
        <v>45</v>
      </c>
      <c r="Q143" s="22"/>
      <c r="R143" s="8">
        <f t="shared" si="6"/>
        <v>576.19000000000005</v>
      </c>
      <c r="S143" s="7">
        <v>576.19000000000005</v>
      </c>
      <c r="T143" s="7"/>
      <c r="U143" s="7">
        <f t="shared" si="8"/>
        <v>576.19000000000005</v>
      </c>
      <c r="V143" s="5" t="s">
        <v>45</v>
      </c>
      <c r="W143" s="7">
        <v>169.57</v>
      </c>
      <c r="X143" s="5" t="s">
        <v>46</v>
      </c>
      <c r="Z143" s="8">
        <f t="shared" si="7"/>
        <v>169.57</v>
      </c>
    </row>
    <row r="144" spans="1:26" x14ac:dyDescent="0.25">
      <c r="A144" s="5" t="s">
        <v>34</v>
      </c>
      <c r="B144" s="5" t="s">
        <v>130</v>
      </c>
      <c r="C144" s="5" t="s">
        <v>131</v>
      </c>
      <c r="D144" s="5" t="s">
        <v>37</v>
      </c>
      <c r="E144" s="5" t="s">
        <v>64</v>
      </c>
      <c r="F144" s="5" t="s">
        <v>65</v>
      </c>
      <c r="G144" s="5" t="s">
        <v>40</v>
      </c>
      <c r="H144" s="6">
        <v>45961</v>
      </c>
      <c r="I144" s="6">
        <v>45961</v>
      </c>
      <c r="J144" s="6">
        <v>45950</v>
      </c>
      <c r="K144" s="5" t="s">
        <v>132</v>
      </c>
      <c r="L144" s="5" t="s">
        <v>133</v>
      </c>
      <c r="M144" s="5" t="s">
        <v>43</v>
      </c>
      <c r="N144" s="5" t="s">
        <v>134</v>
      </c>
      <c r="O144" s="7">
        <v>49.39</v>
      </c>
      <c r="P144" s="5" t="s">
        <v>45</v>
      </c>
      <c r="Q144" s="22"/>
      <c r="R144" s="8">
        <f t="shared" si="6"/>
        <v>49.39</v>
      </c>
      <c r="S144" s="7">
        <v>49.39</v>
      </c>
      <c r="T144" s="7"/>
      <c r="U144" s="7">
        <f t="shared" si="8"/>
        <v>49.39</v>
      </c>
      <c r="V144" s="5" t="s">
        <v>45</v>
      </c>
      <c r="W144" s="7">
        <v>14.57</v>
      </c>
      <c r="X144" s="5" t="s">
        <v>46</v>
      </c>
      <c r="Z144" s="8">
        <f t="shared" si="7"/>
        <v>14.57</v>
      </c>
    </row>
    <row r="145" spans="1:26" x14ac:dyDescent="0.25">
      <c r="A145" s="5" t="s">
        <v>34</v>
      </c>
      <c r="B145" s="5" t="s">
        <v>130</v>
      </c>
      <c r="C145" s="5" t="s">
        <v>131</v>
      </c>
      <c r="D145" s="5" t="s">
        <v>37</v>
      </c>
      <c r="E145" s="5" t="s">
        <v>122</v>
      </c>
      <c r="F145" s="5" t="s">
        <v>123</v>
      </c>
      <c r="G145" s="5" t="s">
        <v>40</v>
      </c>
      <c r="H145" s="6">
        <v>45961</v>
      </c>
      <c r="I145" s="6">
        <v>45961</v>
      </c>
      <c r="J145" s="6">
        <v>45964</v>
      </c>
      <c r="K145" s="5" t="s">
        <v>135</v>
      </c>
      <c r="L145" s="5" t="s">
        <v>136</v>
      </c>
      <c r="M145" s="5" t="s">
        <v>43</v>
      </c>
      <c r="N145" s="5" t="s">
        <v>137</v>
      </c>
      <c r="O145" s="7">
        <v>121.33</v>
      </c>
      <c r="P145" s="5" t="s">
        <v>45</v>
      </c>
      <c r="Q145" s="22"/>
      <c r="R145" s="8">
        <f t="shared" si="6"/>
        <v>121.33</v>
      </c>
      <c r="S145" s="7">
        <v>121.33</v>
      </c>
      <c r="T145" s="7"/>
      <c r="U145" s="7">
        <f t="shared" si="8"/>
        <v>121.33</v>
      </c>
      <c r="V145" s="5" t="s">
        <v>45</v>
      </c>
      <c r="W145" s="7">
        <v>35.71</v>
      </c>
      <c r="X145" s="5" t="s">
        <v>46</v>
      </c>
      <c r="Z145" s="8">
        <f t="shared" si="7"/>
        <v>35.71</v>
      </c>
    </row>
    <row r="146" spans="1:26" x14ac:dyDescent="0.25">
      <c r="A146" s="5" t="s">
        <v>34</v>
      </c>
      <c r="B146" s="5" t="s">
        <v>130</v>
      </c>
      <c r="C146" s="5" t="s">
        <v>131</v>
      </c>
      <c r="D146" s="5" t="s">
        <v>37</v>
      </c>
      <c r="E146" s="5" t="s">
        <v>62</v>
      </c>
      <c r="F146" s="5" t="s">
        <v>63</v>
      </c>
      <c r="G146" s="5" t="s">
        <v>40</v>
      </c>
      <c r="H146" s="6">
        <v>45961</v>
      </c>
      <c r="I146" s="6">
        <v>45961</v>
      </c>
      <c r="J146" s="6">
        <v>45964</v>
      </c>
      <c r="K146" s="5" t="s">
        <v>135</v>
      </c>
      <c r="L146" s="5" t="s">
        <v>136</v>
      </c>
      <c r="M146" s="5" t="s">
        <v>43</v>
      </c>
      <c r="N146" s="5" t="s">
        <v>137</v>
      </c>
      <c r="O146" s="7">
        <v>5263.2</v>
      </c>
      <c r="P146" s="5" t="s">
        <v>45</v>
      </c>
      <c r="Q146" s="22"/>
      <c r="R146" s="8">
        <f t="shared" si="6"/>
        <v>5263.2</v>
      </c>
      <c r="S146" s="7">
        <v>5263.2</v>
      </c>
      <c r="T146" s="7"/>
      <c r="U146" s="7">
        <f t="shared" si="8"/>
        <v>5263.2</v>
      </c>
      <c r="V146" s="5" t="s">
        <v>45</v>
      </c>
      <c r="W146" s="7">
        <v>1548.91</v>
      </c>
      <c r="X146" s="5" t="s">
        <v>46</v>
      </c>
      <c r="Z146" s="8">
        <f t="shared" si="7"/>
        <v>1548.91</v>
      </c>
    </row>
    <row r="147" spans="1:26" x14ac:dyDescent="0.25">
      <c r="A147" s="5" t="s">
        <v>34</v>
      </c>
      <c r="B147" s="5" t="s">
        <v>130</v>
      </c>
      <c r="C147" s="5" t="s">
        <v>131</v>
      </c>
      <c r="D147" s="5" t="s">
        <v>37</v>
      </c>
      <c r="E147" s="5" t="s">
        <v>50</v>
      </c>
      <c r="F147" s="5" t="s">
        <v>51</v>
      </c>
      <c r="G147" s="5" t="s">
        <v>40</v>
      </c>
      <c r="H147" s="6">
        <v>45961</v>
      </c>
      <c r="I147" s="6">
        <v>45961</v>
      </c>
      <c r="J147" s="6">
        <v>45964</v>
      </c>
      <c r="K147" s="5" t="s">
        <v>135</v>
      </c>
      <c r="L147" s="5" t="s">
        <v>136</v>
      </c>
      <c r="M147" s="5" t="s">
        <v>43</v>
      </c>
      <c r="N147" s="5" t="s">
        <v>137</v>
      </c>
      <c r="O147" s="7">
        <v>6538.72</v>
      </c>
      <c r="P147" s="5" t="s">
        <v>45</v>
      </c>
      <c r="Q147" s="22"/>
      <c r="R147" s="8">
        <f t="shared" si="6"/>
        <v>6538.72</v>
      </c>
      <c r="S147" s="7">
        <v>6538.72</v>
      </c>
      <c r="T147" s="7"/>
      <c r="U147" s="7">
        <f t="shared" si="8"/>
        <v>6538.72</v>
      </c>
      <c r="V147" s="5" t="s">
        <v>45</v>
      </c>
      <c r="W147" s="7">
        <v>1924.28</v>
      </c>
      <c r="X147" s="5" t="s">
        <v>46</v>
      </c>
      <c r="Z147" s="8">
        <f t="shared" si="7"/>
        <v>1924.28</v>
      </c>
    </row>
    <row r="148" spans="1:26" x14ac:dyDescent="0.25">
      <c r="A148" s="5" t="s">
        <v>34</v>
      </c>
      <c r="B148" s="5" t="s">
        <v>130</v>
      </c>
      <c r="C148" s="5" t="s">
        <v>131</v>
      </c>
      <c r="D148" s="5" t="s">
        <v>37</v>
      </c>
      <c r="E148" s="5" t="s">
        <v>68</v>
      </c>
      <c r="F148" s="5" t="s">
        <v>69</v>
      </c>
      <c r="G148" s="5" t="s">
        <v>40</v>
      </c>
      <c r="H148" s="6">
        <v>45961</v>
      </c>
      <c r="I148" s="6">
        <v>45961</v>
      </c>
      <c r="J148" s="6">
        <v>45964</v>
      </c>
      <c r="K148" s="5" t="s">
        <v>135</v>
      </c>
      <c r="L148" s="5" t="s">
        <v>136</v>
      </c>
      <c r="M148" s="5" t="s">
        <v>43</v>
      </c>
      <c r="N148" s="5" t="s">
        <v>137</v>
      </c>
      <c r="O148" s="7">
        <v>3038.92</v>
      </c>
      <c r="P148" s="5" t="s">
        <v>45</v>
      </c>
      <c r="Q148" s="22"/>
      <c r="R148" s="8">
        <f t="shared" si="6"/>
        <v>3038.92</v>
      </c>
      <c r="S148" s="7">
        <v>3038.92</v>
      </c>
      <c r="T148" s="7"/>
      <c r="U148" s="7">
        <f t="shared" si="8"/>
        <v>3038.92</v>
      </c>
      <c r="V148" s="5" t="s">
        <v>45</v>
      </c>
      <c r="W148" s="7">
        <v>894.33</v>
      </c>
      <c r="X148" s="5" t="s">
        <v>46</v>
      </c>
      <c r="Z148" s="8">
        <f t="shared" si="7"/>
        <v>894.33</v>
      </c>
    </row>
    <row r="149" spans="1:26" x14ac:dyDescent="0.25">
      <c r="A149" s="5" t="s">
        <v>34</v>
      </c>
      <c r="B149" s="5" t="s">
        <v>130</v>
      </c>
      <c r="C149" s="5" t="s">
        <v>131</v>
      </c>
      <c r="D149" s="5" t="s">
        <v>37</v>
      </c>
      <c r="E149" s="5" t="s">
        <v>110</v>
      </c>
      <c r="F149" s="5" t="s">
        <v>111</v>
      </c>
      <c r="G149" s="5" t="s">
        <v>40</v>
      </c>
      <c r="H149" s="6">
        <v>45961</v>
      </c>
      <c r="I149" s="6">
        <v>45961</v>
      </c>
      <c r="J149" s="6">
        <v>45964</v>
      </c>
      <c r="K149" s="5" t="s">
        <v>135</v>
      </c>
      <c r="L149" s="5" t="s">
        <v>136</v>
      </c>
      <c r="M149" s="5" t="s">
        <v>43</v>
      </c>
      <c r="N149" s="5" t="s">
        <v>137</v>
      </c>
      <c r="O149" s="7">
        <v>9722.32</v>
      </c>
      <c r="P149" s="5" t="s">
        <v>45</v>
      </c>
      <c r="Q149" s="22"/>
      <c r="R149" s="8">
        <f t="shared" si="6"/>
        <v>9722.32</v>
      </c>
      <c r="S149" s="7">
        <v>9722.32</v>
      </c>
      <c r="T149" s="7"/>
      <c r="U149" s="7">
        <f t="shared" si="8"/>
        <v>9722.32</v>
      </c>
      <c r="V149" s="5" t="s">
        <v>45</v>
      </c>
      <c r="W149" s="7">
        <v>2861.19</v>
      </c>
      <c r="X149" s="5" t="s">
        <v>46</v>
      </c>
      <c r="Z149" s="8">
        <f t="shared" si="7"/>
        <v>2861.19</v>
      </c>
    </row>
    <row r="150" spans="1:26" x14ac:dyDescent="0.25">
      <c r="A150" s="5" t="s">
        <v>34</v>
      </c>
      <c r="B150" s="5" t="s">
        <v>130</v>
      </c>
      <c r="C150" s="5" t="s">
        <v>131</v>
      </c>
      <c r="D150" s="5" t="s">
        <v>37</v>
      </c>
      <c r="E150" s="5" t="s">
        <v>70</v>
      </c>
      <c r="F150" s="5" t="s">
        <v>71</v>
      </c>
      <c r="G150" s="5" t="s">
        <v>40</v>
      </c>
      <c r="H150" s="6">
        <v>45961</v>
      </c>
      <c r="I150" s="6">
        <v>45961</v>
      </c>
      <c r="J150" s="6">
        <v>45964</v>
      </c>
      <c r="K150" s="5" t="s">
        <v>135</v>
      </c>
      <c r="L150" s="5" t="s">
        <v>136</v>
      </c>
      <c r="M150" s="5" t="s">
        <v>43</v>
      </c>
      <c r="N150" s="5" t="s">
        <v>137</v>
      </c>
      <c r="O150" s="7">
        <v>461.41</v>
      </c>
      <c r="P150" s="5" t="s">
        <v>45</v>
      </c>
      <c r="Q150" s="22"/>
      <c r="R150" s="8">
        <f t="shared" si="6"/>
        <v>461.41</v>
      </c>
      <c r="S150" s="7">
        <v>461.41</v>
      </c>
      <c r="T150" s="7"/>
      <c r="U150" s="7">
        <f t="shared" si="8"/>
        <v>461.41</v>
      </c>
      <c r="V150" s="5" t="s">
        <v>45</v>
      </c>
      <c r="W150" s="7">
        <v>135.79</v>
      </c>
      <c r="X150" s="5" t="s">
        <v>46</v>
      </c>
      <c r="Z150" s="8">
        <f t="shared" si="7"/>
        <v>135.79</v>
      </c>
    </row>
    <row r="151" spans="1:26" x14ac:dyDescent="0.25">
      <c r="A151" s="5" t="s">
        <v>34</v>
      </c>
      <c r="B151" s="5" t="s">
        <v>130</v>
      </c>
      <c r="C151" s="5" t="s">
        <v>131</v>
      </c>
      <c r="D151" s="5" t="s">
        <v>37</v>
      </c>
      <c r="E151" s="5" t="s">
        <v>54</v>
      </c>
      <c r="F151" s="5" t="s">
        <v>55</v>
      </c>
      <c r="G151" s="5" t="s">
        <v>40</v>
      </c>
      <c r="H151" s="6">
        <v>45961</v>
      </c>
      <c r="I151" s="6">
        <v>45961</v>
      </c>
      <c r="J151" s="6">
        <v>45964</v>
      </c>
      <c r="K151" s="5" t="s">
        <v>135</v>
      </c>
      <c r="L151" s="5" t="s">
        <v>136</v>
      </c>
      <c r="M151" s="5" t="s">
        <v>43</v>
      </c>
      <c r="N151" s="5" t="s">
        <v>137</v>
      </c>
      <c r="O151" s="7">
        <v>380.76</v>
      </c>
      <c r="P151" s="5" t="s">
        <v>45</v>
      </c>
      <c r="Q151" s="22"/>
      <c r="R151" s="8">
        <f t="shared" si="6"/>
        <v>380.76</v>
      </c>
      <c r="S151" s="7">
        <v>380.76</v>
      </c>
      <c r="T151" s="7"/>
      <c r="U151" s="7">
        <f t="shared" si="8"/>
        <v>380.76</v>
      </c>
      <c r="V151" s="5" t="s">
        <v>45</v>
      </c>
      <c r="W151" s="7">
        <v>112.05</v>
      </c>
      <c r="X151" s="5" t="s">
        <v>46</v>
      </c>
      <c r="Z151" s="8">
        <f t="shared" si="7"/>
        <v>112.05</v>
      </c>
    </row>
    <row r="152" spans="1:26" x14ac:dyDescent="0.25">
      <c r="A152" s="5" t="s">
        <v>34</v>
      </c>
      <c r="B152" s="5" t="s">
        <v>130</v>
      </c>
      <c r="C152" s="5" t="s">
        <v>131</v>
      </c>
      <c r="D152" s="5" t="s">
        <v>37</v>
      </c>
      <c r="E152" s="5" t="s">
        <v>104</v>
      </c>
      <c r="F152" s="5" t="s">
        <v>105</v>
      </c>
      <c r="G152" s="5" t="s">
        <v>40</v>
      </c>
      <c r="H152" s="6">
        <v>45961</v>
      </c>
      <c r="I152" s="6">
        <v>45961</v>
      </c>
      <c r="J152" s="6">
        <v>45964</v>
      </c>
      <c r="K152" s="5" t="s">
        <v>135</v>
      </c>
      <c r="L152" s="5" t="s">
        <v>136</v>
      </c>
      <c r="M152" s="5" t="s">
        <v>43</v>
      </c>
      <c r="N152" s="5" t="s">
        <v>137</v>
      </c>
      <c r="O152" s="7">
        <v>2509.86</v>
      </c>
      <c r="P152" s="5" t="s">
        <v>45</v>
      </c>
      <c r="Q152" s="22"/>
      <c r="R152" s="8">
        <f t="shared" si="6"/>
        <v>2509.86</v>
      </c>
      <c r="S152" s="7">
        <v>2509.86</v>
      </c>
      <c r="T152" s="7"/>
      <c r="U152" s="7">
        <f t="shared" si="8"/>
        <v>2509.86</v>
      </c>
      <c r="V152" s="5" t="s">
        <v>45</v>
      </c>
      <c r="W152" s="7">
        <v>738.63</v>
      </c>
      <c r="X152" s="5" t="s">
        <v>46</v>
      </c>
      <c r="Z152" s="8">
        <f t="shared" si="7"/>
        <v>738.63</v>
      </c>
    </row>
    <row r="153" spans="1:26" x14ac:dyDescent="0.25">
      <c r="A153" s="5" t="s">
        <v>34</v>
      </c>
      <c r="B153" s="5" t="s">
        <v>130</v>
      </c>
      <c r="C153" s="5" t="s">
        <v>131</v>
      </c>
      <c r="D153" s="5" t="s">
        <v>37</v>
      </c>
      <c r="E153" s="5" t="s">
        <v>118</v>
      </c>
      <c r="F153" s="5" t="s">
        <v>119</v>
      </c>
      <c r="G153" s="5" t="s">
        <v>40</v>
      </c>
      <c r="H153" s="6">
        <v>45961</v>
      </c>
      <c r="I153" s="6">
        <v>45961</v>
      </c>
      <c r="J153" s="6">
        <v>45964</v>
      </c>
      <c r="K153" s="5" t="s">
        <v>135</v>
      </c>
      <c r="L153" s="5" t="s">
        <v>136</v>
      </c>
      <c r="M153" s="5" t="s">
        <v>43</v>
      </c>
      <c r="N153" s="5" t="s">
        <v>137</v>
      </c>
      <c r="O153" s="7">
        <v>331.63</v>
      </c>
      <c r="P153" s="5" t="s">
        <v>45</v>
      </c>
      <c r="Q153" s="22"/>
      <c r="R153" s="8">
        <f t="shared" si="6"/>
        <v>331.63</v>
      </c>
      <c r="S153" s="7">
        <v>331.63</v>
      </c>
      <c r="T153" s="7"/>
      <c r="U153" s="7">
        <f t="shared" si="8"/>
        <v>331.63</v>
      </c>
      <c r="V153" s="5" t="s">
        <v>45</v>
      </c>
      <c r="W153" s="7">
        <v>97.6</v>
      </c>
      <c r="X153" s="5" t="s">
        <v>46</v>
      </c>
      <c r="Z153" s="8">
        <f t="shared" si="7"/>
        <v>97.6</v>
      </c>
    </row>
    <row r="154" spans="1:26" x14ac:dyDescent="0.25">
      <c r="A154" s="5" t="s">
        <v>34</v>
      </c>
      <c r="B154" s="5" t="s">
        <v>130</v>
      </c>
      <c r="C154" s="5" t="s">
        <v>131</v>
      </c>
      <c r="D154" s="5" t="s">
        <v>37</v>
      </c>
      <c r="E154" s="5" t="s">
        <v>116</v>
      </c>
      <c r="F154" s="5" t="s">
        <v>117</v>
      </c>
      <c r="G154" s="5" t="s">
        <v>40</v>
      </c>
      <c r="H154" s="6">
        <v>45961</v>
      </c>
      <c r="I154" s="6">
        <v>45961</v>
      </c>
      <c r="J154" s="6">
        <v>45964</v>
      </c>
      <c r="K154" s="5" t="s">
        <v>135</v>
      </c>
      <c r="L154" s="5" t="s">
        <v>136</v>
      </c>
      <c r="M154" s="5" t="s">
        <v>43</v>
      </c>
      <c r="N154" s="5" t="s">
        <v>137</v>
      </c>
      <c r="O154" s="7">
        <v>3764.83</v>
      </c>
      <c r="P154" s="5" t="s">
        <v>45</v>
      </c>
      <c r="Q154" s="22"/>
      <c r="R154" s="8">
        <f t="shared" si="6"/>
        <v>3764.83</v>
      </c>
      <c r="S154" s="7">
        <v>3764.83</v>
      </c>
      <c r="T154" s="7"/>
      <c r="U154" s="7">
        <f t="shared" si="8"/>
        <v>3764.83</v>
      </c>
      <c r="V154" s="5" t="s">
        <v>45</v>
      </c>
      <c r="W154" s="7">
        <v>1107.95</v>
      </c>
      <c r="X154" s="5" t="s">
        <v>46</v>
      </c>
      <c r="Z154" s="8">
        <f t="shared" si="7"/>
        <v>1107.95</v>
      </c>
    </row>
    <row r="155" spans="1:26" x14ac:dyDescent="0.25">
      <c r="A155" s="5" t="s">
        <v>34</v>
      </c>
      <c r="B155" s="5" t="s">
        <v>130</v>
      </c>
      <c r="C155" s="5" t="s">
        <v>131</v>
      </c>
      <c r="D155" s="5" t="s">
        <v>37</v>
      </c>
      <c r="E155" s="5" t="s">
        <v>96</v>
      </c>
      <c r="F155" s="5" t="s">
        <v>97</v>
      </c>
      <c r="G155" s="5" t="s">
        <v>40</v>
      </c>
      <c r="H155" s="6">
        <v>45961</v>
      </c>
      <c r="I155" s="6">
        <v>45961</v>
      </c>
      <c r="J155" s="6">
        <v>45964</v>
      </c>
      <c r="K155" s="5" t="s">
        <v>135</v>
      </c>
      <c r="L155" s="5" t="s">
        <v>136</v>
      </c>
      <c r="M155" s="5" t="s">
        <v>43</v>
      </c>
      <c r="N155" s="5" t="s">
        <v>137</v>
      </c>
      <c r="O155" s="7">
        <v>12998.56</v>
      </c>
      <c r="P155" s="5" t="s">
        <v>45</v>
      </c>
      <c r="Q155" s="22"/>
      <c r="R155" s="8">
        <f t="shared" si="6"/>
        <v>12998.56</v>
      </c>
      <c r="S155" s="7">
        <v>12998.56</v>
      </c>
      <c r="T155" s="7"/>
      <c r="U155" s="7">
        <f t="shared" si="8"/>
        <v>12998.56</v>
      </c>
      <c r="V155" s="5" t="s">
        <v>45</v>
      </c>
      <c r="W155" s="7">
        <v>3825.36</v>
      </c>
      <c r="X155" s="5" t="s">
        <v>46</v>
      </c>
      <c r="Z155" s="8">
        <f t="shared" si="7"/>
        <v>3825.36</v>
      </c>
    </row>
    <row r="156" spans="1:26" x14ac:dyDescent="0.25">
      <c r="A156" s="5" t="s">
        <v>34</v>
      </c>
      <c r="B156" s="5" t="s">
        <v>130</v>
      </c>
      <c r="C156" s="5" t="s">
        <v>131</v>
      </c>
      <c r="D156" s="5" t="s">
        <v>37</v>
      </c>
      <c r="E156" s="5" t="s">
        <v>84</v>
      </c>
      <c r="F156" s="5" t="s">
        <v>85</v>
      </c>
      <c r="G156" s="5" t="s">
        <v>40</v>
      </c>
      <c r="H156" s="6">
        <v>45961</v>
      </c>
      <c r="I156" s="6">
        <v>45961</v>
      </c>
      <c r="J156" s="6">
        <v>45964</v>
      </c>
      <c r="K156" s="5" t="s">
        <v>135</v>
      </c>
      <c r="L156" s="5" t="s">
        <v>136</v>
      </c>
      <c r="M156" s="5" t="s">
        <v>43</v>
      </c>
      <c r="N156" s="5" t="s">
        <v>137</v>
      </c>
      <c r="O156" s="7">
        <v>1601.78</v>
      </c>
      <c r="P156" s="5" t="s">
        <v>45</v>
      </c>
      <c r="Q156" s="22"/>
      <c r="R156" s="8">
        <f t="shared" si="6"/>
        <v>1601.78</v>
      </c>
      <c r="S156" s="7">
        <v>1601.78</v>
      </c>
      <c r="T156" s="7"/>
      <c r="U156" s="7">
        <f t="shared" si="8"/>
        <v>1601.78</v>
      </c>
      <c r="V156" s="5" t="s">
        <v>45</v>
      </c>
      <c r="W156" s="7">
        <v>471.39</v>
      </c>
      <c r="X156" s="5" t="s">
        <v>46</v>
      </c>
      <c r="Z156" s="8">
        <f t="shared" si="7"/>
        <v>471.39</v>
      </c>
    </row>
    <row r="157" spans="1:26" x14ac:dyDescent="0.25">
      <c r="A157" s="5" t="s">
        <v>34</v>
      </c>
      <c r="B157" s="5" t="s">
        <v>130</v>
      </c>
      <c r="C157" s="5" t="s">
        <v>131</v>
      </c>
      <c r="D157" s="5" t="s">
        <v>37</v>
      </c>
      <c r="E157" s="5" t="s">
        <v>138</v>
      </c>
      <c r="F157" s="5" t="s">
        <v>139</v>
      </c>
      <c r="G157" s="5" t="s">
        <v>40</v>
      </c>
      <c r="H157" s="6">
        <v>45961</v>
      </c>
      <c r="I157" s="6">
        <v>45961</v>
      </c>
      <c r="J157" s="6">
        <v>45964</v>
      </c>
      <c r="K157" s="5" t="s">
        <v>135</v>
      </c>
      <c r="L157" s="5" t="s">
        <v>136</v>
      </c>
      <c r="M157" s="5" t="s">
        <v>43</v>
      </c>
      <c r="N157" s="5" t="s">
        <v>137</v>
      </c>
      <c r="O157" s="7">
        <v>2155.1799999999998</v>
      </c>
      <c r="P157" s="5" t="s">
        <v>45</v>
      </c>
      <c r="Q157" s="22"/>
      <c r="R157" s="8">
        <f t="shared" si="6"/>
        <v>2155.1799999999998</v>
      </c>
      <c r="S157" s="7">
        <v>2155.1799999999998</v>
      </c>
      <c r="T157" s="7"/>
      <c r="U157" s="7">
        <f t="shared" si="8"/>
        <v>2155.1799999999998</v>
      </c>
      <c r="V157" s="5" t="s">
        <v>45</v>
      </c>
      <c r="W157" s="7">
        <v>634.25</v>
      </c>
      <c r="X157" s="5" t="s">
        <v>46</v>
      </c>
      <c r="Z157" s="8">
        <f t="shared" si="7"/>
        <v>634.25</v>
      </c>
    </row>
    <row r="158" spans="1:26" x14ac:dyDescent="0.25">
      <c r="A158" s="5" t="s">
        <v>34</v>
      </c>
      <c r="B158" s="5" t="s">
        <v>130</v>
      </c>
      <c r="C158" s="5" t="s">
        <v>131</v>
      </c>
      <c r="D158" s="5" t="s">
        <v>37</v>
      </c>
      <c r="E158" s="5" t="s">
        <v>74</v>
      </c>
      <c r="F158" s="5" t="s">
        <v>75</v>
      </c>
      <c r="G158" s="5" t="s">
        <v>40</v>
      </c>
      <c r="H158" s="6">
        <v>45961</v>
      </c>
      <c r="I158" s="6">
        <v>45961</v>
      </c>
      <c r="J158" s="6">
        <v>45964</v>
      </c>
      <c r="K158" s="5" t="s">
        <v>135</v>
      </c>
      <c r="L158" s="5" t="s">
        <v>136</v>
      </c>
      <c r="M158" s="5" t="s">
        <v>43</v>
      </c>
      <c r="N158" s="5" t="s">
        <v>137</v>
      </c>
      <c r="O158" s="7">
        <v>46991.91</v>
      </c>
      <c r="P158" s="5" t="s">
        <v>45</v>
      </c>
      <c r="Q158" s="22"/>
      <c r="R158" s="8">
        <f t="shared" si="6"/>
        <v>46991.91</v>
      </c>
      <c r="S158" s="7">
        <v>46991.91</v>
      </c>
      <c r="T158" s="7"/>
      <c r="U158" s="7">
        <f t="shared" si="8"/>
        <v>46991.91</v>
      </c>
      <c r="V158" s="5" t="s">
        <v>45</v>
      </c>
      <c r="W158" s="7">
        <v>13829.28</v>
      </c>
      <c r="X158" s="5" t="s">
        <v>46</v>
      </c>
      <c r="Z158" s="8">
        <f t="shared" si="7"/>
        <v>13829.28</v>
      </c>
    </row>
    <row r="159" spans="1:26" x14ac:dyDescent="0.25">
      <c r="A159" s="5" t="s">
        <v>34</v>
      </c>
      <c r="B159" s="5" t="s">
        <v>130</v>
      </c>
      <c r="C159" s="5" t="s">
        <v>131</v>
      </c>
      <c r="D159" s="5" t="s">
        <v>37</v>
      </c>
      <c r="E159" s="5" t="s">
        <v>78</v>
      </c>
      <c r="F159" s="5" t="s">
        <v>79</v>
      </c>
      <c r="G159" s="5" t="s">
        <v>40</v>
      </c>
      <c r="H159" s="6">
        <v>45961</v>
      </c>
      <c r="I159" s="6">
        <v>45961</v>
      </c>
      <c r="J159" s="6">
        <v>45964</v>
      </c>
      <c r="K159" s="5" t="s">
        <v>135</v>
      </c>
      <c r="L159" s="5" t="s">
        <v>136</v>
      </c>
      <c r="M159" s="5" t="s">
        <v>43</v>
      </c>
      <c r="N159" s="5" t="s">
        <v>137</v>
      </c>
      <c r="O159" s="7">
        <v>2327</v>
      </c>
      <c r="P159" s="5" t="s">
        <v>45</v>
      </c>
      <c r="Q159" s="22"/>
      <c r="R159" s="8">
        <f t="shared" si="6"/>
        <v>2327</v>
      </c>
      <c r="S159" s="7">
        <v>2327</v>
      </c>
      <c r="T159" s="7"/>
      <c r="U159" s="7">
        <f t="shared" si="8"/>
        <v>2327</v>
      </c>
      <c r="V159" s="5" t="s">
        <v>45</v>
      </c>
      <c r="W159" s="7">
        <v>684.81</v>
      </c>
      <c r="X159" s="5" t="s">
        <v>46</v>
      </c>
      <c r="Z159" s="8">
        <f t="shared" si="7"/>
        <v>684.81</v>
      </c>
    </row>
    <row r="160" spans="1:26" x14ac:dyDescent="0.25">
      <c r="A160" s="5" t="s">
        <v>34</v>
      </c>
      <c r="B160" s="5" t="s">
        <v>130</v>
      </c>
      <c r="C160" s="5" t="s">
        <v>131</v>
      </c>
      <c r="D160" s="5" t="s">
        <v>37</v>
      </c>
      <c r="E160" s="5" t="s">
        <v>98</v>
      </c>
      <c r="F160" s="5" t="s">
        <v>99</v>
      </c>
      <c r="G160" s="5" t="s">
        <v>40</v>
      </c>
      <c r="H160" s="6">
        <v>45961</v>
      </c>
      <c r="I160" s="6">
        <v>45961</v>
      </c>
      <c r="J160" s="6">
        <v>45964</v>
      </c>
      <c r="K160" s="5" t="s">
        <v>135</v>
      </c>
      <c r="L160" s="5" t="s">
        <v>136</v>
      </c>
      <c r="M160" s="5" t="s">
        <v>43</v>
      </c>
      <c r="N160" s="5" t="s">
        <v>137</v>
      </c>
      <c r="O160" s="7">
        <v>98.52</v>
      </c>
      <c r="P160" s="5" t="s">
        <v>45</v>
      </c>
      <c r="Q160" s="22"/>
      <c r="R160" s="8">
        <f t="shared" si="6"/>
        <v>98.52</v>
      </c>
      <c r="S160" s="7">
        <v>98.52</v>
      </c>
      <c r="T160" s="7"/>
      <c r="U160" s="7">
        <f t="shared" si="8"/>
        <v>98.52</v>
      </c>
      <c r="V160" s="5" t="s">
        <v>45</v>
      </c>
      <c r="W160" s="7">
        <v>28.99</v>
      </c>
      <c r="X160" s="5" t="s">
        <v>46</v>
      </c>
      <c r="Z160" s="8">
        <f t="shared" si="7"/>
        <v>28.99</v>
      </c>
    </row>
    <row r="161" spans="1:26" x14ac:dyDescent="0.25">
      <c r="A161" s="5" t="s">
        <v>34</v>
      </c>
      <c r="B161" s="5" t="s">
        <v>130</v>
      </c>
      <c r="C161" s="5" t="s">
        <v>131</v>
      </c>
      <c r="D161" s="5" t="s">
        <v>37</v>
      </c>
      <c r="E161" s="5" t="s">
        <v>64</v>
      </c>
      <c r="F161" s="5" t="s">
        <v>65</v>
      </c>
      <c r="G161" s="5" t="s">
        <v>40</v>
      </c>
      <c r="H161" s="6">
        <v>45961</v>
      </c>
      <c r="I161" s="6">
        <v>45961</v>
      </c>
      <c r="J161" s="6">
        <v>45964</v>
      </c>
      <c r="K161" s="5" t="s">
        <v>135</v>
      </c>
      <c r="L161" s="5" t="s">
        <v>136</v>
      </c>
      <c r="M161" s="5" t="s">
        <v>43</v>
      </c>
      <c r="N161" s="5" t="s">
        <v>137</v>
      </c>
      <c r="O161" s="7">
        <v>804.01</v>
      </c>
      <c r="P161" s="5" t="s">
        <v>45</v>
      </c>
      <c r="Q161" s="22"/>
      <c r="R161" s="8">
        <f t="shared" si="6"/>
        <v>804.01</v>
      </c>
      <c r="S161" s="7">
        <v>804.01</v>
      </c>
      <c r="T161" s="7"/>
      <c r="U161" s="7">
        <f t="shared" si="8"/>
        <v>804.01</v>
      </c>
      <c r="V161" s="5" t="s">
        <v>45</v>
      </c>
      <c r="W161" s="7">
        <v>236.61</v>
      </c>
      <c r="X161" s="5" t="s">
        <v>46</v>
      </c>
      <c r="Z161" s="8">
        <f t="shared" si="7"/>
        <v>236.61</v>
      </c>
    </row>
    <row r="162" spans="1:26" x14ac:dyDescent="0.25">
      <c r="A162" s="5" t="s">
        <v>34</v>
      </c>
      <c r="B162" s="5" t="s">
        <v>130</v>
      </c>
      <c r="C162" s="5" t="s">
        <v>131</v>
      </c>
      <c r="D162" s="5" t="s">
        <v>37</v>
      </c>
      <c r="E162" s="5" t="s">
        <v>48</v>
      </c>
      <c r="F162" s="5" t="s">
        <v>49</v>
      </c>
      <c r="G162" s="5" t="s">
        <v>40</v>
      </c>
      <c r="H162" s="6">
        <v>45961</v>
      </c>
      <c r="I162" s="6">
        <v>45961</v>
      </c>
      <c r="J162" s="6">
        <v>45964</v>
      </c>
      <c r="K162" s="5" t="s">
        <v>135</v>
      </c>
      <c r="L162" s="5" t="s">
        <v>136</v>
      </c>
      <c r="M162" s="5" t="s">
        <v>43</v>
      </c>
      <c r="N162" s="5" t="s">
        <v>137</v>
      </c>
      <c r="O162" s="7">
        <v>5977.86</v>
      </c>
      <c r="P162" s="5" t="s">
        <v>45</v>
      </c>
      <c r="Q162" s="22"/>
      <c r="R162" s="8">
        <f t="shared" si="6"/>
        <v>5977.86</v>
      </c>
      <c r="S162" s="7">
        <v>5977.86</v>
      </c>
      <c r="T162" s="7"/>
      <c r="U162" s="7">
        <f t="shared" si="8"/>
        <v>5977.86</v>
      </c>
      <c r="V162" s="5" t="s">
        <v>45</v>
      </c>
      <c r="W162" s="7">
        <v>1759.23</v>
      </c>
      <c r="X162" s="5" t="s">
        <v>46</v>
      </c>
      <c r="Z162" s="8">
        <f t="shared" si="7"/>
        <v>1759.23</v>
      </c>
    </row>
    <row r="163" spans="1:26" x14ac:dyDescent="0.25">
      <c r="A163" s="5" t="s">
        <v>34</v>
      </c>
      <c r="B163" s="5" t="s">
        <v>130</v>
      </c>
      <c r="C163" s="5" t="s">
        <v>131</v>
      </c>
      <c r="D163" s="5" t="s">
        <v>37</v>
      </c>
      <c r="E163" s="5" t="s">
        <v>82</v>
      </c>
      <c r="F163" s="5" t="s">
        <v>83</v>
      </c>
      <c r="G163" s="5" t="s">
        <v>40</v>
      </c>
      <c r="H163" s="6">
        <v>45961</v>
      </c>
      <c r="I163" s="6">
        <v>45961</v>
      </c>
      <c r="J163" s="6">
        <v>45964</v>
      </c>
      <c r="K163" s="5" t="s">
        <v>135</v>
      </c>
      <c r="L163" s="5" t="s">
        <v>136</v>
      </c>
      <c r="M163" s="5" t="s">
        <v>43</v>
      </c>
      <c r="N163" s="5" t="s">
        <v>137</v>
      </c>
      <c r="O163" s="7">
        <v>1001.7</v>
      </c>
      <c r="P163" s="5" t="s">
        <v>45</v>
      </c>
      <c r="Q163" s="22"/>
      <c r="R163" s="8">
        <f t="shared" si="6"/>
        <v>1001.7</v>
      </c>
      <c r="S163" s="7">
        <v>1001.7</v>
      </c>
      <c r="T163" s="7"/>
      <c r="U163" s="7">
        <f t="shared" si="8"/>
        <v>1001.7</v>
      </c>
      <c r="V163" s="5" t="s">
        <v>45</v>
      </c>
      <c r="W163" s="7">
        <v>294.79000000000002</v>
      </c>
      <c r="X163" s="5" t="s">
        <v>46</v>
      </c>
      <c r="Z163" s="8">
        <f t="shared" si="7"/>
        <v>294.79000000000002</v>
      </c>
    </row>
    <row r="164" spans="1:26" x14ac:dyDescent="0.25">
      <c r="A164" s="5" t="s">
        <v>34</v>
      </c>
      <c r="B164" s="5" t="s">
        <v>130</v>
      </c>
      <c r="C164" s="5" t="s">
        <v>131</v>
      </c>
      <c r="D164" s="5" t="s">
        <v>37</v>
      </c>
      <c r="E164" s="5" t="s">
        <v>102</v>
      </c>
      <c r="F164" s="5" t="s">
        <v>103</v>
      </c>
      <c r="G164" s="5" t="s">
        <v>40</v>
      </c>
      <c r="H164" s="6">
        <v>45961</v>
      </c>
      <c r="I164" s="6">
        <v>45961</v>
      </c>
      <c r="J164" s="6">
        <v>45964</v>
      </c>
      <c r="K164" s="5" t="s">
        <v>135</v>
      </c>
      <c r="L164" s="5" t="s">
        <v>136</v>
      </c>
      <c r="M164" s="5" t="s">
        <v>43</v>
      </c>
      <c r="N164" s="5" t="s">
        <v>137</v>
      </c>
      <c r="O164" s="7">
        <v>70.209999999999994</v>
      </c>
      <c r="P164" s="5" t="s">
        <v>45</v>
      </c>
      <c r="Q164" s="22"/>
      <c r="R164" s="8">
        <f t="shared" si="6"/>
        <v>70.209999999999994</v>
      </c>
      <c r="S164" s="7">
        <v>70.209999999999994</v>
      </c>
      <c r="T164" s="7"/>
      <c r="U164" s="7">
        <f t="shared" si="8"/>
        <v>70.209999999999994</v>
      </c>
      <c r="V164" s="5" t="s">
        <v>45</v>
      </c>
      <c r="W164" s="7">
        <v>20.66</v>
      </c>
      <c r="X164" s="5" t="s">
        <v>46</v>
      </c>
      <c r="Z164" s="8">
        <f t="shared" si="7"/>
        <v>20.66</v>
      </c>
    </row>
    <row r="165" spans="1:26" x14ac:dyDescent="0.25">
      <c r="A165" s="5" t="s">
        <v>34</v>
      </c>
      <c r="B165" s="5" t="s">
        <v>130</v>
      </c>
      <c r="C165" s="5" t="s">
        <v>131</v>
      </c>
      <c r="D165" s="5" t="s">
        <v>37</v>
      </c>
      <c r="E165" s="5" t="s">
        <v>86</v>
      </c>
      <c r="F165" s="5" t="s">
        <v>87</v>
      </c>
      <c r="G165" s="5" t="s">
        <v>40</v>
      </c>
      <c r="H165" s="6">
        <v>45961</v>
      </c>
      <c r="I165" s="6">
        <v>45961</v>
      </c>
      <c r="J165" s="6">
        <v>45964</v>
      </c>
      <c r="K165" s="5" t="s">
        <v>135</v>
      </c>
      <c r="L165" s="5" t="s">
        <v>136</v>
      </c>
      <c r="M165" s="5" t="s">
        <v>43</v>
      </c>
      <c r="N165" s="5" t="s">
        <v>137</v>
      </c>
      <c r="O165" s="7">
        <v>10694.72</v>
      </c>
      <c r="P165" s="5" t="s">
        <v>45</v>
      </c>
      <c r="Q165" s="22"/>
      <c r="R165" s="8">
        <f t="shared" si="6"/>
        <v>10694.72</v>
      </c>
      <c r="S165" s="7">
        <v>10694.72</v>
      </c>
      <c r="T165" s="7"/>
      <c r="U165" s="7">
        <f t="shared" si="8"/>
        <v>10694.72</v>
      </c>
      <c r="V165" s="5" t="s">
        <v>45</v>
      </c>
      <c r="W165" s="7">
        <v>3147.36</v>
      </c>
      <c r="X165" s="5" t="s">
        <v>46</v>
      </c>
      <c r="Z165" s="8">
        <f t="shared" si="7"/>
        <v>3147.36</v>
      </c>
    </row>
    <row r="166" spans="1:26" x14ac:dyDescent="0.25">
      <c r="A166" s="5" t="s">
        <v>34</v>
      </c>
      <c r="B166" s="5" t="s">
        <v>130</v>
      </c>
      <c r="C166" s="5" t="s">
        <v>131</v>
      </c>
      <c r="D166" s="5" t="s">
        <v>37</v>
      </c>
      <c r="E166" s="5" t="s">
        <v>100</v>
      </c>
      <c r="F166" s="5" t="s">
        <v>101</v>
      </c>
      <c r="G166" s="5" t="s">
        <v>40</v>
      </c>
      <c r="H166" s="6">
        <v>45961</v>
      </c>
      <c r="I166" s="6">
        <v>45961</v>
      </c>
      <c r="J166" s="6">
        <v>45964</v>
      </c>
      <c r="K166" s="5" t="s">
        <v>135</v>
      </c>
      <c r="L166" s="5" t="s">
        <v>136</v>
      </c>
      <c r="M166" s="5" t="s">
        <v>43</v>
      </c>
      <c r="N166" s="5" t="s">
        <v>137</v>
      </c>
      <c r="O166" s="7">
        <v>2013.01</v>
      </c>
      <c r="P166" s="5" t="s">
        <v>45</v>
      </c>
      <c r="Q166" s="22"/>
      <c r="R166" s="8">
        <f t="shared" si="6"/>
        <v>2013.01</v>
      </c>
      <c r="S166" s="7">
        <v>2013.01</v>
      </c>
      <c r="T166" s="7"/>
      <c r="U166" s="7">
        <f t="shared" si="8"/>
        <v>2013.01</v>
      </c>
      <c r="V166" s="5" t="s">
        <v>45</v>
      </c>
      <c r="W166" s="7">
        <v>592.41</v>
      </c>
      <c r="X166" s="5" t="s">
        <v>46</v>
      </c>
      <c r="Z166" s="8">
        <f t="shared" si="7"/>
        <v>592.41</v>
      </c>
    </row>
    <row r="167" spans="1:26" x14ac:dyDescent="0.25">
      <c r="A167" s="5" t="s">
        <v>34</v>
      </c>
      <c r="B167" s="5" t="s">
        <v>130</v>
      </c>
      <c r="C167" s="5" t="s">
        <v>131</v>
      </c>
      <c r="D167" s="5" t="s">
        <v>37</v>
      </c>
      <c r="E167" s="5" t="s">
        <v>60</v>
      </c>
      <c r="F167" s="5" t="s">
        <v>61</v>
      </c>
      <c r="G167" s="5" t="s">
        <v>40</v>
      </c>
      <c r="H167" s="6">
        <v>45961</v>
      </c>
      <c r="I167" s="6">
        <v>45961</v>
      </c>
      <c r="J167" s="6">
        <v>45964</v>
      </c>
      <c r="K167" s="5" t="s">
        <v>135</v>
      </c>
      <c r="L167" s="5" t="s">
        <v>136</v>
      </c>
      <c r="M167" s="5" t="s">
        <v>43</v>
      </c>
      <c r="N167" s="5" t="s">
        <v>137</v>
      </c>
      <c r="O167" s="7">
        <v>6151.91</v>
      </c>
      <c r="P167" s="5" t="s">
        <v>45</v>
      </c>
      <c r="Q167" s="22"/>
      <c r="R167" s="8">
        <f t="shared" si="6"/>
        <v>6151.91</v>
      </c>
      <c r="S167" s="7">
        <v>6151.91</v>
      </c>
      <c r="T167" s="7"/>
      <c r="U167" s="7">
        <f t="shared" si="8"/>
        <v>6151.91</v>
      </c>
      <c r="V167" s="5" t="s">
        <v>45</v>
      </c>
      <c r="W167" s="7">
        <v>1810.45</v>
      </c>
      <c r="X167" s="5" t="s">
        <v>46</v>
      </c>
      <c r="Z167" s="8">
        <f t="shared" si="7"/>
        <v>1810.45</v>
      </c>
    </row>
    <row r="168" spans="1:26" x14ac:dyDescent="0.25">
      <c r="A168" s="5" t="s">
        <v>34</v>
      </c>
      <c r="B168" s="5" t="s">
        <v>140</v>
      </c>
      <c r="C168" s="5" t="s">
        <v>141</v>
      </c>
      <c r="D168" s="5" t="s">
        <v>37</v>
      </c>
      <c r="E168" s="5" t="s">
        <v>64</v>
      </c>
      <c r="F168" s="5" t="s">
        <v>65</v>
      </c>
      <c r="G168" s="5" t="s">
        <v>40</v>
      </c>
      <c r="H168" s="6">
        <v>45961</v>
      </c>
      <c r="I168" s="6">
        <v>45961</v>
      </c>
      <c r="J168" s="6">
        <v>45950</v>
      </c>
      <c r="K168" s="5" t="s">
        <v>132</v>
      </c>
      <c r="L168" s="5" t="s">
        <v>133</v>
      </c>
      <c r="M168" s="5" t="s">
        <v>43</v>
      </c>
      <c r="N168" s="5" t="s">
        <v>134</v>
      </c>
      <c r="O168" s="7">
        <v>-43.6</v>
      </c>
      <c r="P168" s="5" t="s">
        <v>45</v>
      </c>
      <c r="Q168" s="22"/>
      <c r="R168" s="8">
        <f t="shared" si="6"/>
        <v>-43.6</v>
      </c>
      <c r="S168" s="7">
        <v>-43.6</v>
      </c>
      <c r="T168" s="7"/>
      <c r="U168" s="7">
        <f t="shared" si="8"/>
        <v>-43.6</v>
      </c>
      <c r="V168" s="5" t="s">
        <v>45</v>
      </c>
      <c r="W168" s="7">
        <v>-12.87</v>
      </c>
      <c r="X168" s="5" t="s">
        <v>46</v>
      </c>
      <c r="Z168" s="8">
        <f t="shared" si="7"/>
        <v>-12.87</v>
      </c>
    </row>
    <row r="169" spans="1:26" x14ac:dyDescent="0.25">
      <c r="A169" s="5" t="s">
        <v>34</v>
      </c>
      <c r="B169" s="5" t="s">
        <v>140</v>
      </c>
      <c r="C169" s="5" t="s">
        <v>141</v>
      </c>
      <c r="D169" s="5" t="s">
        <v>37</v>
      </c>
      <c r="E169" s="5" t="s">
        <v>110</v>
      </c>
      <c r="F169" s="5" t="s">
        <v>111</v>
      </c>
      <c r="G169" s="5" t="s">
        <v>40</v>
      </c>
      <c r="H169" s="6">
        <v>45961</v>
      </c>
      <c r="I169" s="6">
        <v>45961</v>
      </c>
      <c r="J169" s="6">
        <v>45964</v>
      </c>
      <c r="K169" s="5" t="s">
        <v>135</v>
      </c>
      <c r="L169" s="5" t="s">
        <v>136</v>
      </c>
      <c r="M169" s="5" t="s">
        <v>43</v>
      </c>
      <c r="N169" s="5" t="s">
        <v>137</v>
      </c>
      <c r="O169" s="7">
        <v>63538.44</v>
      </c>
      <c r="P169" s="5" t="s">
        <v>45</v>
      </c>
      <c r="Q169" s="22"/>
      <c r="R169" s="8">
        <f t="shared" si="6"/>
        <v>63538.44</v>
      </c>
      <c r="S169" s="7">
        <v>63538.44</v>
      </c>
      <c r="T169" s="7"/>
      <c r="U169" s="7">
        <f t="shared" si="8"/>
        <v>63538.44</v>
      </c>
      <c r="V169" s="5" t="s">
        <v>45</v>
      </c>
      <c r="W169" s="7">
        <v>18698.78</v>
      </c>
      <c r="X169" s="5" t="s">
        <v>46</v>
      </c>
      <c r="Z169" s="8">
        <f t="shared" si="7"/>
        <v>18698.78</v>
      </c>
    </row>
    <row r="170" spans="1:26" x14ac:dyDescent="0.25">
      <c r="A170" s="5" t="s">
        <v>34</v>
      </c>
      <c r="B170" s="5" t="s">
        <v>140</v>
      </c>
      <c r="C170" s="5" t="s">
        <v>141</v>
      </c>
      <c r="D170" s="5" t="s">
        <v>37</v>
      </c>
      <c r="E170" s="5" t="s">
        <v>84</v>
      </c>
      <c r="F170" s="5" t="s">
        <v>85</v>
      </c>
      <c r="G170" s="5" t="s">
        <v>40</v>
      </c>
      <c r="H170" s="6">
        <v>45961</v>
      </c>
      <c r="I170" s="6">
        <v>45961</v>
      </c>
      <c r="J170" s="6">
        <v>45964</v>
      </c>
      <c r="K170" s="5" t="s">
        <v>135</v>
      </c>
      <c r="L170" s="5" t="s">
        <v>136</v>
      </c>
      <c r="M170" s="5" t="s">
        <v>43</v>
      </c>
      <c r="N170" s="5" t="s">
        <v>137</v>
      </c>
      <c r="O170" s="7">
        <v>13150</v>
      </c>
      <c r="P170" s="5" t="s">
        <v>45</v>
      </c>
      <c r="Q170" s="22"/>
      <c r="R170" s="8">
        <f t="shared" si="6"/>
        <v>13150</v>
      </c>
      <c r="S170" s="7">
        <v>13150</v>
      </c>
      <c r="T170" s="7"/>
      <c r="U170" s="7">
        <f t="shared" si="8"/>
        <v>13150</v>
      </c>
      <c r="V170" s="5" t="s">
        <v>45</v>
      </c>
      <c r="W170" s="7">
        <v>3869.92</v>
      </c>
      <c r="X170" s="5" t="s">
        <v>46</v>
      </c>
      <c r="Z170" s="8">
        <f t="shared" si="7"/>
        <v>3869.92</v>
      </c>
    </row>
    <row r="171" spans="1:26" x14ac:dyDescent="0.25">
      <c r="A171" s="5" t="s">
        <v>34</v>
      </c>
      <c r="B171" s="5" t="s">
        <v>140</v>
      </c>
      <c r="C171" s="5" t="s">
        <v>141</v>
      </c>
      <c r="D171" s="5" t="s">
        <v>37</v>
      </c>
      <c r="E171" s="5" t="s">
        <v>60</v>
      </c>
      <c r="F171" s="5" t="s">
        <v>61</v>
      </c>
      <c r="G171" s="5" t="s">
        <v>40</v>
      </c>
      <c r="H171" s="6">
        <v>45961</v>
      </c>
      <c r="I171" s="6">
        <v>45961</v>
      </c>
      <c r="J171" s="6">
        <v>45964</v>
      </c>
      <c r="K171" s="5" t="s">
        <v>135</v>
      </c>
      <c r="L171" s="5" t="s">
        <v>136</v>
      </c>
      <c r="M171" s="5" t="s">
        <v>43</v>
      </c>
      <c r="N171" s="5" t="s">
        <v>137</v>
      </c>
      <c r="O171" s="7">
        <v>76871.7</v>
      </c>
      <c r="P171" s="5" t="s">
        <v>45</v>
      </c>
      <c r="Q171" s="22"/>
      <c r="R171" s="8">
        <f t="shared" si="6"/>
        <v>76871.7</v>
      </c>
      <c r="S171" s="7">
        <v>76871.7</v>
      </c>
      <c r="T171" s="7"/>
      <c r="U171" s="7">
        <f t="shared" si="8"/>
        <v>76871.7</v>
      </c>
      <c r="V171" s="5" t="s">
        <v>45</v>
      </c>
      <c r="W171" s="7">
        <v>22622.63</v>
      </c>
      <c r="X171" s="5" t="s">
        <v>46</v>
      </c>
      <c r="Z171" s="8">
        <f t="shared" si="7"/>
        <v>22622.63</v>
      </c>
    </row>
    <row r="172" spans="1:26" x14ac:dyDescent="0.25">
      <c r="A172" s="5" t="s">
        <v>34</v>
      </c>
      <c r="B172" s="5" t="s">
        <v>140</v>
      </c>
      <c r="C172" s="5" t="s">
        <v>141</v>
      </c>
      <c r="D172" s="5" t="s">
        <v>37</v>
      </c>
      <c r="E172" s="5" t="s">
        <v>104</v>
      </c>
      <c r="F172" s="5" t="s">
        <v>105</v>
      </c>
      <c r="G172" s="5" t="s">
        <v>40</v>
      </c>
      <c r="H172" s="6">
        <v>45961</v>
      </c>
      <c r="I172" s="6">
        <v>45961</v>
      </c>
      <c r="J172" s="6">
        <v>45964</v>
      </c>
      <c r="K172" s="5" t="s">
        <v>135</v>
      </c>
      <c r="L172" s="5" t="s">
        <v>136</v>
      </c>
      <c r="M172" s="5" t="s">
        <v>43</v>
      </c>
      <c r="N172" s="5" t="s">
        <v>137</v>
      </c>
      <c r="O172" s="7">
        <v>37981.18</v>
      </c>
      <c r="P172" s="5" t="s">
        <v>45</v>
      </c>
      <c r="Q172" s="22"/>
      <c r="R172" s="8">
        <f t="shared" si="6"/>
        <v>37981.18</v>
      </c>
      <c r="S172" s="7">
        <v>37981.18</v>
      </c>
      <c r="T172" s="7"/>
      <c r="U172" s="7">
        <f t="shared" si="8"/>
        <v>37981.18</v>
      </c>
      <c r="V172" s="5" t="s">
        <v>45</v>
      </c>
      <c r="W172" s="7">
        <v>11177.51</v>
      </c>
      <c r="X172" s="5" t="s">
        <v>46</v>
      </c>
      <c r="Z172" s="8">
        <f t="shared" si="7"/>
        <v>11177.51</v>
      </c>
    </row>
    <row r="173" spans="1:26" x14ac:dyDescent="0.25">
      <c r="A173" s="5" t="s">
        <v>34</v>
      </c>
      <c r="B173" s="5" t="s">
        <v>140</v>
      </c>
      <c r="C173" s="5" t="s">
        <v>141</v>
      </c>
      <c r="D173" s="5" t="s">
        <v>37</v>
      </c>
      <c r="E173" s="5" t="s">
        <v>116</v>
      </c>
      <c r="F173" s="5" t="s">
        <v>117</v>
      </c>
      <c r="G173" s="5" t="s">
        <v>40</v>
      </c>
      <c r="H173" s="6">
        <v>45961</v>
      </c>
      <c r="I173" s="6">
        <v>45961</v>
      </c>
      <c r="J173" s="6">
        <v>45964</v>
      </c>
      <c r="K173" s="5" t="s">
        <v>135</v>
      </c>
      <c r="L173" s="5" t="s">
        <v>136</v>
      </c>
      <c r="M173" s="5" t="s">
        <v>43</v>
      </c>
      <c r="N173" s="5" t="s">
        <v>137</v>
      </c>
      <c r="O173" s="7">
        <v>31323.5</v>
      </c>
      <c r="P173" s="5" t="s">
        <v>45</v>
      </c>
      <c r="Q173" s="22"/>
      <c r="R173" s="8">
        <f t="shared" si="6"/>
        <v>31323.5</v>
      </c>
      <c r="S173" s="7">
        <v>31323.5</v>
      </c>
      <c r="T173" s="7"/>
      <c r="U173" s="7">
        <f t="shared" si="8"/>
        <v>31323.5</v>
      </c>
      <c r="V173" s="5" t="s">
        <v>45</v>
      </c>
      <c r="W173" s="7">
        <v>9218.2199999999993</v>
      </c>
      <c r="X173" s="5" t="s">
        <v>46</v>
      </c>
      <c r="Z173" s="8">
        <f t="shared" si="7"/>
        <v>9218.2199999999993</v>
      </c>
    </row>
    <row r="174" spans="1:26" x14ac:dyDescent="0.25">
      <c r="A174" s="5" t="s">
        <v>34</v>
      </c>
      <c r="B174" s="5" t="s">
        <v>140</v>
      </c>
      <c r="C174" s="5" t="s">
        <v>141</v>
      </c>
      <c r="D174" s="5" t="s">
        <v>37</v>
      </c>
      <c r="E174" s="5" t="s">
        <v>122</v>
      </c>
      <c r="F174" s="5" t="s">
        <v>123</v>
      </c>
      <c r="G174" s="5" t="s">
        <v>40</v>
      </c>
      <c r="H174" s="6">
        <v>45961</v>
      </c>
      <c r="I174" s="6">
        <v>45961</v>
      </c>
      <c r="J174" s="6">
        <v>45964</v>
      </c>
      <c r="K174" s="5" t="s">
        <v>135</v>
      </c>
      <c r="L174" s="5" t="s">
        <v>136</v>
      </c>
      <c r="M174" s="5" t="s">
        <v>43</v>
      </c>
      <c r="N174" s="5" t="s">
        <v>137</v>
      </c>
      <c r="O174" s="7">
        <v>1527.33</v>
      </c>
      <c r="P174" s="5" t="s">
        <v>45</v>
      </c>
      <c r="Q174" s="22"/>
      <c r="R174" s="8">
        <f t="shared" si="6"/>
        <v>1527.33</v>
      </c>
      <c r="S174" s="7">
        <v>1527.33</v>
      </c>
      <c r="T174" s="7"/>
      <c r="U174" s="7">
        <f t="shared" si="8"/>
        <v>1527.33</v>
      </c>
      <c r="V174" s="5" t="s">
        <v>45</v>
      </c>
      <c r="W174" s="7">
        <v>449.48</v>
      </c>
      <c r="X174" s="5" t="s">
        <v>46</v>
      </c>
      <c r="Z174" s="8">
        <f t="shared" si="7"/>
        <v>449.48</v>
      </c>
    </row>
    <row r="175" spans="1:26" x14ac:dyDescent="0.25">
      <c r="A175" s="5" t="s">
        <v>34</v>
      </c>
      <c r="B175" s="5" t="s">
        <v>140</v>
      </c>
      <c r="C175" s="5" t="s">
        <v>141</v>
      </c>
      <c r="D175" s="5" t="s">
        <v>37</v>
      </c>
      <c r="E175" s="5" t="s">
        <v>92</v>
      </c>
      <c r="F175" s="5" t="s">
        <v>93</v>
      </c>
      <c r="G175" s="5" t="s">
        <v>40</v>
      </c>
      <c r="H175" s="6">
        <v>45961</v>
      </c>
      <c r="I175" s="6">
        <v>45961</v>
      </c>
      <c r="J175" s="6">
        <v>45964</v>
      </c>
      <c r="K175" s="5" t="s">
        <v>135</v>
      </c>
      <c r="L175" s="5" t="s">
        <v>136</v>
      </c>
      <c r="M175" s="5" t="s">
        <v>43</v>
      </c>
      <c r="N175" s="5" t="s">
        <v>137</v>
      </c>
      <c r="O175" s="7">
        <v>4600.3500000000004</v>
      </c>
      <c r="P175" s="5" t="s">
        <v>45</v>
      </c>
      <c r="Q175" s="22"/>
      <c r="R175" s="8">
        <f t="shared" si="6"/>
        <v>4600.3500000000004</v>
      </c>
      <c r="S175" s="7">
        <v>4600.3500000000004</v>
      </c>
      <c r="T175" s="7"/>
      <c r="U175" s="7">
        <f t="shared" si="8"/>
        <v>4600.3500000000004</v>
      </c>
      <c r="V175" s="5" t="s">
        <v>45</v>
      </c>
      <c r="W175" s="7">
        <v>1353.84</v>
      </c>
      <c r="X175" s="5" t="s">
        <v>46</v>
      </c>
      <c r="Z175" s="8">
        <f t="shared" si="7"/>
        <v>1353.84</v>
      </c>
    </row>
    <row r="176" spans="1:26" x14ac:dyDescent="0.25">
      <c r="A176" s="5" t="s">
        <v>34</v>
      </c>
      <c r="B176" s="5" t="s">
        <v>140</v>
      </c>
      <c r="C176" s="5" t="s">
        <v>141</v>
      </c>
      <c r="D176" s="5" t="s">
        <v>37</v>
      </c>
      <c r="E176" s="5" t="s">
        <v>100</v>
      </c>
      <c r="F176" s="5" t="s">
        <v>101</v>
      </c>
      <c r="G176" s="5" t="s">
        <v>40</v>
      </c>
      <c r="H176" s="6">
        <v>45961</v>
      </c>
      <c r="I176" s="6">
        <v>45961</v>
      </c>
      <c r="J176" s="6">
        <v>45964</v>
      </c>
      <c r="K176" s="5" t="s">
        <v>135</v>
      </c>
      <c r="L176" s="5" t="s">
        <v>136</v>
      </c>
      <c r="M176" s="5" t="s">
        <v>43</v>
      </c>
      <c r="N176" s="5" t="s">
        <v>137</v>
      </c>
      <c r="O176" s="7">
        <v>26090.23</v>
      </c>
      <c r="P176" s="5" t="s">
        <v>45</v>
      </c>
      <c r="Q176" s="22"/>
      <c r="R176" s="8">
        <f t="shared" si="6"/>
        <v>26090.23</v>
      </c>
      <c r="S176" s="7">
        <v>26090.23</v>
      </c>
      <c r="T176" s="7"/>
      <c r="U176" s="7">
        <f t="shared" si="8"/>
        <v>26090.23</v>
      </c>
      <c r="V176" s="5" t="s">
        <v>45</v>
      </c>
      <c r="W176" s="7">
        <v>7678.11</v>
      </c>
      <c r="X176" s="5" t="s">
        <v>46</v>
      </c>
      <c r="Z176" s="8">
        <f t="shared" si="7"/>
        <v>7678.11</v>
      </c>
    </row>
    <row r="177" spans="1:26" x14ac:dyDescent="0.25">
      <c r="A177" s="5" t="s">
        <v>34</v>
      </c>
      <c r="B177" s="5" t="s">
        <v>140</v>
      </c>
      <c r="C177" s="5" t="s">
        <v>141</v>
      </c>
      <c r="D177" s="5" t="s">
        <v>37</v>
      </c>
      <c r="E177" s="5" t="s">
        <v>48</v>
      </c>
      <c r="F177" s="5" t="s">
        <v>49</v>
      </c>
      <c r="G177" s="5" t="s">
        <v>40</v>
      </c>
      <c r="H177" s="6">
        <v>45961</v>
      </c>
      <c r="I177" s="6">
        <v>45961</v>
      </c>
      <c r="J177" s="6">
        <v>45964</v>
      </c>
      <c r="K177" s="5" t="s">
        <v>135</v>
      </c>
      <c r="L177" s="5" t="s">
        <v>136</v>
      </c>
      <c r="M177" s="5" t="s">
        <v>43</v>
      </c>
      <c r="N177" s="5" t="s">
        <v>137</v>
      </c>
      <c r="O177" s="7">
        <v>51806.15</v>
      </c>
      <c r="P177" s="5" t="s">
        <v>45</v>
      </c>
      <c r="Q177" s="22"/>
      <c r="R177" s="8">
        <f t="shared" si="6"/>
        <v>51806.15</v>
      </c>
      <c r="S177" s="7">
        <v>51806.15</v>
      </c>
      <c r="T177" s="7"/>
      <c r="U177" s="7">
        <f t="shared" si="8"/>
        <v>51806.15</v>
      </c>
      <c r="V177" s="5" t="s">
        <v>45</v>
      </c>
      <c r="W177" s="7">
        <v>15246.07</v>
      </c>
      <c r="X177" s="5" t="s">
        <v>46</v>
      </c>
      <c r="Z177" s="8">
        <f t="shared" si="7"/>
        <v>15246.07</v>
      </c>
    </row>
    <row r="178" spans="1:26" x14ac:dyDescent="0.25">
      <c r="A178" s="5" t="s">
        <v>34</v>
      </c>
      <c r="B178" s="5" t="s">
        <v>140</v>
      </c>
      <c r="C178" s="5" t="s">
        <v>141</v>
      </c>
      <c r="D178" s="5" t="s">
        <v>37</v>
      </c>
      <c r="E178" s="5" t="s">
        <v>142</v>
      </c>
      <c r="F178" s="5" t="s">
        <v>143</v>
      </c>
      <c r="G178" s="5" t="s">
        <v>40</v>
      </c>
      <c r="H178" s="6">
        <v>45961</v>
      </c>
      <c r="I178" s="6">
        <v>45961</v>
      </c>
      <c r="J178" s="6">
        <v>45961</v>
      </c>
      <c r="K178" s="5" t="s">
        <v>144</v>
      </c>
      <c r="L178" s="5" t="s">
        <v>145</v>
      </c>
      <c r="M178" s="5" t="s">
        <v>43</v>
      </c>
      <c r="N178" s="5" t="s">
        <v>146</v>
      </c>
      <c r="O178" s="7">
        <v>1310.1300000000001</v>
      </c>
      <c r="P178" s="5" t="s">
        <v>45</v>
      </c>
      <c r="Q178" s="22"/>
      <c r="R178" s="8">
        <f t="shared" si="6"/>
        <v>1310.1300000000001</v>
      </c>
      <c r="S178" s="7">
        <v>1310.1300000000001</v>
      </c>
      <c r="T178" s="7"/>
      <c r="U178" s="7">
        <f t="shared" si="8"/>
        <v>1310.1300000000001</v>
      </c>
      <c r="V178" s="5" t="s">
        <v>45</v>
      </c>
      <c r="W178" s="7">
        <v>385.56</v>
      </c>
      <c r="X178" s="5" t="s">
        <v>46</v>
      </c>
      <c r="Z178" s="8">
        <f t="shared" si="7"/>
        <v>385.56</v>
      </c>
    </row>
    <row r="179" spans="1:26" x14ac:dyDescent="0.25">
      <c r="A179" s="5" t="s">
        <v>34</v>
      </c>
      <c r="B179" s="5" t="s">
        <v>140</v>
      </c>
      <c r="C179" s="5" t="s">
        <v>141</v>
      </c>
      <c r="D179" s="5" t="s">
        <v>37</v>
      </c>
      <c r="E179" s="5" t="s">
        <v>96</v>
      </c>
      <c r="F179" s="5" t="s">
        <v>97</v>
      </c>
      <c r="G179" s="5" t="s">
        <v>40</v>
      </c>
      <c r="H179" s="6">
        <v>45961</v>
      </c>
      <c r="I179" s="6">
        <v>45961</v>
      </c>
      <c r="J179" s="6">
        <v>45964</v>
      </c>
      <c r="K179" s="5" t="s">
        <v>147</v>
      </c>
      <c r="L179" s="5" t="s">
        <v>148</v>
      </c>
      <c r="M179" s="5" t="s">
        <v>43</v>
      </c>
      <c r="N179" s="5" t="s">
        <v>149</v>
      </c>
      <c r="O179" s="7">
        <v>659.87</v>
      </c>
      <c r="P179" s="5" t="s">
        <v>45</v>
      </c>
      <c r="Q179" s="22"/>
      <c r="R179" s="8">
        <f t="shared" si="6"/>
        <v>659.87</v>
      </c>
      <c r="S179" s="7">
        <v>659.87</v>
      </c>
      <c r="T179" s="7"/>
      <c r="U179" s="7">
        <f t="shared" si="8"/>
        <v>659.87</v>
      </c>
      <c r="V179" s="5" t="s">
        <v>45</v>
      </c>
      <c r="W179" s="7">
        <v>194.2</v>
      </c>
      <c r="X179" s="5" t="s">
        <v>46</v>
      </c>
      <c r="Z179" s="8">
        <f t="shared" si="7"/>
        <v>194.2</v>
      </c>
    </row>
    <row r="180" spans="1:26" x14ac:dyDescent="0.25">
      <c r="A180" s="5" t="s">
        <v>34</v>
      </c>
      <c r="B180" s="5" t="s">
        <v>140</v>
      </c>
      <c r="C180" s="5" t="s">
        <v>141</v>
      </c>
      <c r="D180" s="5" t="s">
        <v>37</v>
      </c>
      <c r="E180" s="5" t="s">
        <v>70</v>
      </c>
      <c r="F180" s="5" t="s">
        <v>71</v>
      </c>
      <c r="G180" s="5" t="s">
        <v>40</v>
      </c>
      <c r="H180" s="6">
        <v>45961</v>
      </c>
      <c r="I180" s="6">
        <v>45961</v>
      </c>
      <c r="J180" s="6">
        <v>45964</v>
      </c>
      <c r="K180" s="5" t="s">
        <v>135</v>
      </c>
      <c r="L180" s="5" t="s">
        <v>136</v>
      </c>
      <c r="M180" s="5" t="s">
        <v>43</v>
      </c>
      <c r="N180" s="5" t="s">
        <v>137</v>
      </c>
      <c r="O180" s="7">
        <v>9800.4</v>
      </c>
      <c r="P180" s="5" t="s">
        <v>45</v>
      </c>
      <c r="Q180" s="22"/>
      <c r="R180" s="8">
        <f t="shared" si="6"/>
        <v>9800.4</v>
      </c>
      <c r="S180" s="7">
        <v>9800.4</v>
      </c>
      <c r="T180" s="7"/>
      <c r="U180" s="7">
        <f t="shared" si="8"/>
        <v>9800.4</v>
      </c>
      <c r="V180" s="5" t="s">
        <v>45</v>
      </c>
      <c r="W180" s="7">
        <v>2884.17</v>
      </c>
      <c r="X180" s="5" t="s">
        <v>46</v>
      </c>
      <c r="Z180" s="8">
        <f t="shared" si="7"/>
        <v>2884.17</v>
      </c>
    </row>
    <row r="181" spans="1:26" x14ac:dyDescent="0.25">
      <c r="A181" s="5" t="s">
        <v>34</v>
      </c>
      <c r="B181" s="5" t="s">
        <v>140</v>
      </c>
      <c r="C181" s="5" t="s">
        <v>141</v>
      </c>
      <c r="D181" s="5" t="s">
        <v>37</v>
      </c>
      <c r="E181" s="5" t="s">
        <v>62</v>
      </c>
      <c r="F181" s="5" t="s">
        <v>63</v>
      </c>
      <c r="G181" s="5" t="s">
        <v>40</v>
      </c>
      <c r="H181" s="6">
        <v>45961</v>
      </c>
      <c r="I181" s="6">
        <v>45961</v>
      </c>
      <c r="J181" s="6">
        <v>45964</v>
      </c>
      <c r="K181" s="5" t="s">
        <v>135</v>
      </c>
      <c r="L181" s="5" t="s">
        <v>136</v>
      </c>
      <c r="M181" s="5" t="s">
        <v>43</v>
      </c>
      <c r="N181" s="5" t="s">
        <v>137</v>
      </c>
      <c r="O181" s="7">
        <v>32830.559999999998</v>
      </c>
      <c r="P181" s="5" t="s">
        <v>45</v>
      </c>
      <c r="Q181" s="22"/>
      <c r="R181" s="8">
        <f t="shared" si="6"/>
        <v>32830.559999999998</v>
      </c>
      <c r="S181" s="7">
        <v>32830.559999999998</v>
      </c>
      <c r="T181" s="7"/>
      <c r="U181" s="7">
        <f t="shared" si="8"/>
        <v>32830.559999999998</v>
      </c>
      <c r="V181" s="5" t="s">
        <v>45</v>
      </c>
      <c r="W181" s="7">
        <v>9661.73</v>
      </c>
      <c r="X181" s="5" t="s">
        <v>46</v>
      </c>
      <c r="Z181" s="8">
        <f t="shared" si="7"/>
        <v>9661.73</v>
      </c>
    </row>
    <row r="182" spans="1:26" x14ac:dyDescent="0.25">
      <c r="A182" s="5" t="s">
        <v>34</v>
      </c>
      <c r="B182" s="5" t="s">
        <v>140</v>
      </c>
      <c r="C182" s="5" t="s">
        <v>141</v>
      </c>
      <c r="D182" s="5" t="s">
        <v>37</v>
      </c>
      <c r="E182" s="5" t="s">
        <v>80</v>
      </c>
      <c r="F182" s="5" t="s">
        <v>81</v>
      </c>
      <c r="G182" s="5" t="s">
        <v>40</v>
      </c>
      <c r="H182" s="6">
        <v>45961</v>
      </c>
      <c r="I182" s="6">
        <v>45961</v>
      </c>
      <c r="J182" s="6">
        <v>45964</v>
      </c>
      <c r="K182" s="5" t="s">
        <v>135</v>
      </c>
      <c r="L182" s="5" t="s">
        <v>136</v>
      </c>
      <c r="M182" s="5" t="s">
        <v>43</v>
      </c>
      <c r="N182" s="5" t="s">
        <v>137</v>
      </c>
      <c r="O182" s="7">
        <v>18205.61</v>
      </c>
      <c r="P182" s="5" t="s">
        <v>45</v>
      </c>
      <c r="Q182" s="22"/>
      <c r="R182" s="8">
        <f t="shared" si="6"/>
        <v>18205.61</v>
      </c>
      <c r="S182" s="7">
        <v>18205.61</v>
      </c>
      <c r="T182" s="7"/>
      <c r="U182" s="7">
        <f t="shared" si="8"/>
        <v>18205.61</v>
      </c>
      <c r="V182" s="5" t="s">
        <v>45</v>
      </c>
      <c r="W182" s="7">
        <v>5357.74</v>
      </c>
      <c r="X182" s="5" t="s">
        <v>46</v>
      </c>
      <c r="Z182" s="8">
        <f t="shared" si="7"/>
        <v>5357.74</v>
      </c>
    </row>
    <row r="183" spans="1:26" x14ac:dyDescent="0.25">
      <c r="A183" s="5" t="s">
        <v>34</v>
      </c>
      <c r="B183" s="5" t="s">
        <v>140</v>
      </c>
      <c r="C183" s="5" t="s">
        <v>141</v>
      </c>
      <c r="D183" s="5" t="s">
        <v>37</v>
      </c>
      <c r="E183" s="5" t="s">
        <v>118</v>
      </c>
      <c r="F183" s="5" t="s">
        <v>119</v>
      </c>
      <c r="G183" s="5" t="s">
        <v>40</v>
      </c>
      <c r="H183" s="6">
        <v>45961</v>
      </c>
      <c r="I183" s="6">
        <v>45961</v>
      </c>
      <c r="J183" s="6">
        <v>45964</v>
      </c>
      <c r="K183" s="5" t="s">
        <v>135</v>
      </c>
      <c r="L183" s="5" t="s">
        <v>136</v>
      </c>
      <c r="M183" s="5" t="s">
        <v>43</v>
      </c>
      <c r="N183" s="5" t="s">
        <v>137</v>
      </c>
      <c r="O183" s="7">
        <v>51221.599999999999</v>
      </c>
      <c r="P183" s="5" t="s">
        <v>45</v>
      </c>
      <c r="Q183" s="22"/>
      <c r="R183" s="8">
        <f t="shared" si="6"/>
        <v>51221.599999999999</v>
      </c>
      <c r="S183" s="7">
        <v>51221.599999999999</v>
      </c>
      <c r="T183" s="7"/>
      <c r="U183" s="7">
        <f t="shared" si="8"/>
        <v>51221.599999999999</v>
      </c>
      <c r="V183" s="5" t="s">
        <v>45</v>
      </c>
      <c r="W183" s="7">
        <v>15074.04</v>
      </c>
      <c r="X183" s="5" t="s">
        <v>46</v>
      </c>
      <c r="Z183" s="8">
        <f t="shared" si="7"/>
        <v>15074.04</v>
      </c>
    </row>
    <row r="184" spans="1:26" x14ac:dyDescent="0.25">
      <c r="A184" s="5" t="s">
        <v>34</v>
      </c>
      <c r="B184" s="5" t="s">
        <v>140</v>
      </c>
      <c r="C184" s="5" t="s">
        <v>141</v>
      </c>
      <c r="D184" s="5" t="s">
        <v>37</v>
      </c>
      <c r="E184" s="5" t="s">
        <v>68</v>
      </c>
      <c r="F184" s="5" t="s">
        <v>69</v>
      </c>
      <c r="G184" s="5" t="s">
        <v>40</v>
      </c>
      <c r="H184" s="6">
        <v>45961</v>
      </c>
      <c r="I184" s="6">
        <v>45961</v>
      </c>
      <c r="J184" s="6">
        <v>45964</v>
      </c>
      <c r="K184" s="5" t="s">
        <v>135</v>
      </c>
      <c r="L184" s="5" t="s">
        <v>136</v>
      </c>
      <c r="M184" s="5" t="s">
        <v>43</v>
      </c>
      <c r="N184" s="5" t="s">
        <v>137</v>
      </c>
      <c r="O184" s="7">
        <v>20343.8</v>
      </c>
      <c r="P184" s="5" t="s">
        <v>45</v>
      </c>
      <c r="Q184" s="22"/>
      <c r="R184" s="8">
        <f t="shared" si="6"/>
        <v>20343.8</v>
      </c>
      <c r="S184" s="7">
        <v>20343.8</v>
      </c>
      <c r="T184" s="7"/>
      <c r="U184" s="7">
        <f t="shared" si="8"/>
        <v>20343.8</v>
      </c>
      <c r="V184" s="5" t="s">
        <v>45</v>
      </c>
      <c r="W184" s="7">
        <v>5986.99</v>
      </c>
      <c r="X184" s="5" t="s">
        <v>46</v>
      </c>
      <c r="Z184" s="8">
        <f t="shared" si="7"/>
        <v>5986.99</v>
      </c>
    </row>
    <row r="185" spans="1:26" x14ac:dyDescent="0.25">
      <c r="A185" s="5" t="s">
        <v>34</v>
      </c>
      <c r="B185" s="5" t="s">
        <v>140</v>
      </c>
      <c r="C185" s="5" t="s">
        <v>141</v>
      </c>
      <c r="D185" s="5" t="s">
        <v>37</v>
      </c>
      <c r="E185" s="5" t="s">
        <v>74</v>
      </c>
      <c r="F185" s="5" t="s">
        <v>75</v>
      </c>
      <c r="G185" s="5" t="s">
        <v>40</v>
      </c>
      <c r="H185" s="6">
        <v>45961</v>
      </c>
      <c r="I185" s="6">
        <v>45961</v>
      </c>
      <c r="J185" s="6">
        <v>45964</v>
      </c>
      <c r="K185" s="5" t="s">
        <v>135</v>
      </c>
      <c r="L185" s="5" t="s">
        <v>136</v>
      </c>
      <c r="M185" s="5" t="s">
        <v>43</v>
      </c>
      <c r="N185" s="5" t="s">
        <v>137</v>
      </c>
      <c r="O185" s="7">
        <v>360428.34</v>
      </c>
      <c r="P185" s="5" t="s">
        <v>45</v>
      </c>
      <c r="Q185" s="22"/>
      <c r="R185" s="8">
        <f t="shared" si="6"/>
        <v>360428.34</v>
      </c>
      <c r="S185" s="7">
        <v>360428.34</v>
      </c>
      <c r="T185" s="7"/>
      <c r="U185" s="7">
        <f t="shared" si="8"/>
        <v>360428.34</v>
      </c>
      <c r="V185" s="5" t="s">
        <v>45</v>
      </c>
      <c r="W185" s="7">
        <v>106070.73</v>
      </c>
      <c r="X185" s="5" t="s">
        <v>46</v>
      </c>
      <c r="Z185" s="8">
        <f t="shared" si="7"/>
        <v>106070.73</v>
      </c>
    </row>
    <row r="186" spans="1:26" x14ac:dyDescent="0.25">
      <c r="A186" s="5" t="s">
        <v>34</v>
      </c>
      <c r="B186" s="5" t="s">
        <v>140</v>
      </c>
      <c r="C186" s="5" t="s">
        <v>141</v>
      </c>
      <c r="D186" s="5" t="s">
        <v>37</v>
      </c>
      <c r="E186" s="5" t="s">
        <v>106</v>
      </c>
      <c r="F186" s="5" t="s">
        <v>107</v>
      </c>
      <c r="G186" s="5" t="s">
        <v>40</v>
      </c>
      <c r="H186" s="6">
        <v>45961</v>
      </c>
      <c r="I186" s="6">
        <v>45961</v>
      </c>
      <c r="J186" s="6">
        <v>45964</v>
      </c>
      <c r="K186" s="5" t="s">
        <v>135</v>
      </c>
      <c r="L186" s="5" t="s">
        <v>136</v>
      </c>
      <c r="M186" s="5" t="s">
        <v>43</v>
      </c>
      <c r="N186" s="5" t="s">
        <v>137</v>
      </c>
      <c r="O186" s="7">
        <v>9951.27</v>
      </c>
      <c r="P186" s="5" t="s">
        <v>45</v>
      </c>
      <c r="Q186" s="22"/>
      <c r="R186" s="8">
        <f t="shared" si="6"/>
        <v>9951.27</v>
      </c>
      <c r="S186" s="7">
        <v>9951.27</v>
      </c>
      <c r="T186" s="7"/>
      <c r="U186" s="7">
        <f t="shared" si="8"/>
        <v>9951.27</v>
      </c>
      <c r="V186" s="5" t="s">
        <v>45</v>
      </c>
      <c r="W186" s="7">
        <v>2928.57</v>
      </c>
      <c r="X186" s="5" t="s">
        <v>46</v>
      </c>
      <c r="Z186" s="8">
        <f t="shared" si="7"/>
        <v>2928.57</v>
      </c>
    </row>
    <row r="187" spans="1:26" x14ac:dyDescent="0.25">
      <c r="A187" s="5" t="s">
        <v>34</v>
      </c>
      <c r="B187" s="5" t="s">
        <v>140</v>
      </c>
      <c r="C187" s="5" t="s">
        <v>141</v>
      </c>
      <c r="D187" s="5" t="s">
        <v>37</v>
      </c>
      <c r="E187" s="5" t="s">
        <v>98</v>
      </c>
      <c r="F187" s="5" t="s">
        <v>99</v>
      </c>
      <c r="G187" s="5" t="s">
        <v>40</v>
      </c>
      <c r="H187" s="6">
        <v>45961</v>
      </c>
      <c r="I187" s="6">
        <v>45961</v>
      </c>
      <c r="J187" s="6">
        <v>45964</v>
      </c>
      <c r="K187" s="5" t="s">
        <v>135</v>
      </c>
      <c r="L187" s="5" t="s">
        <v>136</v>
      </c>
      <c r="M187" s="5" t="s">
        <v>43</v>
      </c>
      <c r="N187" s="5" t="s">
        <v>137</v>
      </c>
      <c r="O187" s="7">
        <v>3440</v>
      </c>
      <c r="P187" s="5" t="s">
        <v>45</v>
      </c>
      <c r="Q187" s="22"/>
      <c r="R187" s="8">
        <f t="shared" si="6"/>
        <v>3440</v>
      </c>
      <c r="S187" s="7">
        <v>3440</v>
      </c>
      <c r="T187" s="7"/>
      <c r="U187" s="7">
        <f t="shared" si="8"/>
        <v>3440</v>
      </c>
      <c r="V187" s="5" t="s">
        <v>45</v>
      </c>
      <c r="W187" s="7">
        <v>1012.36</v>
      </c>
      <c r="X187" s="5" t="s">
        <v>46</v>
      </c>
      <c r="Z187" s="8">
        <f t="shared" si="7"/>
        <v>1012.36</v>
      </c>
    </row>
    <row r="188" spans="1:26" x14ac:dyDescent="0.25">
      <c r="A188" s="5" t="s">
        <v>34</v>
      </c>
      <c r="B188" s="5" t="s">
        <v>140</v>
      </c>
      <c r="C188" s="5" t="s">
        <v>141</v>
      </c>
      <c r="D188" s="5" t="s">
        <v>37</v>
      </c>
      <c r="E188" s="5" t="s">
        <v>72</v>
      </c>
      <c r="F188" s="5" t="s">
        <v>73</v>
      </c>
      <c r="G188" s="5" t="s">
        <v>40</v>
      </c>
      <c r="H188" s="6">
        <v>45961</v>
      </c>
      <c r="I188" s="6">
        <v>45961</v>
      </c>
      <c r="J188" s="6">
        <v>45964</v>
      </c>
      <c r="K188" s="5" t="s">
        <v>135</v>
      </c>
      <c r="L188" s="5" t="s">
        <v>136</v>
      </c>
      <c r="M188" s="5" t="s">
        <v>43</v>
      </c>
      <c r="N188" s="5" t="s">
        <v>137</v>
      </c>
      <c r="O188" s="7">
        <v>9195.82</v>
      </c>
      <c r="P188" s="5" t="s">
        <v>45</v>
      </c>
      <c r="Q188" s="22"/>
      <c r="R188" s="8">
        <f t="shared" si="6"/>
        <v>9195.82</v>
      </c>
      <c r="S188" s="7">
        <v>9195.82</v>
      </c>
      <c r="T188" s="7"/>
      <c r="U188" s="7">
        <f t="shared" si="8"/>
        <v>9195.82</v>
      </c>
      <c r="V188" s="5" t="s">
        <v>45</v>
      </c>
      <c r="W188" s="7">
        <v>2706.24</v>
      </c>
      <c r="X188" s="5" t="s">
        <v>46</v>
      </c>
      <c r="Z188" s="8">
        <f t="shared" si="7"/>
        <v>2706.24</v>
      </c>
    </row>
    <row r="189" spans="1:26" x14ac:dyDescent="0.25">
      <c r="A189" s="5" t="s">
        <v>34</v>
      </c>
      <c r="B189" s="5" t="s">
        <v>140</v>
      </c>
      <c r="C189" s="5" t="s">
        <v>141</v>
      </c>
      <c r="D189" s="5" t="s">
        <v>37</v>
      </c>
      <c r="E189" s="5" t="s">
        <v>54</v>
      </c>
      <c r="F189" s="5" t="s">
        <v>55</v>
      </c>
      <c r="G189" s="5" t="s">
        <v>40</v>
      </c>
      <c r="H189" s="6">
        <v>45961</v>
      </c>
      <c r="I189" s="6">
        <v>45961</v>
      </c>
      <c r="J189" s="6">
        <v>45964</v>
      </c>
      <c r="K189" s="5" t="s">
        <v>135</v>
      </c>
      <c r="L189" s="5" t="s">
        <v>136</v>
      </c>
      <c r="M189" s="5" t="s">
        <v>43</v>
      </c>
      <c r="N189" s="5" t="s">
        <v>137</v>
      </c>
      <c r="O189" s="7">
        <v>10499.8</v>
      </c>
      <c r="P189" s="5" t="s">
        <v>45</v>
      </c>
      <c r="Q189" s="22"/>
      <c r="R189" s="8">
        <f t="shared" si="6"/>
        <v>10499.8</v>
      </c>
      <c r="S189" s="7">
        <v>10499.8</v>
      </c>
      <c r="T189" s="7"/>
      <c r="U189" s="7">
        <f t="shared" si="8"/>
        <v>10499.8</v>
      </c>
      <c r="V189" s="5" t="s">
        <v>45</v>
      </c>
      <c r="W189" s="7">
        <v>3089.99</v>
      </c>
      <c r="X189" s="5" t="s">
        <v>46</v>
      </c>
      <c r="Z189" s="8">
        <f t="shared" si="7"/>
        <v>3089.99</v>
      </c>
    </row>
    <row r="190" spans="1:26" x14ac:dyDescent="0.25">
      <c r="A190" s="5" t="s">
        <v>34</v>
      </c>
      <c r="B190" s="5" t="s">
        <v>140</v>
      </c>
      <c r="C190" s="5" t="s">
        <v>141</v>
      </c>
      <c r="D190" s="5" t="s">
        <v>37</v>
      </c>
      <c r="E190" s="5" t="s">
        <v>52</v>
      </c>
      <c r="F190" s="5" t="s">
        <v>53</v>
      </c>
      <c r="G190" s="5" t="s">
        <v>40</v>
      </c>
      <c r="H190" s="6">
        <v>45961</v>
      </c>
      <c r="I190" s="6">
        <v>45961</v>
      </c>
      <c r="J190" s="6">
        <v>45964</v>
      </c>
      <c r="K190" s="5" t="s">
        <v>135</v>
      </c>
      <c r="L190" s="5" t="s">
        <v>136</v>
      </c>
      <c r="M190" s="5" t="s">
        <v>43</v>
      </c>
      <c r="N190" s="5" t="s">
        <v>137</v>
      </c>
      <c r="O190" s="7">
        <v>4829.67</v>
      </c>
      <c r="P190" s="5" t="s">
        <v>45</v>
      </c>
      <c r="Q190" s="22"/>
      <c r="R190" s="8">
        <f t="shared" si="6"/>
        <v>4829.67</v>
      </c>
      <c r="S190" s="7">
        <v>4829.67</v>
      </c>
      <c r="T190" s="7"/>
      <c r="U190" s="7">
        <f t="shared" si="8"/>
        <v>4829.67</v>
      </c>
      <c r="V190" s="5" t="s">
        <v>45</v>
      </c>
      <c r="W190" s="7">
        <v>1421.33</v>
      </c>
      <c r="X190" s="5" t="s">
        <v>46</v>
      </c>
      <c r="Z190" s="8">
        <f t="shared" si="7"/>
        <v>1421.33</v>
      </c>
    </row>
    <row r="191" spans="1:26" x14ac:dyDescent="0.25">
      <c r="A191" s="5" t="s">
        <v>34</v>
      </c>
      <c r="B191" s="5" t="s">
        <v>140</v>
      </c>
      <c r="C191" s="5" t="s">
        <v>141</v>
      </c>
      <c r="D191" s="5" t="s">
        <v>37</v>
      </c>
      <c r="E191" s="5" t="s">
        <v>58</v>
      </c>
      <c r="F191" s="5" t="s">
        <v>59</v>
      </c>
      <c r="G191" s="5" t="s">
        <v>40</v>
      </c>
      <c r="H191" s="6">
        <v>45961</v>
      </c>
      <c r="I191" s="6">
        <v>45961</v>
      </c>
      <c r="J191" s="6">
        <v>45964</v>
      </c>
      <c r="K191" s="5" t="s">
        <v>135</v>
      </c>
      <c r="L191" s="5" t="s">
        <v>136</v>
      </c>
      <c r="M191" s="5" t="s">
        <v>43</v>
      </c>
      <c r="N191" s="5" t="s">
        <v>137</v>
      </c>
      <c r="O191" s="7">
        <v>3440</v>
      </c>
      <c r="P191" s="5" t="s">
        <v>45</v>
      </c>
      <c r="Q191" s="22"/>
      <c r="R191" s="8">
        <f t="shared" si="6"/>
        <v>3440</v>
      </c>
      <c r="S191" s="7">
        <v>3440</v>
      </c>
      <c r="T191" s="7"/>
      <c r="U191" s="7">
        <f t="shared" si="8"/>
        <v>3440</v>
      </c>
      <c r="V191" s="5" t="s">
        <v>45</v>
      </c>
      <c r="W191" s="7">
        <v>1012.36</v>
      </c>
      <c r="X191" s="5" t="s">
        <v>46</v>
      </c>
      <c r="Z191" s="8">
        <f t="shared" si="7"/>
        <v>1012.36</v>
      </c>
    </row>
    <row r="192" spans="1:26" x14ac:dyDescent="0.25">
      <c r="A192" s="5" t="s">
        <v>34</v>
      </c>
      <c r="B192" s="5" t="s">
        <v>140</v>
      </c>
      <c r="C192" s="5" t="s">
        <v>141</v>
      </c>
      <c r="D192" s="5" t="s">
        <v>37</v>
      </c>
      <c r="E192" s="5" t="s">
        <v>138</v>
      </c>
      <c r="F192" s="5" t="s">
        <v>139</v>
      </c>
      <c r="G192" s="5" t="s">
        <v>40</v>
      </c>
      <c r="H192" s="6">
        <v>45961</v>
      </c>
      <c r="I192" s="6">
        <v>45961</v>
      </c>
      <c r="J192" s="6">
        <v>45964</v>
      </c>
      <c r="K192" s="5" t="s">
        <v>135</v>
      </c>
      <c r="L192" s="5" t="s">
        <v>136</v>
      </c>
      <c r="M192" s="5" t="s">
        <v>43</v>
      </c>
      <c r="N192" s="5" t="s">
        <v>137</v>
      </c>
      <c r="O192" s="7">
        <v>14527.14</v>
      </c>
      <c r="P192" s="5" t="s">
        <v>45</v>
      </c>
      <c r="Q192" s="22"/>
      <c r="R192" s="8">
        <f t="shared" si="6"/>
        <v>14527.14</v>
      </c>
      <c r="S192" s="7">
        <v>14527.14</v>
      </c>
      <c r="T192" s="7"/>
      <c r="U192" s="7">
        <f t="shared" si="8"/>
        <v>14527.14</v>
      </c>
      <c r="V192" s="5" t="s">
        <v>45</v>
      </c>
      <c r="W192" s="7">
        <v>4275.2</v>
      </c>
      <c r="X192" s="5" t="s">
        <v>46</v>
      </c>
      <c r="Z192" s="8">
        <f t="shared" si="7"/>
        <v>4275.2</v>
      </c>
    </row>
    <row r="193" spans="1:26" x14ac:dyDescent="0.25">
      <c r="A193" s="5" t="s">
        <v>34</v>
      </c>
      <c r="B193" s="5" t="s">
        <v>140</v>
      </c>
      <c r="C193" s="5" t="s">
        <v>141</v>
      </c>
      <c r="D193" s="5" t="s">
        <v>37</v>
      </c>
      <c r="E193" s="5" t="s">
        <v>102</v>
      </c>
      <c r="F193" s="5" t="s">
        <v>103</v>
      </c>
      <c r="G193" s="5" t="s">
        <v>40</v>
      </c>
      <c r="H193" s="6">
        <v>45961</v>
      </c>
      <c r="I193" s="6">
        <v>45961</v>
      </c>
      <c r="J193" s="6">
        <v>45964</v>
      </c>
      <c r="K193" s="5" t="s">
        <v>135</v>
      </c>
      <c r="L193" s="5" t="s">
        <v>136</v>
      </c>
      <c r="M193" s="5" t="s">
        <v>43</v>
      </c>
      <c r="N193" s="5" t="s">
        <v>137</v>
      </c>
      <c r="O193" s="7">
        <v>127045.06</v>
      </c>
      <c r="P193" s="5" t="s">
        <v>45</v>
      </c>
      <c r="Q193" s="22"/>
      <c r="R193" s="8">
        <f t="shared" si="6"/>
        <v>127045.06</v>
      </c>
      <c r="S193" s="7">
        <v>127045.06</v>
      </c>
      <c r="T193" s="7"/>
      <c r="U193" s="7">
        <f t="shared" si="8"/>
        <v>127045.06</v>
      </c>
      <c r="V193" s="5" t="s">
        <v>45</v>
      </c>
      <c r="W193" s="7">
        <v>37388.19</v>
      </c>
      <c r="X193" s="5" t="s">
        <v>46</v>
      </c>
      <c r="Z193" s="8">
        <f t="shared" si="7"/>
        <v>37388.19</v>
      </c>
    </row>
    <row r="194" spans="1:26" x14ac:dyDescent="0.25">
      <c r="A194" s="5" t="s">
        <v>34</v>
      </c>
      <c r="B194" s="5" t="s">
        <v>140</v>
      </c>
      <c r="C194" s="5" t="s">
        <v>141</v>
      </c>
      <c r="D194" s="5" t="s">
        <v>37</v>
      </c>
      <c r="E194" s="5" t="s">
        <v>110</v>
      </c>
      <c r="F194" s="5" t="s">
        <v>111</v>
      </c>
      <c r="G194" s="5" t="s">
        <v>40</v>
      </c>
      <c r="H194" s="6">
        <v>45961</v>
      </c>
      <c r="I194" s="6">
        <v>45961</v>
      </c>
      <c r="J194" s="6">
        <v>45960</v>
      </c>
      <c r="K194" s="5" t="s">
        <v>150</v>
      </c>
      <c r="L194" s="5" t="s">
        <v>151</v>
      </c>
      <c r="M194" s="5" t="s">
        <v>43</v>
      </c>
      <c r="N194" s="5" t="s">
        <v>152</v>
      </c>
      <c r="O194" s="7">
        <v>692.68</v>
      </c>
      <c r="P194" s="5" t="s">
        <v>45</v>
      </c>
      <c r="Q194" s="22"/>
      <c r="R194" s="8">
        <f t="shared" ref="R194:R257" si="9">+O194+Q194</f>
        <v>692.68</v>
      </c>
      <c r="S194" s="7">
        <v>692.68</v>
      </c>
      <c r="T194" s="7"/>
      <c r="U194" s="7">
        <f t="shared" si="8"/>
        <v>692.68</v>
      </c>
      <c r="V194" s="5" t="s">
        <v>45</v>
      </c>
      <c r="W194" s="7">
        <v>204.09</v>
      </c>
      <c r="X194" s="5" t="s">
        <v>46</v>
      </c>
      <c r="Z194" s="8">
        <f t="shared" ref="Z194:Z257" si="10">+W194+Y194</f>
        <v>204.09</v>
      </c>
    </row>
    <row r="195" spans="1:26" x14ac:dyDescent="0.25">
      <c r="A195" s="5" t="s">
        <v>34</v>
      </c>
      <c r="B195" s="5" t="s">
        <v>140</v>
      </c>
      <c r="C195" s="5" t="s">
        <v>141</v>
      </c>
      <c r="D195" s="5" t="s">
        <v>37</v>
      </c>
      <c r="E195" s="5" t="s">
        <v>96</v>
      </c>
      <c r="F195" s="5" t="s">
        <v>97</v>
      </c>
      <c r="G195" s="5" t="s">
        <v>40</v>
      </c>
      <c r="H195" s="6">
        <v>45961</v>
      </c>
      <c r="I195" s="6">
        <v>45961</v>
      </c>
      <c r="J195" s="6">
        <v>45964</v>
      </c>
      <c r="K195" s="5" t="s">
        <v>135</v>
      </c>
      <c r="L195" s="5" t="s">
        <v>136</v>
      </c>
      <c r="M195" s="5" t="s">
        <v>43</v>
      </c>
      <c r="N195" s="5" t="s">
        <v>137</v>
      </c>
      <c r="O195" s="7">
        <v>313716.11</v>
      </c>
      <c r="P195" s="5" t="s">
        <v>45</v>
      </c>
      <c r="Q195" s="22"/>
      <c r="R195" s="8">
        <f t="shared" si="9"/>
        <v>313716.11</v>
      </c>
      <c r="S195" s="7">
        <v>313716.11</v>
      </c>
      <c r="T195" s="7"/>
      <c r="U195" s="7">
        <f t="shared" ref="U195:U258" si="11">+S195+T195</f>
        <v>313716.11</v>
      </c>
      <c r="V195" s="5" t="s">
        <v>45</v>
      </c>
      <c r="W195" s="7">
        <v>92323.75</v>
      </c>
      <c r="X195" s="5" t="s">
        <v>46</v>
      </c>
      <c r="Z195" s="8">
        <f t="shared" si="10"/>
        <v>92323.75</v>
      </c>
    </row>
    <row r="196" spans="1:26" x14ac:dyDescent="0.25">
      <c r="A196" s="5" t="s">
        <v>34</v>
      </c>
      <c r="B196" s="5" t="s">
        <v>140</v>
      </c>
      <c r="C196" s="5" t="s">
        <v>141</v>
      </c>
      <c r="D196" s="5" t="s">
        <v>37</v>
      </c>
      <c r="E196" s="5" t="s">
        <v>38</v>
      </c>
      <c r="F196" s="5" t="s">
        <v>39</v>
      </c>
      <c r="G196" s="5" t="s">
        <v>40</v>
      </c>
      <c r="H196" s="6">
        <v>45961</v>
      </c>
      <c r="I196" s="6">
        <v>45961</v>
      </c>
      <c r="J196" s="6">
        <v>45964</v>
      </c>
      <c r="K196" s="5" t="s">
        <v>135</v>
      </c>
      <c r="L196" s="5" t="s">
        <v>136</v>
      </c>
      <c r="M196" s="5" t="s">
        <v>43</v>
      </c>
      <c r="N196" s="5" t="s">
        <v>137</v>
      </c>
      <c r="O196" s="7">
        <v>36218.86</v>
      </c>
      <c r="P196" s="5" t="s">
        <v>45</v>
      </c>
      <c r="Q196" s="22"/>
      <c r="R196" s="8">
        <f t="shared" si="9"/>
        <v>36218.86</v>
      </c>
      <c r="S196" s="7">
        <v>36218.86</v>
      </c>
      <c r="T196" s="7"/>
      <c r="U196" s="7">
        <f t="shared" si="11"/>
        <v>36218.86</v>
      </c>
      <c r="V196" s="5" t="s">
        <v>45</v>
      </c>
      <c r="W196" s="7">
        <v>10658.88</v>
      </c>
      <c r="X196" s="5" t="s">
        <v>46</v>
      </c>
      <c r="Z196" s="8">
        <f t="shared" si="10"/>
        <v>10658.88</v>
      </c>
    </row>
    <row r="197" spans="1:26" x14ac:dyDescent="0.25">
      <c r="A197" s="5" t="s">
        <v>34</v>
      </c>
      <c r="B197" s="5" t="s">
        <v>140</v>
      </c>
      <c r="C197" s="5" t="s">
        <v>141</v>
      </c>
      <c r="D197" s="5" t="s">
        <v>37</v>
      </c>
      <c r="E197" s="5" t="s">
        <v>50</v>
      </c>
      <c r="F197" s="5" t="s">
        <v>51</v>
      </c>
      <c r="G197" s="5" t="s">
        <v>40</v>
      </c>
      <c r="H197" s="6">
        <v>45961</v>
      </c>
      <c r="I197" s="6">
        <v>45961</v>
      </c>
      <c r="J197" s="6">
        <v>45964</v>
      </c>
      <c r="K197" s="5" t="s">
        <v>135</v>
      </c>
      <c r="L197" s="5" t="s">
        <v>136</v>
      </c>
      <c r="M197" s="5" t="s">
        <v>43</v>
      </c>
      <c r="N197" s="5" t="s">
        <v>137</v>
      </c>
      <c r="O197" s="7">
        <v>53271.93</v>
      </c>
      <c r="P197" s="5" t="s">
        <v>45</v>
      </c>
      <c r="Q197" s="22"/>
      <c r="R197" s="8">
        <f t="shared" si="9"/>
        <v>53271.93</v>
      </c>
      <c r="S197" s="7">
        <v>53271.93</v>
      </c>
      <c r="T197" s="7"/>
      <c r="U197" s="7">
        <f t="shared" si="11"/>
        <v>53271.93</v>
      </c>
      <c r="V197" s="5" t="s">
        <v>45</v>
      </c>
      <c r="W197" s="7">
        <v>15677.44</v>
      </c>
      <c r="X197" s="5" t="s">
        <v>46</v>
      </c>
      <c r="Z197" s="8">
        <f t="shared" si="10"/>
        <v>15677.44</v>
      </c>
    </row>
    <row r="198" spans="1:26" x14ac:dyDescent="0.25">
      <c r="A198" s="5" t="s">
        <v>34</v>
      </c>
      <c r="B198" s="5" t="s">
        <v>140</v>
      </c>
      <c r="C198" s="5" t="s">
        <v>141</v>
      </c>
      <c r="D198" s="5" t="s">
        <v>37</v>
      </c>
      <c r="E198" s="5" t="s">
        <v>86</v>
      </c>
      <c r="F198" s="5" t="s">
        <v>87</v>
      </c>
      <c r="G198" s="5" t="s">
        <v>40</v>
      </c>
      <c r="H198" s="6">
        <v>45961</v>
      </c>
      <c r="I198" s="6">
        <v>45961</v>
      </c>
      <c r="J198" s="6">
        <v>45964</v>
      </c>
      <c r="K198" s="5" t="s">
        <v>135</v>
      </c>
      <c r="L198" s="5" t="s">
        <v>136</v>
      </c>
      <c r="M198" s="5" t="s">
        <v>43</v>
      </c>
      <c r="N198" s="5" t="s">
        <v>137</v>
      </c>
      <c r="O198" s="7">
        <v>89581.16</v>
      </c>
      <c r="P198" s="5" t="s">
        <v>45</v>
      </c>
      <c r="Q198" s="22"/>
      <c r="R198" s="8">
        <f t="shared" si="9"/>
        <v>89581.16</v>
      </c>
      <c r="S198" s="7">
        <v>89581.16</v>
      </c>
      <c r="T198" s="7"/>
      <c r="U198" s="7">
        <f t="shared" si="11"/>
        <v>89581.16</v>
      </c>
      <c r="V198" s="5" t="s">
        <v>45</v>
      </c>
      <c r="W198" s="7">
        <v>26362.91</v>
      </c>
      <c r="X198" s="5" t="s">
        <v>46</v>
      </c>
      <c r="Z198" s="8">
        <f t="shared" si="10"/>
        <v>26362.91</v>
      </c>
    </row>
    <row r="199" spans="1:26" x14ac:dyDescent="0.25">
      <c r="A199" s="5" t="s">
        <v>34</v>
      </c>
      <c r="B199" s="5" t="s">
        <v>140</v>
      </c>
      <c r="C199" s="5" t="s">
        <v>141</v>
      </c>
      <c r="D199" s="5" t="s">
        <v>37</v>
      </c>
      <c r="E199" s="5" t="s">
        <v>82</v>
      </c>
      <c r="F199" s="5" t="s">
        <v>83</v>
      </c>
      <c r="G199" s="5" t="s">
        <v>40</v>
      </c>
      <c r="H199" s="6">
        <v>45961</v>
      </c>
      <c r="I199" s="6">
        <v>45961</v>
      </c>
      <c r="J199" s="6">
        <v>45964</v>
      </c>
      <c r="K199" s="5" t="s">
        <v>135</v>
      </c>
      <c r="L199" s="5" t="s">
        <v>136</v>
      </c>
      <c r="M199" s="5" t="s">
        <v>43</v>
      </c>
      <c r="N199" s="5" t="s">
        <v>137</v>
      </c>
      <c r="O199" s="7">
        <v>60309.38</v>
      </c>
      <c r="P199" s="5" t="s">
        <v>45</v>
      </c>
      <c r="Q199" s="22"/>
      <c r="R199" s="8">
        <f t="shared" si="9"/>
        <v>60309.38</v>
      </c>
      <c r="S199" s="7">
        <v>60309.38</v>
      </c>
      <c r="T199" s="7"/>
      <c r="U199" s="7">
        <f t="shared" si="11"/>
        <v>60309.38</v>
      </c>
      <c r="V199" s="5" t="s">
        <v>45</v>
      </c>
      <c r="W199" s="7">
        <v>17748.490000000002</v>
      </c>
      <c r="X199" s="5" t="s">
        <v>46</v>
      </c>
      <c r="Z199" s="8">
        <f t="shared" si="10"/>
        <v>17748.490000000002</v>
      </c>
    </row>
    <row r="200" spans="1:26" x14ac:dyDescent="0.25">
      <c r="A200" s="5" t="s">
        <v>34</v>
      </c>
      <c r="B200" s="5" t="s">
        <v>140</v>
      </c>
      <c r="C200" s="5" t="s">
        <v>141</v>
      </c>
      <c r="D200" s="5" t="s">
        <v>37</v>
      </c>
      <c r="E200" s="5" t="s">
        <v>64</v>
      </c>
      <c r="F200" s="5" t="s">
        <v>65</v>
      </c>
      <c r="G200" s="5" t="s">
        <v>40</v>
      </c>
      <c r="H200" s="6">
        <v>45961</v>
      </c>
      <c r="I200" s="6">
        <v>45961</v>
      </c>
      <c r="J200" s="6">
        <v>45964</v>
      </c>
      <c r="K200" s="5" t="s">
        <v>135</v>
      </c>
      <c r="L200" s="5" t="s">
        <v>136</v>
      </c>
      <c r="M200" s="5" t="s">
        <v>43</v>
      </c>
      <c r="N200" s="5" t="s">
        <v>137</v>
      </c>
      <c r="O200" s="7">
        <v>38174.76</v>
      </c>
      <c r="P200" s="5" t="s">
        <v>45</v>
      </c>
      <c r="Q200" s="22"/>
      <c r="R200" s="8">
        <f t="shared" si="9"/>
        <v>38174.76</v>
      </c>
      <c r="S200" s="7">
        <v>38174.76</v>
      </c>
      <c r="T200" s="7"/>
      <c r="U200" s="7">
        <f t="shared" si="11"/>
        <v>38174.76</v>
      </c>
      <c r="V200" s="5" t="s">
        <v>45</v>
      </c>
      <c r="W200" s="7">
        <v>11234.48</v>
      </c>
      <c r="X200" s="5" t="s">
        <v>46</v>
      </c>
      <c r="Z200" s="8">
        <f t="shared" si="10"/>
        <v>11234.48</v>
      </c>
    </row>
    <row r="201" spans="1:26" x14ac:dyDescent="0.25">
      <c r="A201" s="5" t="s">
        <v>34</v>
      </c>
      <c r="B201" s="5" t="s">
        <v>140</v>
      </c>
      <c r="C201" s="5" t="s">
        <v>141</v>
      </c>
      <c r="D201" s="5" t="s">
        <v>37</v>
      </c>
      <c r="E201" s="5" t="s">
        <v>78</v>
      </c>
      <c r="F201" s="5" t="s">
        <v>79</v>
      </c>
      <c r="G201" s="5" t="s">
        <v>40</v>
      </c>
      <c r="H201" s="6">
        <v>45961</v>
      </c>
      <c r="I201" s="6">
        <v>45961</v>
      </c>
      <c r="J201" s="6">
        <v>45964</v>
      </c>
      <c r="K201" s="5" t="s">
        <v>135</v>
      </c>
      <c r="L201" s="5" t="s">
        <v>136</v>
      </c>
      <c r="M201" s="5" t="s">
        <v>43</v>
      </c>
      <c r="N201" s="5" t="s">
        <v>137</v>
      </c>
      <c r="O201" s="7">
        <v>121104.49</v>
      </c>
      <c r="P201" s="5" t="s">
        <v>45</v>
      </c>
      <c r="Q201" s="22"/>
      <c r="R201" s="8">
        <f t="shared" si="9"/>
        <v>121104.49</v>
      </c>
      <c r="S201" s="7">
        <v>121104.49</v>
      </c>
      <c r="T201" s="7"/>
      <c r="U201" s="7">
        <f t="shared" si="11"/>
        <v>121104.49</v>
      </c>
      <c r="V201" s="5" t="s">
        <v>45</v>
      </c>
      <c r="W201" s="7">
        <v>35639.93</v>
      </c>
      <c r="X201" s="5" t="s">
        <v>46</v>
      </c>
      <c r="Z201" s="8">
        <f t="shared" si="10"/>
        <v>35639.93</v>
      </c>
    </row>
    <row r="202" spans="1:26" x14ac:dyDescent="0.25">
      <c r="A202" s="5" t="s">
        <v>34</v>
      </c>
      <c r="B202" s="5" t="s">
        <v>153</v>
      </c>
      <c r="C202" s="5" t="s">
        <v>154</v>
      </c>
      <c r="D202" s="5" t="s">
        <v>37</v>
      </c>
      <c r="E202" s="5" t="s">
        <v>70</v>
      </c>
      <c r="F202" s="5" t="s">
        <v>71</v>
      </c>
      <c r="G202" s="5" t="s">
        <v>40</v>
      </c>
      <c r="H202" s="6">
        <v>45961</v>
      </c>
      <c r="I202" s="6">
        <v>45961</v>
      </c>
      <c r="J202" s="6">
        <v>45964</v>
      </c>
      <c r="K202" s="5" t="s">
        <v>135</v>
      </c>
      <c r="L202" s="5" t="s">
        <v>136</v>
      </c>
      <c r="M202" s="5" t="s">
        <v>43</v>
      </c>
      <c r="N202" s="5" t="s">
        <v>137</v>
      </c>
      <c r="O202" s="7">
        <v>452</v>
      </c>
      <c r="P202" s="5" t="s">
        <v>45</v>
      </c>
      <c r="Q202" s="22"/>
      <c r="R202" s="8">
        <f t="shared" si="9"/>
        <v>452</v>
      </c>
      <c r="S202" s="7">
        <v>452</v>
      </c>
      <c r="T202" s="7"/>
      <c r="U202" s="7">
        <f t="shared" si="11"/>
        <v>452</v>
      </c>
      <c r="V202" s="5" t="s">
        <v>45</v>
      </c>
      <c r="W202" s="7">
        <v>133.02000000000001</v>
      </c>
      <c r="X202" s="5" t="s">
        <v>46</v>
      </c>
      <c r="Z202" s="8">
        <f t="shared" si="10"/>
        <v>133.02000000000001</v>
      </c>
    </row>
    <row r="203" spans="1:26" x14ac:dyDescent="0.25">
      <c r="A203" s="5" t="s">
        <v>34</v>
      </c>
      <c r="B203" s="5" t="s">
        <v>153</v>
      </c>
      <c r="C203" s="5" t="s">
        <v>154</v>
      </c>
      <c r="D203" s="5" t="s">
        <v>37</v>
      </c>
      <c r="E203" s="5" t="s">
        <v>52</v>
      </c>
      <c r="F203" s="5" t="s">
        <v>53</v>
      </c>
      <c r="G203" s="5" t="s">
        <v>40</v>
      </c>
      <c r="H203" s="6">
        <v>45961</v>
      </c>
      <c r="I203" s="6">
        <v>45961</v>
      </c>
      <c r="J203" s="6">
        <v>45964</v>
      </c>
      <c r="K203" s="5" t="s">
        <v>135</v>
      </c>
      <c r="L203" s="5" t="s">
        <v>136</v>
      </c>
      <c r="M203" s="5" t="s">
        <v>43</v>
      </c>
      <c r="N203" s="5" t="s">
        <v>137</v>
      </c>
      <c r="O203" s="7">
        <v>226</v>
      </c>
      <c r="P203" s="5" t="s">
        <v>45</v>
      </c>
      <c r="Q203" s="22"/>
      <c r="R203" s="8">
        <f t="shared" si="9"/>
        <v>226</v>
      </c>
      <c r="S203" s="7">
        <v>226</v>
      </c>
      <c r="T203" s="7"/>
      <c r="U203" s="7">
        <f t="shared" si="11"/>
        <v>226</v>
      </c>
      <c r="V203" s="5" t="s">
        <v>45</v>
      </c>
      <c r="W203" s="7">
        <v>66.510000000000005</v>
      </c>
      <c r="X203" s="5" t="s">
        <v>46</v>
      </c>
      <c r="Z203" s="8">
        <f t="shared" si="10"/>
        <v>66.510000000000005</v>
      </c>
    </row>
    <row r="204" spans="1:26" x14ac:dyDescent="0.25">
      <c r="A204" s="5" t="s">
        <v>34</v>
      </c>
      <c r="B204" s="5" t="s">
        <v>153</v>
      </c>
      <c r="C204" s="5" t="s">
        <v>154</v>
      </c>
      <c r="D204" s="5" t="s">
        <v>37</v>
      </c>
      <c r="E204" s="5" t="s">
        <v>98</v>
      </c>
      <c r="F204" s="5" t="s">
        <v>99</v>
      </c>
      <c r="G204" s="5" t="s">
        <v>40</v>
      </c>
      <c r="H204" s="6">
        <v>45961</v>
      </c>
      <c r="I204" s="6">
        <v>45961</v>
      </c>
      <c r="J204" s="6">
        <v>45964</v>
      </c>
      <c r="K204" s="5" t="s">
        <v>135</v>
      </c>
      <c r="L204" s="5" t="s">
        <v>136</v>
      </c>
      <c r="M204" s="5" t="s">
        <v>43</v>
      </c>
      <c r="N204" s="5" t="s">
        <v>137</v>
      </c>
      <c r="O204" s="7">
        <v>226</v>
      </c>
      <c r="P204" s="5" t="s">
        <v>45</v>
      </c>
      <c r="Q204" s="22"/>
      <c r="R204" s="8">
        <f t="shared" si="9"/>
        <v>226</v>
      </c>
      <c r="S204" s="7">
        <v>226</v>
      </c>
      <c r="T204" s="7"/>
      <c r="U204" s="7">
        <f t="shared" si="11"/>
        <v>226</v>
      </c>
      <c r="V204" s="5" t="s">
        <v>45</v>
      </c>
      <c r="W204" s="7">
        <v>66.510000000000005</v>
      </c>
      <c r="X204" s="5" t="s">
        <v>46</v>
      </c>
      <c r="Z204" s="8">
        <f t="shared" si="10"/>
        <v>66.510000000000005</v>
      </c>
    </row>
    <row r="205" spans="1:26" x14ac:dyDescent="0.25">
      <c r="A205" s="5" t="s">
        <v>34</v>
      </c>
      <c r="B205" s="5" t="s">
        <v>153</v>
      </c>
      <c r="C205" s="5" t="s">
        <v>154</v>
      </c>
      <c r="D205" s="5" t="s">
        <v>37</v>
      </c>
      <c r="E205" s="5" t="s">
        <v>38</v>
      </c>
      <c r="F205" s="5" t="s">
        <v>39</v>
      </c>
      <c r="G205" s="5" t="s">
        <v>40</v>
      </c>
      <c r="H205" s="6">
        <v>45961</v>
      </c>
      <c r="I205" s="6">
        <v>45961</v>
      </c>
      <c r="J205" s="6">
        <v>45964</v>
      </c>
      <c r="K205" s="5" t="s">
        <v>135</v>
      </c>
      <c r="L205" s="5" t="s">
        <v>136</v>
      </c>
      <c r="M205" s="5" t="s">
        <v>43</v>
      </c>
      <c r="N205" s="5" t="s">
        <v>137</v>
      </c>
      <c r="O205" s="7">
        <v>1582</v>
      </c>
      <c r="P205" s="5" t="s">
        <v>45</v>
      </c>
      <c r="Q205" s="22"/>
      <c r="R205" s="8">
        <f t="shared" si="9"/>
        <v>1582</v>
      </c>
      <c r="S205" s="7">
        <v>1582</v>
      </c>
      <c r="T205" s="7"/>
      <c r="U205" s="7">
        <f t="shared" si="11"/>
        <v>1582</v>
      </c>
      <c r="V205" s="5" t="s">
        <v>45</v>
      </c>
      <c r="W205" s="7">
        <v>465.57</v>
      </c>
      <c r="X205" s="5" t="s">
        <v>46</v>
      </c>
      <c r="Z205" s="8">
        <f t="shared" si="10"/>
        <v>465.57</v>
      </c>
    </row>
    <row r="206" spans="1:26" x14ac:dyDescent="0.25">
      <c r="A206" s="5" t="s">
        <v>34</v>
      </c>
      <c r="B206" s="5" t="s">
        <v>153</v>
      </c>
      <c r="C206" s="5" t="s">
        <v>154</v>
      </c>
      <c r="D206" s="5" t="s">
        <v>37</v>
      </c>
      <c r="E206" s="5" t="s">
        <v>116</v>
      </c>
      <c r="F206" s="5" t="s">
        <v>117</v>
      </c>
      <c r="G206" s="5" t="s">
        <v>40</v>
      </c>
      <c r="H206" s="6">
        <v>45961</v>
      </c>
      <c r="I206" s="6">
        <v>45961</v>
      </c>
      <c r="J206" s="6">
        <v>45964</v>
      </c>
      <c r="K206" s="5" t="s">
        <v>135</v>
      </c>
      <c r="L206" s="5" t="s">
        <v>136</v>
      </c>
      <c r="M206" s="5" t="s">
        <v>43</v>
      </c>
      <c r="N206" s="5" t="s">
        <v>137</v>
      </c>
      <c r="O206" s="7">
        <v>1921</v>
      </c>
      <c r="P206" s="5" t="s">
        <v>45</v>
      </c>
      <c r="Q206" s="22"/>
      <c r="R206" s="8">
        <f t="shared" si="9"/>
        <v>1921</v>
      </c>
      <c r="S206" s="7">
        <v>1921</v>
      </c>
      <c r="T206" s="7"/>
      <c r="U206" s="7">
        <f t="shared" si="11"/>
        <v>1921</v>
      </c>
      <c r="V206" s="5" t="s">
        <v>45</v>
      </c>
      <c r="W206" s="7">
        <v>565.33000000000004</v>
      </c>
      <c r="X206" s="5" t="s">
        <v>46</v>
      </c>
      <c r="Z206" s="8">
        <f t="shared" si="10"/>
        <v>565.33000000000004</v>
      </c>
    </row>
    <row r="207" spans="1:26" x14ac:dyDescent="0.25">
      <c r="A207" s="5" t="s">
        <v>34</v>
      </c>
      <c r="B207" s="5" t="s">
        <v>153</v>
      </c>
      <c r="C207" s="5" t="s">
        <v>154</v>
      </c>
      <c r="D207" s="5" t="s">
        <v>37</v>
      </c>
      <c r="E207" s="5" t="s">
        <v>106</v>
      </c>
      <c r="F207" s="5" t="s">
        <v>107</v>
      </c>
      <c r="G207" s="5" t="s">
        <v>40</v>
      </c>
      <c r="H207" s="6">
        <v>45961</v>
      </c>
      <c r="I207" s="6">
        <v>45961</v>
      </c>
      <c r="J207" s="6">
        <v>45964</v>
      </c>
      <c r="K207" s="5" t="s">
        <v>135</v>
      </c>
      <c r="L207" s="5" t="s">
        <v>136</v>
      </c>
      <c r="M207" s="5" t="s">
        <v>43</v>
      </c>
      <c r="N207" s="5" t="s">
        <v>137</v>
      </c>
      <c r="O207" s="7">
        <v>791</v>
      </c>
      <c r="P207" s="5" t="s">
        <v>45</v>
      </c>
      <c r="Q207" s="22"/>
      <c r="R207" s="8">
        <f t="shared" si="9"/>
        <v>791</v>
      </c>
      <c r="S207" s="7">
        <v>791</v>
      </c>
      <c r="T207" s="7"/>
      <c r="U207" s="7">
        <f t="shared" si="11"/>
        <v>791</v>
      </c>
      <c r="V207" s="5" t="s">
        <v>45</v>
      </c>
      <c r="W207" s="7">
        <v>232.78</v>
      </c>
      <c r="X207" s="5" t="s">
        <v>46</v>
      </c>
      <c r="Z207" s="8">
        <f t="shared" si="10"/>
        <v>232.78</v>
      </c>
    </row>
    <row r="208" spans="1:26" x14ac:dyDescent="0.25">
      <c r="A208" s="5" t="s">
        <v>34</v>
      </c>
      <c r="B208" s="5" t="s">
        <v>153</v>
      </c>
      <c r="C208" s="5" t="s">
        <v>154</v>
      </c>
      <c r="D208" s="5" t="s">
        <v>37</v>
      </c>
      <c r="E208" s="5" t="s">
        <v>60</v>
      </c>
      <c r="F208" s="5" t="s">
        <v>61</v>
      </c>
      <c r="G208" s="5" t="s">
        <v>40</v>
      </c>
      <c r="H208" s="6">
        <v>45961</v>
      </c>
      <c r="I208" s="6">
        <v>45961</v>
      </c>
      <c r="J208" s="6">
        <v>45964</v>
      </c>
      <c r="K208" s="5" t="s">
        <v>135</v>
      </c>
      <c r="L208" s="5" t="s">
        <v>136</v>
      </c>
      <c r="M208" s="5" t="s">
        <v>43</v>
      </c>
      <c r="N208" s="5" t="s">
        <v>137</v>
      </c>
      <c r="O208" s="7">
        <v>3277</v>
      </c>
      <c r="P208" s="5" t="s">
        <v>45</v>
      </c>
      <c r="Q208" s="22"/>
      <c r="R208" s="8">
        <f t="shared" si="9"/>
        <v>3277</v>
      </c>
      <c r="S208" s="7">
        <v>3277</v>
      </c>
      <c r="T208" s="7"/>
      <c r="U208" s="7">
        <f t="shared" si="11"/>
        <v>3277</v>
      </c>
      <c r="V208" s="5" t="s">
        <v>45</v>
      </c>
      <c r="W208" s="7">
        <v>964.39</v>
      </c>
      <c r="X208" s="5" t="s">
        <v>46</v>
      </c>
      <c r="Z208" s="8">
        <f t="shared" si="10"/>
        <v>964.39</v>
      </c>
    </row>
    <row r="209" spans="1:26" x14ac:dyDescent="0.25">
      <c r="A209" s="5" t="s">
        <v>34</v>
      </c>
      <c r="B209" s="5" t="s">
        <v>153</v>
      </c>
      <c r="C209" s="5" t="s">
        <v>154</v>
      </c>
      <c r="D209" s="5" t="s">
        <v>37</v>
      </c>
      <c r="E209" s="5" t="s">
        <v>96</v>
      </c>
      <c r="F209" s="5" t="s">
        <v>97</v>
      </c>
      <c r="G209" s="5" t="s">
        <v>40</v>
      </c>
      <c r="H209" s="6">
        <v>45961</v>
      </c>
      <c r="I209" s="6">
        <v>45961</v>
      </c>
      <c r="J209" s="6">
        <v>45964</v>
      </c>
      <c r="K209" s="5" t="s">
        <v>135</v>
      </c>
      <c r="L209" s="5" t="s">
        <v>136</v>
      </c>
      <c r="M209" s="5" t="s">
        <v>43</v>
      </c>
      <c r="N209" s="5" t="s">
        <v>137</v>
      </c>
      <c r="O209" s="7">
        <v>18871</v>
      </c>
      <c r="P209" s="5" t="s">
        <v>45</v>
      </c>
      <c r="Q209" s="22"/>
      <c r="R209" s="8">
        <f t="shared" si="9"/>
        <v>18871</v>
      </c>
      <c r="S209" s="7">
        <v>18871</v>
      </c>
      <c r="T209" s="7"/>
      <c r="U209" s="7">
        <f t="shared" si="11"/>
        <v>18871</v>
      </c>
      <c r="V209" s="5" t="s">
        <v>45</v>
      </c>
      <c r="W209" s="7">
        <v>5553.56</v>
      </c>
      <c r="X209" s="5" t="s">
        <v>46</v>
      </c>
      <c r="Z209" s="8">
        <f t="shared" si="10"/>
        <v>5553.56</v>
      </c>
    </row>
    <row r="210" spans="1:26" x14ac:dyDescent="0.25">
      <c r="A210" s="5" t="s">
        <v>34</v>
      </c>
      <c r="B210" s="5" t="s">
        <v>153</v>
      </c>
      <c r="C210" s="5" t="s">
        <v>154</v>
      </c>
      <c r="D210" s="5" t="s">
        <v>37</v>
      </c>
      <c r="E210" s="5" t="s">
        <v>102</v>
      </c>
      <c r="F210" s="5" t="s">
        <v>103</v>
      </c>
      <c r="G210" s="5" t="s">
        <v>40</v>
      </c>
      <c r="H210" s="6">
        <v>45961</v>
      </c>
      <c r="I210" s="6">
        <v>45961</v>
      </c>
      <c r="J210" s="6">
        <v>45964</v>
      </c>
      <c r="K210" s="5" t="s">
        <v>135</v>
      </c>
      <c r="L210" s="5" t="s">
        <v>136</v>
      </c>
      <c r="M210" s="5" t="s">
        <v>43</v>
      </c>
      <c r="N210" s="5" t="s">
        <v>137</v>
      </c>
      <c r="O210" s="7">
        <v>7910</v>
      </c>
      <c r="P210" s="5" t="s">
        <v>45</v>
      </c>
      <c r="Q210" s="22"/>
      <c r="R210" s="8">
        <f t="shared" si="9"/>
        <v>7910</v>
      </c>
      <c r="S210" s="7">
        <v>7910</v>
      </c>
      <c r="T210" s="7"/>
      <c r="U210" s="7">
        <f t="shared" si="11"/>
        <v>7910</v>
      </c>
      <c r="V210" s="5" t="s">
        <v>45</v>
      </c>
      <c r="W210" s="7">
        <v>2327.84</v>
      </c>
      <c r="X210" s="5" t="s">
        <v>46</v>
      </c>
      <c r="Z210" s="8">
        <f t="shared" si="10"/>
        <v>2327.84</v>
      </c>
    </row>
    <row r="211" spans="1:26" x14ac:dyDescent="0.25">
      <c r="A211" s="5" t="s">
        <v>34</v>
      </c>
      <c r="B211" s="5" t="s">
        <v>153</v>
      </c>
      <c r="C211" s="5" t="s">
        <v>154</v>
      </c>
      <c r="D211" s="5" t="s">
        <v>37</v>
      </c>
      <c r="E211" s="5" t="s">
        <v>110</v>
      </c>
      <c r="F211" s="5" t="s">
        <v>111</v>
      </c>
      <c r="G211" s="5" t="s">
        <v>40</v>
      </c>
      <c r="H211" s="6">
        <v>45961</v>
      </c>
      <c r="I211" s="6">
        <v>45961</v>
      </c>
      <c r="J211" s="6">
        <v>45964</v>
      </c>
      <c r="K211" s="5" t="s">
        <v>135</v>
      </c>
      <c r="L211" s="5" t="s">
        <v>136</v>
      </c>
      <c r="M211" s="5" t="s">
        <v>43</v>
      </c>
      <c r="N211" s="5" t="s">
        <v>137</v>
      </c>
      <c r="O211" s="7">
        <v>3616</v>
      </c>
      <c r="P211" s="5" t="s">
        <v>45</v>
      </c>
      <c r="Q211" s="22"/>
      <c r="R211" s="8">
        <f t="shared" si="9"/>
        <v>3616</v>
      </c>
      <c r="S211" s="7">
        <v>3616</v>
      </c>
      <c r="T211" s="7"/>
      <c r="U211" s="7">
        <f t="shared" si="11"/>
        <v>3616</v>
      </c>
      <c r="V211" s="5" t="s">
        <v>45</v>
      </c>
      <c r="W211" s="7">
        <v>1064.1600000000001</v>
      </c>
      <c r="X211" s="5" t="s">
        <v>46</v>
      </c>
      <c r="Z211" s="8">
        <f t="shared" si="10"/>
        <v>1064.1600000000001</v>
      </c>
    </row>
    <row r="212" spans="1:26" x14ac:dyDescent="0.25">
      <c r="A212" s="5" t="s">
        <v>34</v>
      </c>
      <c r="B212" s="5" t="s">
        <v>153</v>
      </c>
      <c r="C212" s="5" t="s">
        <v>154</v>
      </c>
      <c r="D212" s="5" t="s">
        <v>37</v>
      </c>
      <c r="E212" s="5" t="s">
        <v>50</v>
      </c>
      <c r="F212" s="5" t="s">
        <v>51</v>
      </c>
      <c r="G212" s="5" t="s">
        <v>40</v>
      </c>
      <c r="H212" s="6">
        <v>45961</v>
      </c>
      <c r="I212" s="6">
        <v>45961</v>
      </c>
      <c r="J212" s="6">
        <v>45964</v>
      </c>
      <c r="K212" s="5" t="s">
        <v>135</v>
      </c>
      <c r="L212" s="5" t="s">
        <v>136</v>
      </c>
      <c r="M212" s="5" t="s">
        <v>43</v>
      </c>
      <c r="N212" s="5" t="s">
        <v>137</v>
      </c>
      <c r="O212" s="7">
        <v>1695</v>
      </c>
      <c r="P212" s="5" t="s">
        <v>45</v>
      </c>
      <c r="Q212" s="22"/>
      <c r="R212" s="8">
        <f t="shared" si="9"/>
        <v>1695</v>
      </c>
      <c r="S212" s="7">
        <v>1695</v>
      </c>
      <c r="T212" s="7"/>
      <c r="U212" s="7">
        <f t="shared" si="11"/>
        <v>1695</v>
      </c>
      <c r="V212" s="5" t="s">
        <v>45</v>
      </c>
      <c r="W212" s="7">
        <v>498.82</v>
      </c>
      <c r="X212" s="5" t="s">
        <v>46</v>
      </c>
      <c r="Z212" s="8">
        <f t="shared" si="10"/>
        <v>498.82</v>
      </c>
    </row>
    <row r="213" spans="1:26" x14ac:dyDescent="0.25">
      <c r="A213" s="5" t="s">
        <v>34</v>
      </c>
      <c r="B213" s="5" t="s">
        <v>153</v>
      </c>
      <c r="C213" s="5" t="s">
        <v>154</v>
      </c>
      <c r="D213" s="5" t="s">
        <v>37</v>
      </c>
      <c r="E213" s="5" t="s">
        <v>48</v>
      </c>
      <c r="F213" s="5" t="s">
        <v>49</v>
      </c>
      <c r="G213" s="5" t="s">
        <v>40</v>
      </c>
      <c r="H213" s="6">
        <v>45961</v>
      </c>
      <c r="I213" s="6">
        <v>45961</v>
      </c>
      <c r="J213" s="6">
        <v>45964</v>
      </c>
      <c r="K213" s="5" t="s">
        <v>135</v>
      </c>
      <c r="L213" s="5" t="s">
        <v>136</v>
      </c>
      <c r="M213" s="5" t="s">
        <v>43</v>
      </c>
      <c r="N213" s="5" t="s">
        <v>137</v>
      </c>
      <c r="O213" s="7">
        <v>3390</v>
      </c>
      <c r="P213" s="5" t="s">
        <v>45</v>
      </c>
      <c r="Q213" s="22"/>
      <c r="R213" s="8">
        <f t="shared" si="9"/>
        <v>3390</v>
      </c>
      <c r="S213" s="7">
        <v>3390</v>
      </c>
      <c r="T213" s="7"/>
      <c r="U213" s="7">
        <f t="shared" si="11"/>
        <v>3390</v>
      </c>
      <c r="V213" s="5" t="s">
        <v>45</v>
      </c>
      <c r="W213" s="7">
        <v>997.65</v>
      </c>
      <c r="X213" s="5" t="s">
        <v>46</v>
      </c>
      <c r="Z213" s="8">
        <f t="shared" si="10"/>
        <v>997.65</v>
      </c>
    </row>
    <row r="214" spans="1:26" x14ac:dyDescent="0.25">
      <c r="A214" s="5" t="s">
        <v>34</v>
      </c>
      <c r="B214" s="5" t="s">
        <v>153</v>
      </c>
      <c r="C214" s="5" t="s">
        <v>154</v>
      </c>
      <c r="D214" s="5" t="s">
        <v>37</v>
      </c>
      <c r="E214" s="5" t="s">
        <v>74</v>
      </c>
      <c r="F214" s="5" t="s">
        <v>75</v>
      </c>
      <c r="G214" s="5" t="s">
        <v>40</v>
      </c>
      <c r="H214" s="6">
        <v>45961</v>
      </c>
      <c r="I214" s="6">
        <v>45961</v>
      </c>
      <c r="J214" s="6">
        <v>45964</v>
      </c>
      <c r="K214" s="5" t="s">
        <v>135</v>
      </c>
      <c r="L214" s="5" t="s">
        <v>136</v>
      </c>
      <c r="M214" s="5" t="s">
        <v>43</v>
      </c>
      <c r="N214" s="5" t="s">
        <v>137</v>
      </c>
      <c r="O214" s="7">
        <v>21357</v>
      </c>
      <c r="P214" s="5" t="s">
        <v>45</v>
      </c>
      <c r="Q214" s="22"/>
      <c r="R214" s="8">
        <f t="shared" si="9"/>
        <v>21357</v>
      </c>
      <c r="S214" s="7">
        <v>21357</v>
      </c>
      <c r="T214" s="7"/>
      <c r="U214" s="7">
        <f t="shared" si="11"/>
        <v>21357</v>
      </c>
      <c r="V214" s="5" t="s">
        <v>45</v>
      </c>
      <c r="W214" s="7">
        <v>6285.17</v>
      </c>
      <c r="X214" s="5" t="s">
        <v>46</v>
      </c>
      <c r="Z214" s="8">
        <f t="shared" si="10"/>
        <v>6285.17</v>
      </c>
    </row>
    <row r="215" spans="1:26" x14ac:dyDescent="0.25">
      <c r="A215" s="5" t="s">
        <v>34</v>
      </c>
      <c r="B215" s="5" t="s">
        <v>153</v>
      </c>
      <c r="C215" s="5" t="s">
        <v>154</v>
      </c>
      <c r="D215" s="5" t="s">
        <v>37</v>
      </c>
      <c r="E215" s="5" t="s">
        <v>58</v>
      </c>
      <c r="F215" s="5" t="s">
        <v>59</v>
      </c>
      <c r="G215" s="5" t="s">
        <v>40</v>
      </c>
      <c r="H215" s="6">
        <v>45961</v>
      </c>
      <c r="I215" s="6">
        <v>45961</v>
      </c>
      <c r="J215" s="6">
        <v>45964</v>
      </c>
      <c r="K215" s="5" t="s">
        <v>135</v>
      </c>
      <c r="L215" s="5" t="s">
        <v>136</v>
      </c>
      <c r="M215" s="5" t="s">
        <v>43</v>
      </c>
      <c r="N215" s="5" t="s">
        <v>137</v>
      </c>
      <c r="O215" s="7">
        <v>226</v>
      </c>
      <c r="P215" s="5" t="s">
        <v>45</v>
      </c>
      <c r="Q215" s="22"/>
      <c r="R215" s="8">
        <f t="shared" si="9"/>
        <v>226</v>
      </c>
      <c r="S215" s="7">
        <v>226</v>
      </c>
      <c r="T215" s="7"/>
      <c r="U215" s="7">
        <f t="shared" si="11"/>
        <v>226</v>
      </c>
      <c r="V215" s="5" t="s">
        <v>45</v>
      </c>
      <c r="W215" s="7">
        <v>66.510000000000005</v>
      </c>
      <c r="X215" s="5" t="s">
        <v>46</v>
      </c>
      <c r="Z215" s="8">
        <f t="shared" si="10"/>
        <v>66.510000000000005</v>
      </c>
    </row>
    <row r="216" spans="1:26" x14ac:dyDescent="0.25">
      <c r="A216" s="5" t="s">
        <v>34</v>
      </c>
      <c r="B216" s="5" t="s">
        <v>153</v>
      </c>
      <c r="C216" s="5" t="s">
        <v>154</v>
      </c>
      <c r="D216" s="5" t="s">
        <v>37</v>
      </c>
      <c r="E216" s="5" t="s">
        <v>104</v>
      </c>
      <c r="F216" s="5" t="s">
        <v>105</v>
      </c>
      <c r="G216" s="5" t="s">
        <v>40</v>
      </c>
      <c r="H216" s="6">
        <v>45961</v>
      </c>
      <c r="I216" s="6">
        <v>45961</v>
      </c>
      <c r="J216" s="6">
        <v>45964</v>
      </c>
      <c r="K216" s="5" t="s">
        <v>135</v>
      </c>
      <c r="L216" s="5" t="s">
        <v>136</v>
      </c>
      <c r="M216" s="5" t="s">
        <v>43</v>
      </c>
      <c r="N216" s="5" t="s">
        <v>137</v>
      </c>
      <c r="O216" s="7">
        <v>2599</v>
      </c>
      <c r="P216" s="5" t="s">
        <v>45</v>
      </c>
      <c r="Q216" s="22"/>
      <c r="R216" s="8">
        <f t="shared" si="9"/>
        <v>2599</v>
      </c>
      <c r="S216" s="7">
        <v>2599</v>
      </c>
      <c r="T216" s="7"/>
      <c r="U216" s="7">
        <f t="shared" si="11"/>
        <v>2599</v>
      </c>
      <c r="V216" s="5" t="s">
        <v>45</v>
      </c>
      <c r="W216" s="7">
        <v>764.86</v>
      </c>
      <c r="X216" s="5" t="s">
        <v>46</v>
      </c>
      <c r="Z216" s="8">
        <f t="shared" si="10"/>
        <v>764.86</v>
      </c>
    </row>
    <row r="217" spans="1:26" x14ac:dyDescent="0.25">
      <c r="A217" s="5" t="s">
        <v>34</v>
      </c>
      <c r="B217" s="5" t="s">
        <v>153</v>
      </c>
      <c r="C217" s="5" t="s">
        <v>154</v>
      </c>
      <c r="D217" s="5" t="s">
        <v>37</v>
      </c>
      <c r="E217" s="5" t="s">
        <v>92</v>
      </c>
      <c r="F217" s="5" t="s">
        <v>93</v>
      </c>
      <c r="G217" s="5" t="s">
        <v>40</v>
      </c>
      <c r="H217" s="6">
        <v>45961</v>
      </c>
      <c r="I217" s="6">
        <v>45961</v>
      </c>
      <c r="J217" s="6">
        <v>45964</v>
      </c>
      <c r="K217" s="5" t="s">
        <v>135</v>
      </c>
      <c r="L217" s="5" t="s">
        <v>136</v>
      </c>
      <c r="M217" s="5" t="s">
        <v>43</v>
      </c>
      <c r="N217" s="5" t="s">
        <v>137</v>
      </c>
      <c r="O217" s="7">
        <v>226</v>
      </c>
      <c r="P217" s="5" t="s">
        <v>45</v>
      </c>
      <c r="Q217" s="22"/>
      <c r="R217" s="8">
        <f t="shared" si="9"/>
        <v>226</v>
      </c>
      <c r="S217" s="7">
        <v>226</v>
      </c>
      <c r="T217" s="7"/>
      <c r="U217" s="7">
        <f t="shared" si="11"/>
        <v>226</v>
      </c>
      <c r="V217" s="5" t="s">
        <v>45</v>
      </c>
      <c r="W217" s="7">
        <v>66.510000000000005</v>
      </c>
      <c r="X217" s="5" t="s">
        <v>46</v>
      </c>
      <c r="Z217" s="8">
        <f t="shared" si="10"/>
        <v>66.510000000000005</v>
      </c>
    </row>
    <row r="218" spans="1:26" x14ac:dyDescent="0.25">
      <c r="A218" s="5" t="s">
        <v>34</v>
      </c>
      <c r="B218" s="5" t="s">
        <v>153</v>
      </c>
      <c r="C218" s="5" t="s">
        <v>154</v>
      </c>
      <c r="D218" s="5" t="s">
        <v>37</v>
      </c>
      <c r="E218" s="5" t="s">
        <v>118</v>
      </c>
      <c r="F218" s="5" t="s">
        <v>119</v>
      </c>
      <c r="G218" s="5" t="s">
        <v>40</v>
      </c>
      <c r="H218" s="6">
        <v>45961</v>
      </c>
      <c r="I218" s="6">
        <v>45961</v>
      </c>
      <c r="J218" s="6">
        <v>45964</v>
      </c>
      <c r="K218" s="5" t="s">
        <v>135</v>
      </c>
      <c r="L218" s="5" t="s">
        <v>136</v>
      </c>
      <c r="M218" s="5" t="s">
        <v>43</v>
      </c>
      <c r="N218" s="5" t="s">
        <v>137</v>
      </c>
      <c r="O218" s="7">
        <v>3503</v>
      </c>
      <c r="P218" s="5" t="s">
        <v>45</v>
      </c>
      <c r="Q218" s="22"/>
      <c r="R218" s="8">
        <f t="shared" si="9"/>
        <v>3503</v>
      </c>
      <c r="S218" s="7">
        <v>3503</v>
      </c>
      <c r="T218" s="7"/>
      <c r="U218" s="7">
        <f t="shared" si="11"/>
        <v>3503</v>
      </c>
      <c r="V218" s="5" t="s">
        <v>45</v>
      </c>
      <c r="W218" s="7">
        <v>1030.9000000000001</v>
      </c>
      <c r="X218" s="5" t="s">
        <v>46</v>
      </c>
      <c r="Z218" s="8">
        <f t="shared" si="10"/>
        <v>1030.9000000000001</v>
      </c>
    </row>
    <row r="219" spans="1:26" x14ac:dyDescent="0.25">
      <c r="A219" s="5" t="s">
        <v>34</v>
      </c>
      <c r="B219" s="5" t="s">
        <v>153</v>
      </c>
      <c r="C219" s="5" t="s">
        <v>154</v>
      </c>
      <c r="D219" s="5" t="s">
        <v>37</v>
      </c>
      <c r="E219" s="5" t="s">
        <v>84</v>
      </c>
      <c r="F219" s="5" t="s">
        <v>85</v>
      </c>
      <c r="G219" s="5" t="s">
        <v>40</v>
      </c>
      <c r="H219" s="6">
        <v>45961</v>
      </c>
      <c r="I219" s="6">
        <v>45961</v>
      </c>
      <c r="J219" s="6">
        <v>45964</v>
      </c>
      <c r="K219" s="5" t="s">
        <v>135</v>
      </c>
      <c r="L219" s="5" t="s">
        <v>136</v>
      </c>
      <c r="M219" s="5" t="s">
        <v>43</v>
      </c>
      <c r="N219" s="5" t="s">
        <v>137</v>
      </c>
      <c r="O219" s="7">
        <v>791</v>
      </c>
      <c r="P219" s="5" t="s">
        <v>45</v>
      </c>
      <c r="Q219" s="22"/>
      <c r="R219" s="8">
        <f t="shared" si="9"/>
        <v>791</v>
      </c>
      <c r="S219" s="7">
        <v>791</v>
      </c>
      <c r="T219" s="7"/>
      <c r="U219" s="7">
        <f t="shared" si="11"/>
        <v>791</v>
      </c>
      <c r="V219" s="5" t="s">
        <v>45</v>
      </c>
      <c r="W219" s="7">
        <v>232.78</v>
      </c>
      <c r="X219" s="5" t="s">
        <v>46</v>
      </c>
      <c r="Z219" s="8">
        <f t="shared" si="10"/>
        <v>232.78</v>
      </c>
    </row>
    <row r="220" spans="1:26" x14ac:dyDescent="0.25">
      <c r="A220" s="5" t="s">
        <v>34</v>
      </c>
      <c r="B220" s="5" t="s">
        <v>153</v>
      </c>
      <c r="C220" s="5" t="s">
        <v>154</v>
      </c>
      <c r="D220" s="5" t="s">
        <v>37</v>
      </c>
      <c r="E220" s="5" t="s">
        <v>62</v>
      </c>
      <c r="F220" s="5" t="s">
        <v>63</v>
      </c>
      <c r="G220" s="5" t="s">
        <v>40</v>
      </c>
      <c r="H220" s="6">
        <v>45961</v>
      </c>
      <c r="I220" s="6">
        <v>45961</v>
      </c>
      <c r="J220" s="6">
        <v>45964</v>
      </c>
      <c r="K220" s="5" t="s">
        <v>135</v>
      </c>
      <c r="L220" s="5" t="s">
        <v>136</v>
      </c>
      <c r="M220" s="5" t="s">
        <v>43</v>
      </c>
      <c r="N220" s="5" t="s">
        <v>137</v>
      </c>
      <c r="O220" s="7">
        <v>1808</v>
      </c>
      <c r="P220" s="5" t="s">
        <v>45</v>
      </c>
      <c r="Q220" s="22"/>
      <c r="R220" s="8">
        <f t="shared" si="9"/>
        <v>1808</v>
      </c>
      <c r="S220" s="7">
        <v>1808</v>
      </c>
      <c r="T220" s="7"/>
      <c r="U220" s="7">
        <f t="shared" si="11"/>
        <v>1808</v>
      </c>
      <c r="V220" s="5" t="s">
        <v>45</v>
      </c>
      <c r="W220" s="7">
        <v>532.08000000000004</v>
      </c>
      <c r="X220" s="5" t="s">
        <v>46</v>
      </c>
      <c r="Z220" s="8">
        <f t="shared" si="10"/>
        <v>532.08000000000004</v>
      </c>
    </row>
    <row r="221" spans="1:26" x14ac:dyDescent="0.25">
      <c r="A221" s="5" t="s">
        <v>34</v>
      </c>
      <c r="B221" s="5" t="s">
        <v>153</v>
      </c>
      <c r="C221" s="5" t="s">
        <v>154</v>
      </c>
      <c r="D221" s="5" t="s">
        <v>37</v>
      </c>
      <c r="E221" s="5" t="s">
        <v>80</v>
      </c>
      <c r="F221" s="5" t="s">
        <v>81</v>
      </c>
      <c r="G221" s="5" t="s">
        <v>40</v>
      </c>
      <c r="H221" s="6">
        <v>45961</v>
      </c>
      <c r="I221" s="6">
        <v>45961</v>
      </c>
      <c r="J221" s="6">
        <v>45964</v>
      </c>
      <c r="K221" s="5" t="s">
        <v>135</v>
      </c>
      <c r="L221" s="5" t="s">
        <v>136</v>
      </c>
      <c r="M221" s="5" t="s">
        <v>43</v>
      </c>
      <c r="N221" s="5" t="s">
        <v>137</v>
      </c>
      <c r="O221" s="7">
        <v>791</v>
      </c>
      <c r="P221" s="5" t="s">
        <v>45</v>
      </c>
      <c r="Q221" s="22"/>
      <c r="R221" s="8">
        <f t="shared" si="9"/>
        <v>791</v>
      </c>
      <c r="S221" s="7">
        <v>791</v>
      </c>
      <c r="T221" s="7"/>
      <c r="U221" s="7">
        <f t="shared" si="11"/>
        <v>791</v>
      </c>
      <c r="V221" s="5" t="s">
        <v>45</v>
      </c>
      <c r="W221" s="7">
        <v>232.78</v>
      </c>
      <c r="X221" s="5" t="s">
        <v>46</v>
      </c>
      <c r="Z221" s="8">
        <f t="shared" si="10"/>
        <v>232.78</v>
      </c>
    </row>
    <row r="222" spans="1:26" x14ac:dyDescent="0.25">
      <c r="A222" s="5" t="s">
        <v>34</v>
      </c>
      <c r="B222" s="5" t="s">
        <v>153</v>
      </c>
      <c r="C222" s="5" t="s">
        <v>154</v>
      </c>
      <c r="D222" s="5" t="s">
        <v>37</v>
      </c>
      <c r="E222" s="5" t="s">
        <v>72</v>
      </c>
      <c r="F222" s="5" t="s">
        <v>73</v>
      </c>
      <c r="G222" s="5" t="s">
        <v>40</v>
      </c>
      <c r="H222" s="6">
        <v>45961</v>
      </c>
      <c r="I222" s="6">
        <v>45961</v>
      </c>
      <c r="J222" s="6">
        <v>45964</v>
      </c>
      <c r="K222" s="5" t="s">
        <v>135</v>
      </c>
      <c r="L222" s="5" t="s">
        <v>136</v>
      </c>
      <c r="M222" s="5" t="s">
        <v>43</v>
      </c>
      <c r="N222" s="5" t="s">
        <v>137</v>
      </c>
      <c r="O222" s="7">
        <v>226</v>
      </c>
      <c r="P222" s="5" t="s">
        <v>45</v>
      </c>
      <c r="Q222" s="22"/>
      <c r="R222" s="8">
        <f t="shared" si="9"/>
        <v>226</v>
      </c>
      <c r="S222" s="7">
        <v>226</v>
      </c>
      <c r="T222" s="7"/>
      <c r="U222" s="7">
        <f t="shared" si="11"/>
        <v>226</v>
      </c>
      <c r="V222" s="5" t="s">
        <v>45</v>
      </c>
      <c r="W222" s="7">
        <v>66.510000000000005</v>
      </c>
      <c r="X222" s="5" t="s">
        <v>46</v>
      </c>
      <c r="Z222" s="8">
        <f t="shared" si="10"/>
        <v>66.510000000000005</v>
      </c>
    </row>
    <row r="223" spans="1:26" x14ac:dyDescent="0.25">
      <c r="A223" s="5" t="s">
        <v>34</v>
      </c>
      <c r="B223" s="5" t="s">
        <v>153</v>
      </c>
      <c r="C223" s="5" t="s">
        <v>154</v>
      </c>
      <c r="D223" s="5" t="s">
        <v>37</v>
      </c>
      <c r="E223" s="5" t="s">
        <v>100</v>
      </c>
      <c r="F223" s="5" t="s">
        <v>101</v>
      </c>
      <c r="G223" s="5" t="s">
        <v>40</v>
      </c>
      <c r="H223" s="6">
        <v>45961</v>
      </c>
      <c r="I223" s="6">
        <v>45961</v>
      </c>
      <c r="J223" s="6">
        <v>45964</v>
      </c>
      <c r="K223" s="5" t="s">
        <v>135</v>
      </c>
      <c r="L223" s="5" t="s">
        <v>136</v>
      </c>
      <c r="M223" s="5" t="s">
        <v>43</v>
      </c>
      <c r="N223" s="5" t="s">
        <v>137</v>
      </c>
      <c r="O223" s="7">
        <v>1356</v>
      </c>
      <c r="P223" s="5" t="s">
        <v>45</v>
      </c>
      <c r="Q223" s="22"/>
      <c r="R223" s="8">
        <f t="shared" si="9"/>
        <v>1356</v>
      </c>
      <c r="S223" s="7">
        <v>1356</v>
      </c>
      <c r="T223" s="7"/>
      <c r="U223" s="7">
        <f t="shared" si="11"/>
        <v>1356</v>
      </c>
      <c r="V223" s="5" t="s">
        <v>45</v>
      </c>
      <c r="W223" s="7">
        <v>399.06</v>
      </c>
      <c r="X223" s="5" t="s">
        <v>46</v>
      </c>
      <c r="Z223" s="8">
        <f t="shared" si="10"/>
        <v>399.06</v>
      </c>
    </row>
    <row r="224" spans="1:26" x14ac:dyDescent="0.25">
      <c r="A224" s="5" t="s">
        <v>34</v>
      </c>
      <c r="B224" s="5" t="s">
        <v>153</v>
      </c>
      <c r="C224" s="5" t="s">
        <v>154</v>
      </c>
      <c r="D224" s="5" t="s">
        <v>37</v>
      </c>
      <c r="E224" s="5" t="s">
        <v>122</v>
      </c>
      <c r="F224" s="5" t="s">
        <v>123</v>
      </c>
      <c r="G224" s="5" t="s">
        <v>40</v>
      </c>
      <c r="H224" s="6">
        <v>45961</v>
      </c>
      <c r="I224" s="6">
        <v>45961</v>
      </c>
      <c r="J224" s="6">
        <v>45964</v>
      </c>
      <c r="K224" s="5" t="s">
        <v>135</v>
      </c>
      <c r="L224" s="5" t="s">
        <v>136</v>
      </c>
      <c r="M224" s="5" t="s">
        <v>43</v>
      </c>
      <c r="N224" s="5" t="s">
        <v>137</v>
      </c>
      <c r="O224" s="7">
        <v>113</v>
      </c>
      <c r="P224" s="5" t="s">
        <v>45</v>
      </c>
      <c r="Q224" s="22"/>
      <c r="R224" s="8">
        <f t="shared" si="9"/>
        <v>113</v>
      </c>
      <c r="S224" s="7">
        <v>113</v>
      </c>
      <c r="T224" s="7"/>
      <c r="U224" s="7">
        <f t="shared" si="11"/>
        <v>113</v>
      </c>
      <c r="V224" s="5" t="s">
        <v>45</v>
      </c>
      <c r="W224" s="7">
        <v>33.25</v>
      </c>
      <c r="X224" s="5" t="s">
        <v>46</v>
      </c>
      <c r="Z224" s="8">
        <f t="shared" si="10"/>
        <v>33.25</v>
      </c>
    </row>
    <row r="225" spans="1:26" x14ac:dyDescent="0.25">
      <c r="A225" s="5" t="s">
        <v>34</v>
      </c>
      <c r="B225" s="5" t="s">
        <v>153</v>
      </c>
      <c r="C225" s="5" t="s">
        <v>154</v>
      </c>
      <c r="D225" s="5" t="s">
        <v>37</v>
      </c>
      <c r="E225" s="5" t="s">
        <v>86</v>
      </c>
      <c r="F225" s="5" t="s">
        <v>87</v>
      </c>
      <c r="G225" s="5" t="s">
        <v>40</v>
      </c>
      <c r="H225" s="6">
        <v>45961</v>
      </c>
      <c r="I225" s="6">
        <v>45961</v>
      </c>
      <c r="J225" s="6">
        <v>45964</v>
      </c>
      <c r="K225" s="5" t="s">
        <v>135</v>
      </c>
      <c r="L225" s="5" t="s">
        <v>136</v>
      </c>
      <c r="M225" s="5" t="s">
        <v>43</v>
      </c>
      <c r="N225" s="5" t="s">
        <v>137</v>
      </c>
      <c r="O225" s="7">
        <v>5650</v>
      </c>
      <c r="P225" s="5" t="s">
        <v>45</v>
      </c>
      <c r="Q225" s="22"/>
      <c r="R225" s="8">
        <f t="shared" si="9"/>
        <v>5650</v>
      </c>
      <c r="S225" s="7">
        <v>5650</v>
      </c>
      <c r="T225" s="7"/>
      <c r="U225" s="7">
        <f t="shared" si="11"/>
        <v>5650</v>
      </c>
      <c r="V225" s="5" t="s">
        <v>45</v>
      </c>
      <c r="W225" s="7">
        <v>1662.74</v>
      </c>
      <c r="X225" s="5" t="s">
        <v>46</v>
      </c>
      <c r="Z225" s="8">
        <f t="shared" si="10"/>
        <v>1662.74</v>
      </c>
    </row>
    <row r="226" spans="1:26" x14ac:dyDescent="0.25">
      <c r="A226" s="5" t="s">
        <v>34</v>
      </c>
      <c r="B226" s="5" t="s">
        <v>153</v>
      </c>
      <c r="C226" s="5" t="s">
        <v>154</v>
      </c>
      <c r="D226" s="5" t="s">
        <v>37</v>
      </c>
      <c r="E226" s="5" t="s">
        <v>68</v>
      </c>
      <c r="F226" s="5" t="s">
        <v>69</v>
      </c>
      <c r="G226" s="5" t="s">
        <v>40</v>
      </c>
      <c r="H226" s="6">
        <v>45961</v>
      </c>
      <c r="I226" s="6">
        <v>45961</v>
      </c>
      <c r="J226" s="6">
        <v>45964</v>
      </c>
      <c r="K226" s="5" t="s">
        <v>135</v>
      </c>
      <c r="L226" s="5" t="s">
        <v>136</v>
      </c>
      <c r="M226" s="5" t="s">
        <v>43</v>
      </c>
      <c r="N226" s="5" t="s">
        <v>137</v>
      </c>
      <c r="O226" s="7">
        <v>1469</v>
      </c>
      <c r="P226" s="5" t="s">
        <v>45</v>
      </c>
      <c r="Q226" s="22"/>
      <c r="R226" s="8">
        <f t="shared" si="9"/>
        <v>1469</v>
      </c>
      <c r="S226" s="7">
        <v>1469</v>
      </c>
      <c r="T226" s="7"/>
      <c r="U226" s="7">
        <f t="shared" si="11"/>
        <v>1469</v>
      </c>
      <c r="V226" s="5" t="s">
        <v>45</v>
      </c>
      <c r="W226" s="7">
        <v>432.31</v>
      </c>
      <c r="X226" s="5" t="s">
        <v>46</v>
      </c>
      <c r="Z226" s="8">
        <f t="shared" si="10"/>
        <v>432.31</v>
      </c>
    </row>
    <row r="227" spans="1:26" x14ac:dyDescent="0.25">
      <c r="A227" s="5" t="s">
        <v>34</v>
      </c>
      <c r="B227" s="5" t="s">
        <v>153</v>
      </c>
      <c r="C227" s="5" t="s">
        <v>154</v>
      </c>
      <c r="D227" s="5" t="s">
        <v>37</v>
      </c>
      <c r="E227" s="5" t="s">
        <v>54</v>
      </c>
      <c r="F227" s="5" t="s">
        <v>55</v>
      </c>
      <c r="G227" s="5" t="s">
        <v>40</v>
      </c>
      <c r="H227" s="6">
        <v>45961</v>
      </c>
      <c r="I227" s="6">
        <v>45961</v>
      </c>
      <c r="J227" s="6">
        <v>45964</v>
      </c>
      <c r="K227" s="5" t="s">
        <v>135</v>
      </c>
      <c r="L227" s="5" t="s">
        <v>136</v>
      </c>
      <c r="M227" s="5" t="s">
        <v>43</v>
      </c>
      <c r="N227" s="5" t="s">
        <v>137</v>
      </c>
      <c r="O227" s="7">
        <v>452</v>
      </c>
      <c r="P227" s="5" t="s">
        <v>45</v>
      </c>
      <c r="Q227" s="22"/>
      <c r="R227" s="8">
        <f t="shared" si="9"/>
        <v>452</v>
      </c>
      <c r="S227" s="7">
        <v>452</v>
      </c>
      <c r="T227" s="7"/>
      <c r="U227" s="7">
        <f t="shared" si="11"/>
        <v>452</v>
      </c>
      <c r="V227" s="5" t="s">
        <v>45</v>
      </c>
      <c r="W227" s="7">
        <v>133.02000000000001</v>
      </c>
      <c r="X227" s="5" t="s">
        <v>46</v>
      </c>
      <c r="Z227" s="8">
        <f t="shared" si="10"/>
        <v>133.02000000000001</v>
      </c>
    </row>
    <row r="228" spans="1:26" x14ac:dyDescent="0.25">
      <c r="A228" s="5" t="s">
        <v>34</v>
      </c>
      <c r="B228" s="5" t="s">
        <v>153</v>
      </c>
      <c r="C228" s="5" t="s">
        <v>154</v>
      </c>
      <c r="D228" s="5" t="s">
        <v>37</v>
      </c>
      <c r="E228" s="5" t="s">
        <v>64</v>
      </c>
      <c r="F228" s="5" t="s">
        <v>65</v>
      </c>
      <c r="G228" s="5" t="s">
        <v>40</v>
      </c>
      <c r="H228" s="6">
        <v>45961</v>
      </c>
      <c r="I228" s="6">
        <v>45961</v>
      </c>
      <c r="J228" s="6">
        <v>45964</v>
      </c>
      <c r="K228" s="5" t="s">
        <v>135</v>
      </c>
      <c r="L228" s="5" t="s">
        <v>136</v>
      </c>
      <c r="M228" s="5" t="s">
        <v>43</v>
      </c>
      <c r="N228" s="5" t="s">
        <v>137</v>
      </c>
      <c r="O228" s="7">
        <v>2147</v>
      </c>
      <c r="P228" s="5" t="s">
        <v>45</v>
      </c>
      <c r="Q228" s="22"/>
      <c r="R228" s="8">
        <f t="shared" si="9"/>
        <v>2147</v>
      </c>
      <c r="S228" s="7">
        <v>2147</v>
      </c>
      <c r="T228" s="7"/>
      <c r="U228" s="7">
        <f t="shared" si="11"/>
        <v>2147</v>
      </c>
      <c r="V228" s="5" t="s">
        <v>45</v>
      </c>
      <c r="W228" s="7">
        <v>631.84</v>
      </c>
      <c r="X228" s="5" t="s">
        <v>46</v>
      </c>
      <c r="Z228" s="8">
        <f t="shared" si="10"/>
        <v>631.84</v>
      </c>
    </row>
    <row r="229" spans="1:26" x14ac:dyDescent="0.25">
      <c r="A229" s="5" t="s">
        <v>34</v>
      </c>
      <c r="B229" s="5" t="s">
        <v>153</v>
      </c>
      <c r="C229" s="5" t="s">
        <v>154</v>
      </c>
      <c r="D229" s="5" t="s">
        <v>37</v>
      </c>
      <c r="E229" s="5" t="s">
        <v>142</v>
      </c>
      <c r="F229" s="5" t="s">
        <v>143</v>
      </c>
      <c r="G229" s="5" t="s">
        <v>40</v>
      </c>
      <c r="H229" s="6">
        <v>45961</v>
      </c>
      <c r="I229" s="6">
        <v>45961</v>
      </c>
      <c r="J229" s="6">
        <v>45964</v>
      </c>
      <c r="K229" s="5" t="s">
        <v>135</v>
      </c>
      <c r="L229" s="5" t="s">
        <v>136</v>
      </c>
      <c r="M229" s="5" t="s">
        <v>43</v>
      </c>
      <c r="N229" s="5" t="s">
        <v>137</v>
      </c>
      <c r="O229" s="7">
        <v>113</v>
      </c>
      <c r="P229" s="5" t="s">
        <v>45</v>
      </c>
      <c r="Q229" s="22"/>
      <c r="R229" s="8">
        <f t="shared" si="9"/>
        <v>113</v>
      </c>
      <c r="S229" s="7">
        <v>113</v>
      </c>
      <c r="T229" s="7"/>
      <c r="U229" s="7">
        <f t="shared" si="11"/>
        <v>113</v>
      </c>
      <c r="V229" s="5" t="s">
        <v>45</v>
      </c>
      <c r="W229" s="7">
        <v>33.25</v>
      </c>
      <c r="X229" s="5" t="s">
        <v>46</v>
      </c>
      <c r="Z229" s="8">
        <f t="shared" si="10"/>
        <v>33.25</v>
      </c>
    </row>
    <row r="230" spans="1:26" x14ac:dyDescent="0.25">
      <c r="A230" s="5" t="s">
        <v>34</v>
      </c>
      <c r="B230" s="5" t="s">
        <v>153</v>
      </c>
      <c r="C230" s="5" t="s">
        <v>154</v>
      </c>
      <c r="D230" s="5" t="s">
        <v>37</v>
      </c>
      <c r="E230" s="5" t="s">
        <v>138</v>
      </c>
      <c r="F230" s="5" t="s">
        <v>139</v>
      </c>
      <c r="G230" s="5" t="s">
        <v>40</v>
      </c>
      <c r="H230" s="6">
        <v>45961</v>
      </c>
      <c r="I230" s="6">
        <v>45961</v>
      </c>
      <c r="J230" s="6">
        <v>45964</v>
      </c>
      <c r="K230" s="5" t="s">
        <v>135</v>
      </c>
      <c r="L230" s="5" t="s">
        <v>136</v>
      </c>
      <c r="M230" s="5" t="s">
        <v>43</v>
      </c>
      <c r="N230" s="5" t="s">
        <v>137</v>
      </c>
      <c r="O230" s="7">
        <v>1130</v>
      </c>
      <c r="P230" s="5" t="s">
        <v>45</v>
      </c>
      <c r="Q230" s="22"/>
      <c r="R230" s="8">
        <f t="shared" si="9"/>
        <v>1130</v>
      </c>
      <c r="S230" s="7">
        <v>1130</v>
      </c>
      <c r="T230" s="7"/>
      <c r="U230" s="7">
        <f t="shared" si="11"/>
        <v>1130</v>
      </c>
      <c r="V230" s="5" t="s">
        <v>45</v>
      </c>
      <c r="W230" s="7">
        <v>332.55</v>
      </c>
      <c r="X230" s="5" t="s">
        <v>46</v>
      </c>
      <c r="Z230" s="8">
        <f t="shared" si="10"/>
        <v>332.55</v>
      </c>
    </row>
    <row r="231" spans="1:26" x14ac:dyDescent="0.25">
      <c r="A231" s="5" t="s">
        <v>34</v>
      </c>
      <c r="B231" s="5" t="s">
        <v>153</v>
      </c>
      <c r="C231" s="5" t="s">
        <v>154</v>
      </c>
      <c r="D231" s="5" t="s">
        <v>37</v>
      </c>
      <c r="E231" s="5" t="s">
        <v>82</v>
      </c>
      <c r="F231" s="5" t="s">
        <v>83</v>
      </c>
      <c r="G231" s="5" t="s">
        <v>40</v>
      </c>
      <c r="H231" s="6">
        <v>45961</v>
      </c>
      <c r="I231" s="6">
        <v>45961</v>
      </c>
      <c r="J231" s="6">
        <v>45964</v>
      </c>
      <c r="K231" s="5" t="s">
        <v>135</v>
      </c>
      <c r="L231" s="5" t="s">
        <v>136</v>
      </c>
      <c r="M231" s="5" t="s">
        <v>43</v>
      </c>
      <c r="N231" s="5" t="s">
        <v>137</v>
      </c>
      <c r="O231" s="7">
        <v>3616</v>
      </c>
      <c r="P231" s="5" t="s">
        <v>45</v>
      </c>
      <c r="Q231" s="22"/>
      <c r="R231" s="8">
        <f t="shared" si="9"/>
        <v>3616</v>
      </c>
      <c r="S231" s="7">
        <v>3616</v>
      </c>
      <c r="T231" s="7"/>
      <c r="U231" s="7">
        <f t="shared" si="11"/>
        <v>3616</v>
      </c>
      <c r="V231" s="5" t="s">
        <v>45</v>
      </c>
      <c r="W231" s="7">
        <v>1064.1600000000001</v>
      </c>
      <c r="X231" s="5" t="s">
        <v>46</v>
      </c>
      <c r="Z231" s="8">
        <f t="shared" si="10"/>
        <v>1064.1600000000001</v>
      </c>
    </row>
    <row r="232" spans="1:26" x14ac:dyDescent="0.25">
      <c r="A232" s="5" t="s">
        <v>34</v>
      </c>
      <c r="B232" s="5" t="s">
        <v>153</v>
      </c>
      <c r="C232" s="5" t="s">
        <v>154</v>
      </c>
      <c r="D232" s="5" t="s">
        <v>37</v>
      </c>
      <c r="E232" s="5" t="s">
        <v>78</v>
      </c>
      <c r="F232" s="5" t="s">
        <v>79</v>
      </c>
      <c r="G232" s="5" t="s">
        <v>40</v>
      </c>
      <c r="H232" s="6">
        <v>45961</v>
      </c>
      <c r="I232" s="6">
        <v>45961</v>
      </c>
      <c r="J232" s="6">
        <v>45964</v>
      </c>
      <c r="K232" s="5" t="s">
        <v>135</v>
      </c>
      <c r="L232" s="5" t="s">
        <v>136</v>
      </c>
      <c r="M232" s="5" t="s">
        <v>43</v>
      </c>
      <c r="N232" s="5" t="s">
        <v>137</v>
      </c>
      <c r="O232" s="7">
        <v>7684</v>
      </c>
      <c r="P232" s="5" t="s">
        <v>45</v>
      </c>
      <c r="Q232" s="22"/>
      <c r="R232" s="8">
        <f t="shared" si="9"/>
        <v>7684</v>
      </c>
      <c r="S232" s="7">
        <v>7684</v>
      </c>
      <c r="T232" s="7"/>
      <c r="U232" s="7">
        <f t="shared" si="11"/>
        <v>7684</v>
      </c>
      <c r="V232" s="5" t="s">
        <v>45</v>
      </c>
      <c r="W232" s="7">
        <v>2261.33</v>
      </c>
      <c r="X232" s="5" t="s">
        <v>46</v>
      </c>
      <c r="Z232" s="8">
        <f t="shared" si="10"/>
        <v>2261.33</v>
      </c>
    </row>
    <row r="233" spans="1:26" x14ac:dyDescent="0.25">
      <c r="A233" s="5" t="s">
        <v>34</v>
      </c>
      <c r="B233" s="5" t="s">
        <v>153</v>
      </c>
      <c r="C233" s="5" t="s">
        <v>154</v>
      </c>
      <c r="D233" s="5" t="s">
        <v>37</v>
      </c>
      <c r="E233" s="5" t="s">
        <v>96</v>
      </c>
      <c r="F233" s="5" t="s">
        <v>97</v>
      </c>
      <c r="G233" s="5" t="s">
        <v>40</v>
      </c>
      <c r="H233" s="6">
        <v>45961</v>
      </c>
      <c r="I233" s="6">
        <v>45961</v>
      </c>
      <c r="J233" s="6">
        <v>45964</v>
      </c>
      <c r="K233" s="5" t="s">
        <v>147</v>
      </c>
      <c r="L233" s="5" t="s">
        <v>148</v>
      </c>
      <c r="M233" s="5" t="s">
        <v>43</v>
      </c>
      <c r="N233" s="5" t="s">
        <v>149</v>
      </c>
      <c r="O233" s="7">
        <v>113</v>
      </c>
      <c r="P233" s="5" t="s">
        <v>45</v>
      </c>
      <c r="Q233" s="22"/>
      <c r="R233" s="8">
        <f t="shared" si="9"/>
        <v>113</v>
      </c>
      <c r="S233" s="7">
        <v>113</v>
      </c>
      <c r="T233" s="7"/>
      <c r="U233" s="7">
        <f t="shared" si="11"/>
        <v>113</v>
      </c>
      <c r="V233" s="5" t="s">
        <v>45</v>
      </c>
      <c r="W233" s="7">
        <v>33.25</v>
      </c>
      <c r="X233" s="5" t="s">
        <v>46</v>
      </c>
      <c r="Z233" s="8">
        <f t="shared" si="10"/>
        <v>33.25</v>
      </c>
    </row>
    <row r="234" spans="1:26" x14ac:dyDescent="0.25">
      <c r="A234" s="5" t="s">
        <v>34</v>
      </c>
      <c r="B234" s="5" t="s">
        <v>155</v>
      </c>
      <c r="C234" s="5" t="s">
        <v>156</v>
      </c>
      <c r="D234" s="5" t="s">
        <v>37</v>
      </c>
      <c r="E234" s="5" t="s">
        <v>110</v>
      </c>
      <c r="F234" s="5" t="s">
        <v>111</v>
      </c>
      <c r="G234" s="5" t="s">
        <v>40</v>
      </c>
      <c r="H234" s="6">
        <v>45961</v>
      </c>
      <c r="I234" s="6">
        <v>45961</v>
      </c>
      <c r="J234" s="6">
        <v>45964</v>
      </c>
      <c r="K234" s="5" t="s">
        <v>135</v>
      </c>
      <c r="L234" s="5" t="s">
        <v>136</v>
      </c>
      <c r="M234" s="5" t="s">
        <v>43</v>
      </c>
      <c r="N234" s="5" t="s">
        <v>137</v>
      </c>
      <c r="O234" s="7">
        <v>202.46</v>
      </c>
      <c r="P234" s="5" t="s">
        <v>45</v>
      </c>
      <c r="Q234" s="22"/>
      <c r="R234" s="8">
        <f t="shared" si="9"/>
        <v>202.46</v>
      </c>
      <c r="S234" s="7">
        <v>202.46</v>
      </c>
      <c r="T234" s="7"/>
      <c r="U234" s="7">
        <f t="shared" si="11"/>
        <v>202.46</v>
      </c>
      <c r="V234" s="5" t="s">
        <v>45</v>
      </c>
      <c r="W234" s="7">
        <v>59.58</v>
      </c>
      <c r="X234" s="5" t="s">
        <v>46</v>
      </c>
      <c r="Z234" s="8">
        <f t="shared" si="10"/>
        <v>59.58</v>
      </c>
    </row>
    <row r="235" spans="1:26" x14ac:dyDescent="0.25">
      <c r="A235" s="5" t="s">
        <v>34</v>
      </c>
      <c r="B235" s="5" t="s">
        <v>155</v>
      </c>
      <c r="C235" s="5" t="s">
        <v>156</v>
      </c>
      <c r="D235" s="5" t="s">
        <v>37</v>
      </c>
      <c r="E235" s="5" t="s">
        <v>102</v>
      </c>
      <c r="F235" s="5" t="s">
        <v>103</v>
      </c>
      <c r="G235" s="5" t="s">
        <v>40</v>
      </c>
      <c r="H235" s="6">
        <v>45961</v>
      </c>
      <c r="I235" s="6">
        <v>45961</v>
      </c>
      <c r="J235" s="6">
        <v>45964</v>
      </c>
      <c r="K235" s="5" t="s">
        <v>135</v>
      </c>
      <c r="L235" s="5" t="s">
        <v>136</v>
      </c>
      <c r="M235" s="5" t="s">
        <v>43</v>
      </c>
      <c r="N235" s="5" t="s">
        <v>137</v>
      </c>
      <c r="O235" s="7">
        <v>423.68</v>
      </c>
      <c r="P235" s="5" t="s">
        <v>45</v>
      </c>
      <c r="Q235" s="22"/>
      <c r="R235" s="8">
        <f t="shared" si="9"/>
        <v>423.68</v>
      </c>
      <c r="S235" s="7">
        <v>423.68</v>
      </c>
      <c r="T235" s="7"/>
      <c r="U235" s="7">
        <f t="shared" si="11"/>
        <v>423.68</v>
      </c>
      <c r="V235" s="5" t="s">
        <v>45</v>
      </c>
      <c r="W235" s="7">
        <v>124.69</v>
      </c>
      <c r="X235" s="5" t="s">
        <v>46</v>
      </c>
      <c r="Z235" s="8">
        <f t="shared" si="10"/>
        <v>124.69</v>
      </c>
    </row>
    <row r="236" spans="1:26" x14ac:dyDescent="0.25">
      <c r="A236" s="5" t="s">
        <v>34</v>
      </c>
      <c r="B236" s="5" t="s">
        <v>155</v>
      </c>
      <c r="C236" s="5" t="s">
        <v>156</v>
      </c>
      <c r="D236" s="5" t="s">
        <v>37</v>
      </c>
      <c r="E236" s="5" t="s">
        <v>68</v>
      </c>
      <c r="F236" s="5" t="s">
        <v>69</v>
      </c>
      <c r="G236" s="5" t="s">
        <v>40</v>
      </c>
      <c r="H236" s="6">
        <v>45961</v>
      </c>
      <c r="I236" s="6">
        <v>45961</v>
      </c>
      <c r="J236" s="6">
        <v>45964</v>
      </c>
      <c r="K236" s="5" t="s">
        <v>135</v>
      </c>
      <c r="L236" s="5" t="s">
        <v>136</v>
      </c>
      <c r="M236" s="5" t="s">
        <v>43</v>
      </c>
      <c r="N236" s="5" t="s">
        <v>137</v>
      </c>
      <c r="O236" s="7">
        <v>228.22</v>
      </c>
      <c r="P236" s="5" t="s">
        <v>45</v>
      </c>
      <c r="Q236" s="22"/>
      <c r="R236" s="8">
        <f t="shared" si="9"/>
        <v>228.22</v>
      </c>
      <c r="S236" s="7">
        <v>228.22</v>
      </c>
      <c r="T236" s="7"/>
      <c r="U236" s="7">
        <f t="shared" si="11"/>
        <v>228.22</v>
      </c>
      <c r="V236" s="5" t="s">
        <v>45</v>
      </c>
      <c r="W236" s="7">
        <v>67.16</v>
      </c>
      <c r="X236" s="5" t="s">
        <v>46</v>
      </c>
      <c r="Z236" s="8">
        <f t="shared" si="10"/>
        <v>67.16</v>
      </c>
    </row>
    <row r="237" spans="1:26" x14ac:dyDescent="0.25">
      <c r="A237" s="5" t="s">
        <v>34</v>
      </c>
      <c r="B237" s="5" t="s">
        <v>155</v>
      </c>
      <c r="C237" s="5" t="s">
        <v>156</v>
      </c>
      <c r="D237" s="5" t="s">
        <v>37</v>
      </c>
      <c r="E237" s="5" t="s">
        <v>78</v>
      </c>
      <c r="F237" s="5" t="s">
        <v>79</v>
      </c>
      <c r="G237" s="5" t="s">
        <v>40</v>
      </c>
      <c r="H237" s="6">
        <v>45961</v>
      </c>
      <c r="I237" s="6">
        <v>45961</v>
      </c>
      <c r="J237" s="6">
        <v>45964</v>
      </c>
      <c r="K237" s="5" t="s">
        <v>135</v>
      </c>
      <c r="L237" s="5" t="s">
        <v>136</v>
      </c>
      <c r="M237" s="5" t="s">
        <v>43</v>
      </c>
      <c r="N237" s="5" t="s">
        <v>137</v>
      </c>
      <c r="O237" s="7">
        <v>19950.43</v>
      </c>
      <c r="P237" s="5" t="s">
        <v>45</v>
      </c>
      <c r="Q237" s="22"/>
      <c r="R237" s="8">
        <f t="shared" si="9"/>
        <v>19950.43</v>
      </c>
      <c r="S237" s="7">
        <v>19950.43</v>
      </c>
      <c r="T237" s="7"/>
      <c r="U237" s="7">
        <f t="shared" si="11"/>
        <v>19950.43</v>
      </c>
      <c r="V237" s="5" t="s">
        <v>45</v>
      </c>
      <c r="W237" s="7">
        <v>5871.23</v>
      </c>
      <c r="X237" s="5" t="s">
        <v>46</v>
      </c>
      <c r="Z237" s="8">
        <f t="shared" si="10"/>
        <v>5871.23</v>
      </c>
    </row>
    <row r="238" spans="1:26" x14ac:dyDescent="0.25">
      <c r="A238" s="5" t="s">
        <v>34</v>
      </c>
      <c r="B238" s="5" t="s">
        <v>157</v>
      </c>
      <c r="C238" s="5" t="s">
        <v>158</v>
      </c>
      <c r="D238" s="5" t="s">
        <v>37</v>
      </c>
      <c r="E238" s="5" t="s">
        <v>62</v>
      </c>
      <c r="F238" s="5" t="s">
        <v>63</v>
      </c>
      <c r="G238" s="5" t="s">
        <v>40</v>
      </c>
      <c r="H238" s="6">
        <v>45961</v>
      </c>
      <c r="I238" s="6">
        <v>45961</v>
      </c>
      <c r="J238" s="6">
        <v>45964</v>
      </c>
      <c r="K238" s="5" t="s">
        <v>135</v>
      </c>
      <c r="L238" s="5" t="s">
        <v>136</v>
      </c>
      <c r="M238" s="5" t="s">
        <v>43</v>
      </c>
      <c r="N238" s="5" t="s">
        <v>137</v>
      </c>
      <c r="O238" s="7">
        <v>4424.3900000000003</v>
      </c>
      <c r="P238" s="5" t="s">
        <v>45</v>
      </c>
      <c r="Q238" s="22"/>
      <c r="R238" s="8">
        <f t="shared" si="9"/>
        <v>4424.3900000000003</v>
      </c>
      <c r="S238" s="7">
        <v>4424.3900000000003</v>
      </c>
      <c r="T238" s="7"/>
      <c r="U238" s="7">
        <f t="shared" si="11"/>
        <v>4424.3900000000003</v>
      </c>
      <c r="V238" s="5" t="s">
        <v>45</v>
      </c>
      <c r="W238" s="7">
        <v>1302.06</v>
      </c>
      <c r="X238" s="5" t="s">
        <v>46</v>
      </c>
      <c r="Z238" s="8">
        <f t="shared" si="10"/>
        <v>1302.06</v>
      </c>
    </row>
    <row r="239" spans="1:26" x14ac:dyDescent="0.25">
      <c r="A239" s="5" t="s">
        <v>34</v>
      </c>
      <c r="B239" s="5" t="s">
        <v>157</v>
      </c>
      <c r="C239" s="5" t="s">
        <v>158</v>
      </c>
      <c r="D239" s="5" t="s">
        <v>37</v>
      </c>
      <c r="E239" s="5" t="s">
        <v>82</v>
      </c>
      <c r="F239" s="5" t="s">
        <v>83</v>
      </c>
      <c r="G239" s="5" t="s">
        <v>40</v>
      </c>
      <c r="H239" s="6">
        <v>45961</v>
      </c>
      <c r="I239" s="6">
        <v>45961</v>
      </c>
      <c r="J239" s="6">
        <v>45964</v>
      </c>
      <c r="K239" s="5" t="s">
        <v>135</v>
      </c>
      <c r="L239" s="5" t="s">
        <v>136</v>
      </c>
      <c r="M239" s="5" t="s">
        <v>43</v>
      </c>
      <c r="N239" s="5" t="s">
        <v>137</v>
      </c>
      <c r="O239" s="7">
        <v>5751.44</v>
      </c>
      <c r="P239" s="5" t="s">
        <v>45</v>
      </c>
      <c r="Q239" s="22"/>
      <c r="R239" s="8">
        <f t="shared" si="9"/>
        <v>5751.44</v>
      </c>
      <c r="S239" s="7">
        <v>5751.44</v>
      </c>
      <c r="T239" s="7"/>
      <c r="U239" s="7">
        <f t="shared" si="11"/>
        <v>5751.44</v>
      </c>
      <c r="V239" s="5" t="s">
        <v>45</v>
      </c>
      <c r="W239" s="7">
        <v>1692.6</v>
      </c>
      <c r="X239" s="5" t="s">
        <v>46</v>
      </c>
      <c r="Z239" s="8">
        <f t="shared" si="10"/>
        <v>1692.6</v>
      </c>
    </row>
    <row r="240" spans="1:26" x14ac:dyDescent="0.25">
      <c r="A240" s="5" t="s">
        <v>34</v>
      </c>
      <c r="B240" s="5" t="s">
        <v>157</v>
      </c>
      <c r="C240" s="5" t="s">
        <v>158</v>
      </c>
      <c r="D240" s="5" t="s">
        <v>37</v>
      </c>
      <c r="E240" s="5" t="s">
        <v>110</v>
      </c>
      <c r="F240" s="5" t="s">
        <v>111</v>
      </c>
      <c r="G240" s="5" t="s">
        <v>40</v>
      </c>
      <c r="H240" s="6">
        <v>45961</v>
      </c>
      <c r="I240" s="6">
        <v>45961</v>
      </c>
      <c r="J240" s="6">
        <v>45964</v>
      </c>
      <c r="K240" s="5" t="s">
        <v>135</v>
      </c>
      <c r="L240" s="5" t="s">
        <v>136</v>
      </c>
      <c r="M240" s="5" t="s">
        <v>43</v>
      </c>
      <c r="N240" s="5" t="s">
        <v>137</v>
      </c>
      <c r="O240" s="7">
        <v>10343.81</v>
      </c>
      <c r="P240" s="5" t="s">
        <v>45</v>
      </c>
      <c r="Q240" s="22"/>
      <c r="R240" s="8">
        <f t="shared" si="9"/>
        <v>10343.81</v>
      </c>
      <c r="S240" s="7">
        <v>10343.81</v>
      </c>
      <c r="T240" s="7"/>
      <c r="U240" s="7">
        <f t="shared" si="11"/>
        <v>10343.81</v>
      </c>
      <c r="V240" s="5" t="s">
        <v>45</v>
      </c>
      <c r="W240" s="7">
        <v>3044.09</v>
      </c>
      <c r="X240" s="5" t="s">
        <v>46</v>
      </c>
      <c r="Z240" s="8">
        <f t="shared" si="10"/>
        <v>3044.09</v>
      </c>
    </row>
    <row r="241" spans="1:26" x14ac:dyDescent="0.25">
      <c r="A241" s="5" t="s">
        <v>34</v>
      </c>
      <c r="B241" s="5" t="s">
        <v>157</v>
      </c>
      <c r="C241" s="5" t="s">
        <v>158</v>
      </c>
      <c r="D241" s="5" t="s">
        <v>37</v>
      </c>
      <c r="E241" s="5" t="s">
        <v>122</v>
      </c>
      <c r="F241" s="5" t="s">
        <v>123</v>
      </c>
      <c r="G241" s="5" t="s">
        <v>40</v>
      </c>
      <c r="H241" s="6">
        <v>45961</v>
      </c>
      <c r="I241" s="6">
        <v>45961</v>
      </c>
      <c r="J241" s="6">
        <v>45964</v>
      </c>
      <c r="K241" s="5" t="s">
        <v>135</v>
      </c>
      <c r="L241" s="5" t="s">
        <v>136</v>
      </c>
      <c r="M241" s="5" t="s">
        <v>43</v>
      </c>
      <c r="N241" s="5" t="s">
        <v>137</v>
      </c>
      <c r="O241" s="7">
        <v>112.87</v>
      </c>
      <c r="P241" s="5" t="s">
        <v>45</v>
      </c>
      <c r="Q241" s="22"/>
      <c r="R241" s="8">
        <f t="shared" si="9"/>
        <v>112.87</v>
      </c>
      <c r="S241" s="7">
        <v>112.87</v>
      </c>
      <c r="T241" s="7"/>
      <c r="U241" s="7">
        <f t="shared" si="11"/>
        <v>112.87</v>
      </c>
      <c r="V241" s="5" t="s">
        <v>45</v>
      </c>
      <c r="W241" s="7">
        <v>33.22</v>
      </c>
      <c r="X241" s="5" t="s">
        <v>46</v>
      </c>
      <c r="Z241" s="8">
        <f t="shared" si="10"/>
        <v>33.22</v>
      </c>
    </row>
    <row r="242" spans="1:26" x14ac:dyDescent="0.25">
      <c r="A242" s="5" t="s">
        <v>34</v>
      </c>
      <c r="B242" s="5" t="s">
        <v>157</v>
      </c>
      <c r="C242" s="5" t="s">
        <v>158</v>
      </c>
      <c r="D242" s="5" t="s">
        <v>37</v>
      </c>
      <c r="E242" s="5" t="s">
        <v>60</v>
      </c>
      <c r="F242" s="5" t="s">
        <v>61</v>
      </c>
      <c r="G242" s="5" t="s">
        <v>40</v>
      </c>
      <c r="H242" s="6">
        <v>45961</v>
      </c>
      <c r="I242" s="6">
        <v>45961</v>
      </c>
      <c r="J242" s="6">
        <v>45964</v>
      </c>
      <c r="K242" s="5" t="s">
        <v>135</v>
      </c>
      <c r="L242" s="5" t="s">
        <v>136</v>
      </c>
      <c r="M242" s="5" t="s">
        <v>43</v>
      </c>
      <c r="N242" s="5" t="s">
        <v>137</v>
      </c>
      <c r="O242" s="7">
        <v>17649.3</v>
      </c>
      <c r="P242" s="5" t="s">
        <v>45</v>
      </c>
      <c r="Q242" s="22"/>
      <c r="R242" s="8">
        <f t="shared" si="9"/>
        <v>17649.3</v>
      </c>
      <c r="S242" s="7">
        <v>17649.3</v>
      </c>
      <c r="T242" s="7"/>
      <c r="U242" s="7">
        <f t="shared" si="11"/>
        <v>17649.3</v>
      </c>
      <c r="V242" s="5" t="s">
        <v>45</v>
      </c>
      <c r="W242" s="7">
        <v>5194.03</v>
      </c>
      <c r="X242" s="5" t="s">
        <v>46</v>
      </c>
      <c r="Z242" s="8">
        <f t="shared" si="10"/>
        <v>5194.03</v>
      </c>
    </row>
    <row r="243" spans="1:26" x14ac:dyDescent="0.25">
      <c r="A243" s="5" t="s">
        <v>34</v>
      </c>
      <c r="B243" s="5" t="s">
        <v>157</v>
      </c>
      <c r="C243" s="5" t="s">
        <v>158</v>
      </c>
      <c r="D243" s="5" t="s">
        <v>37</v>
      </c>
      <c r="E243" s="5" t="s">
        <v>70</v>
      </c>
      <c r="F243" s="5" t="s">
        <v>71</v>
      </c>
      <c r="G243" s="5" t="s">
        <v>40</v>
      </c>
      <c r="H243" s="6">
        <v>45961</v>
      </c>
      <c r="I243" s="6">
        <v>45961</v>
      </c>
      <c r="J243" s="6">
        <v>45964</v>
      </c>
      <c r="K243" s="5" t="s">
        <v>135</v>
      </c>
      <c r="L243" s="5" t="s">
        <v>136</v>
      </c>
      <c r="M243" s="5" t="s">
        <v>43</v>
      </c>
      <c r="N243" s="5" t="s">
        <v>137</v>
      </c>
      <c r="O243" s="7">
        <v>840.23</v>
      </c>
      <c r="P243" s="5" t="s">
        <v>45</v>
      </c>
      <c r="Q243" s="22"/>
      <c r="R243" s="8">
        <f t="shared" si="9"/>
        <v>840.23</v>
      </c>
      <c r="S243" s="7">
        <v>840.23</v>
      </c>
      <c r="T243" s="7"/>
      <c r="U243" s="7">
        <f t="shared" si="11"/>
        <v>840.23</v>
      </c>
      <c r="V243" s="5" t="s">
        <v>45</v>
      </c>
      <c r="W243" s="7">
        <v>247.27</v>
      </c>
      <c r="X243" s="5" t="s">
        <v>46</v>
      </c>
      <c r="Z243" s="8">
        <f t="shared" si="10"/>
        <v>247.27</v>
      </c>
    </row>
    <row r="244" spans="1:26" x14ac:dyDescent="0.25">
      <c r="A244" s="5" t="s">
        <v>34</v>
      </c>
      <c r="B244" s="5" t="s">
        <v>157</v>
      </c>
      <c r="C244" s="5" t="s">
        <v>158</v>
      </c>
      <c r="D244" s="5" t="s">
        <v>37</v>
      </c>
      <c r="E244" s="5" t="s">
        <v>96</v>
      </c>
      <c r="F244" s="5" t="s">
        <v>97</v>
      </c>
      <c r="G244" s="5" t="s">
        <v>40</v>
      </c>
      <c r="H244" s="6">
        <v>45961</v>
      </c>
      <c r="I244" s="6">
        <v>45961</v>
      </c>
      <c r="J244" s="6">
        <v>45964</v>
      </c>
      <c r="K244" s="5" t="s">
        <v>135</v>
      </c>
      <c r="L244" s="5" t="s">
        <v>136</v>
      </c>
      <c r="M244" s="5" t="s">
        <v>43</v>
      </c>
      <c r="N244" s="5" t="s">
        <v>137</v>
      </c>
      <c r="O244" s="7">
        <v>6971.03</v>
      </c>
      <c r="P244" s="5" t="s">
        <v>45</v>
      </c>
      <c r="Q244" s="22"/>
      <c r="R244" s="8">
        <f t="shared" si="9"/>
        <v>6971.03</v>
      </c>
      <c r="S244" s="7">
        <v>6971.03</v>
      </c>
      <c r="T244" s="7"/>
      <c r="U244" s="7">
        <f t="shared" si="11"/>
        <v>6971.03</v>
      </c>
      <c r="V244" s="5" t="s">
        <v>45</v>
      </c>
      <c r="W244" s="7">
        <v>2051.5100000000002</v>
      </c>
      <c r="X244" s="5" t="s">
        <v>46</v>
      </c>
      <c r="Z244" s="8">
        <f t="shared" si="10"/>
        <v>2051.5100000000002</v>
      </c>
    </row>
    <row r="245" spans="1:26" x14ac:dyDescent="0.25">
      <c r="A245" s="5" t="s">
        <v>34</v>
      </c>
      <c r="B245" s="5" t="s">
        <v>157</v>
      </c>
      <c r="C245" s="5" t="s">
        <v>158</v>
      </c>
      <c r="D245" s="5" t="s">
        <v>37</v>
      </c>
      <c r="E245" s="5" t="s">
        <v>118</v>
      </c>
      <c r="F245" s="5" t="s">
        <v>119</v>
      </c>
      <c r="G245" s="5" t="s">
        <v>40</v>
      </c>
      <c r="H245" s="6">
        <v>45961</v>
      </c>
      <c r="I245" s="6">
        <v>45961</v>
      </c>
      <c r="J245" s="6">
        <v>45964</v>
      </c>
      <c r="K245" s="5" t="s">
        <v>135</v>
      </c>
      <c r="L245" s="5" t="s">
        <v>136</v>
      </c>
      <c r="M245" s="5" t="s">
        <v>43</v>
      </c>
      <c r="N245" s="5" t="s">
        <v>137</v>
      </c>
      <c r="O245" s="7">
        <v>472.15</v>
      </c>
      <c r="P245" s="5" t="s">
        <v>45</v>
      </c>
      <c r="Q245" s="22"/>
      <c r="R245" s="8">
        <f t="shared" si="9"/>
        <v>472.15</v>
      </c>
      <c r="S245" s="7">
        <v>472.15</v>
      </c>
      <c r="T245" s="7"/>
      <c r="U245" s="7">
        <f t="shared" si="11"/>
        <v>472.15</v>
      </c>
      <c r="V245" s="5" t="s">
        <v>45</v>
      </c>
      <c r="W245" s="7">
        <v>138.94999999999999</v>
      </c>
      <c r="X245" s="5" t="s">
        <v>46</v>
      </c>
      <c r="Z245" s="8">
        <f t="shared" si="10"/>
        <v>138.94999999999999</v>
      </c>
    </row>
    <row r="246" spans="1:26" x14ac:dyDescent="0.25">
      <c r="A246" s="5" t="s">
        <v>34</v>
      </c>
      <c r="B246" s="5" t="s">
        <v>157</v>
      </c>
      <c r="C246" s="5" t="s">
        <v>158</v>
      </c>
      <c r="D246" s="5" t="s">
        <v>37</v>
      </c>
      <c r="E246" s="5" t="s">
        <v>116</v>
      </c>
      <c r="F246" s="5" t="s">
        <v>117</v>
      </c>
      <c r="G246" s="5" t="s">
        <v>40</v>
      </c>
      <c r="H246" s="6">
        <v>45961</v>
      </c>
      <c r="I246" s="6">
        <v>45961</v>
      </c>
      <c r="J246" s="6">
        <v>45964</v>
      </c>
      <c r="K246" s="5" t="s">
        <v>135</v>
      </c>
      <c r="L246" s="5" t="s">
        <v>136</v>
      </c>
      <c r="M246" s="5" t="s">
        <v>43</v>
      </c>
      <c r="N246" s="5" t="s">
        <v>137</v>
      </c>
      <c r="O246" s="7">
        <v>2599.1799999999998</v>
      </c>
      <c r="P246" s="5" t="s">
        <v>45</v>
      </c>
      <c r="Q246" s="22"/>
      <c r="R246" s="8">
        <f t="shared" si="9"/>
        <v>2599.1799999999998</v>
      </c>
      <c r="S246" s="7">
        <v>2599.1799999999998</v>
      </c>
      <c r="T246" s="7"/>
      <c r="U246" s="7">
        <f t="shared" si="11"/>
        <v>2599.1799999999998</v>
      </c>
      <c r="V246" s="5" t="s">
        <v>45</v>
      </c>
      <c r="W246" s="7">
        <v>764.91</v>
      </c>
      <c r="X246" s="5" t="s">
        <v>46</v>
      </c>
      <c r="Z246" s="8">
        <f t="shared" si="10"/>
        <v>764.91</v>
      </c>
    </row>
    <row r="247" spans="1:26" x14ac:dyDescent="0.25">
      <c r="A247" s="5" t="s">
        <v>34</v>
      </c>
      <c r="B247" s="5" t="s">
        <v>157</v>
      </c>
      <c r="C247" s="5" t="s">
        <v>158</v>
      </c>
      <c r="D247" s="5" t="s">
        <v>37</v>
      </c>
      <c r="E247" s="5" t="s">
        <v>68</v>
      </c>
      <c r="F247" s="5" t="s">
        <v>69</v>
      </c>
      <c r="G247" s="5" t="s">
        <v>40</v>
      </c>
      <c r="H247" s="6">
        <v>45961</v>
      </c>
      <c r="I247" s="6">
        <v>45961</v>
      </c>
      <c r="J247" s="6">
        <v>45964</v>
      </c>
      <c r="K247" s="5" t="s">
        <v>135</v>
      </c>
      <c r="L247" s="5" t="s">
        <v>136</v>
      </c>
      <c r="M247" s="5" t="s">
        <v>43</v>
      </c>
      <c r="N247" s="5" t="s">
        <v>137</v>
      </c>
      <c r="O247" s="7">
        <v>2243.59</v>
      </c>
      <c r="P247" s="5" t="s">
        <v>45</v>
      </c>
      <c r="Q247" s="22"/>
      <c r="R247" s="8">
        <f t="shared" si="9"/>
        <v>2243.59</v>
      </c>
      <c r="S247" s="7">
        <v>2243.59</v>
      </c>
      <c r="T247" s="7"/>
      <c r="U247" s="7">
        <f t="shared" si="11"/>
        <v>2243.59</v>
      </c>
      <c r="V247" s="5" t="s">
        <v>45</v>
      </c>
      <c r="W247" s="7">
        <v>660.27</v>
      </c>
      <c r="X247" s="5" t="s">
        <v>46</v>
      </c>
      <c r="Z247" s="8">
        <f t="shared" si="10"/>
        <v>660.27</v>
      </c>
    </row>
    <row r="248" spans="1:26" x14ac:dyDescent="0.25">
      <c r="A248" s="5" t="s">
        <v>34</v>
      </c>
      <c r="B248" s="5" t="s">
        <v>157</v>
      </c>
      <c r="C248" s="5" t="s">
        <v>158</v>
      </c>
      <c r="D248" s="5" t="s">
        <v>37</v>
      </c>
      <c r="E248" s="5" t="s">
        <v>86</v>
      </c>
      <c r="F248" s="5" t="s">
        <v>87</v>
      </c>
      <c r="G248" s="5" t="s">
        <v>40</v>
      </c>
      <c r="H248" s="6">
        <v>45961</v>
      </c>
      <c r="I248" s="6">
        <v>45961</v>
      </c>
      <c r="J248" s="6">
        <v>45964</v>
      </c>
      <c r="K248" s="5" t="s">
        <v>135</v>
      </c>
      <c r="L248" s="5" t="s">
        <v>136</v>
      </c>
      <c r="M248" s="5" t="s">
        <v>43</v>
      </c>
      <c r="N248" s="5" t="s">
        <v>137</v>
      </c>
      <c r="O248" s="7">
        <v>5807.77</v>
      </c>
      <c r="P248" s="5" t="s">
        <v>45</v>
      </c>
      <c r="Q248" s="22"/>
      <c r="R248" s="8">
        <f t="shared" si="9"/>
        <v>5807.77</v>
      </c>
      <c r="S248" s="7">
        <v>5807.77</v>
      </c>
      <c r="T248" s="7"/>
      <c r="U248" s="7">
        <f t="shared" si="11"/>
        <v>5807.77</v>
      </c>
      <c r="V248" s="5" t="s">
        <v>45</v>
      </c>
      <c r="W248" s="7">
        <v>1709.17</v>
      </c>
      <c r="X248" s="5" t="s">
        <v>46</v>
      </c>
      <c r="Z248" s="8">
        <f t="shared" si="10"/>
        <v>1709.17</v>
      </c>
    </row>
    <row r="249" spans="1:26" x14ac:dyDescent="0.25">
      <c r="A249" s="5" t="s">
        <v>34</v>
      </c>
      <c r="B249" s="5" t="s">
        <v>157</v>
      </c>
      <c r="C249" s="5" t="s">
        <v>158</v>
      </c>
      <c r="D249" s="5" t="s">
        <v>37</v>
      </c>
      <c r="E249" s="5" t="s">
        <v>78</v>
      </c>
      <c r="F249" s="5" t="s">
        <v>79</v>
      </c>
      <c r="G249" s="5" t="s">
        <v>40</v>
      </c>
      <c r="H249" s="6">
        <v>45961</v>
      </c>
      <c r="I249" s="6">
        <v>45961</v>
      </c>
      <c r="J249" s="6">
        <v>45964</v>
      </c>
      <c r="K249" s="5" t="s">
        <v>135</v>
      </c>
      <c r="L249" s="5" t="s">
        <v>136</v>
      </c>
      <c r="M249" s="5" t="s">
        <v>43</v>
      </c>
      <c r="N249" s="5" t="s">
        <v>137</v>
      </c>
      <c r="O249" s="7">
        <v>5018.28</v>
      </c>
      <c r="P249" s="5" t="s">
        <v>45</v>
      </c>
      <c r="Q249" s="22"/>
      <c r="R249" s="8">
        <f t="shared" si="9"/>
        <v>5018.28</v>
      </c>
      <c r="S249" s="7">
        <v>5018.28</v>
      </c>
      <c r="T249" s="7"/>
      <c r="U249" s="7">
        <f t="shared" si="11"/>
        <v>5018.28</v>
      </c>
      <c r="V249" s="5" t="s">
        <v>45</v>
      </c>
      <c r="W249" s="7">
        <v>1476.83</v>
      </c>
      <c r="X249" s="5" t="s">
        <v>46</v>
      </c>
      <c r="Z249" s="8">
        <f t="shared" si="10"/>
        <v>1476.83</v>
      </c>
    </row>
    <row r="250" spans="1:26" x14ac:dyDescent="0.25">
      <c r="A250" s="5" t="s">
        <v>34</v>
      </c>
      <c r="B250" s="5" t="s">
        <v>157</v>
      </c>
      <c r="C250" s="5" t="s">
        <v>158</v>
      </c>
      <c r="D250" s="5" t="s">
        <v>37</v>
      </c>
      <c r="E250" s="5" t="s">
        <v>98</v>
      </c>
      <c r="F250" s="5" t="s">
        <v>99</v>
      </c>
      <c r="G250" s="5" t="s">
        <v>40</v>
      </c>
      <c r="H250" s="6">
        <v>45961</v>
      </c>
      <c r="I250" s="6">
        <v>45961</v>
      </c>
      <c r="J250" s="6">
        <v>45964</v>
      </c>
      <c r="K250" s="5" t="s">
        <v>135</v>
      </c>
      <c r="L250" s="5" t="s">
        <v>136</v>
      </c>
      <c r="M250" s="5" t="s">
        <v>43</v>
      </c>
      <c r="N250" s="5" t="s">
        <v>137</v>
      </c>
      <c r="O250" s="7">
        <v>122.2</v>
      </c>
      <c r="P250" s="5" t="s">
        <v>45</v>
      </c>
      <c r="Q250" s="22"/>
      <c r="R250" s="8">
        <f t="shared" si="9"/>
        <v>122.2</v>
      </c>
      <c r="S250" s="7">
        <v>122.2</v>
      </c>
      <c r="T250" s="7"/>
      <c r="U250" s="7">
        <f t="shared" si="11"/>
        <v>122.2</v>
      </c>
      <c r="V250" s="5" t="s">
        <v>45</v>
      </c>
      <c r="W250" s="7">
        <v>35.96</v>
      </c>
      <c r="X250" s="5" t="s">
        <v>46</v>
      </c>
      <c r="Z250" s="8">
        <f t="shared" si="10"/>
        <v>35.96</v>
      </c>
    </row>
    <row r="251" spans="1:26" x14ac:dyDescent="0.25">
      <c r="A251" s="5" t="s">
        <v>34</v>
      </c>
      <c r="B251" s="5" t="s">
        <v>157</v>
      </c>
      <c r="C251" s="5" t="s">
        <v>158</v>
      </c>
      <c r="D251" s="5" t="s">
        <v>37</v>
      </c>
      <c r="E251" s="5" t="s">
        <v>138</v>
      </c>
      <c r="F251" s="5" t="s">
        <v>139</v>
      </c>
      <c r="G251" s="5" t="s">
        <v>40</v>
      </c>
      <c r="H251" s="6">
        <v>45961</v>
      </c>
      <c r="I251" s="6">
        <v>45961</v>
      </c>
      <c r="J251" s="6">
        <v>45964</v>
      </c>
      <c r="K251" s="5" t="s">
        <v>135</v>
      </c>
      <c r="L251" s="5" t="s">
        <v>136</v>
      </c>
      <c r="M251" s="5" t="s">
        <v>43</v>
      </c>
      <c r="N251" s="5" t="s">
        <v>137</v>
      </c>
      <c r="O251" s="7">
        <v>1254.8399999999999</v>
      </c>
      <c r="P251" s="5" t="s">
        <v>45</v>
      </c>
      <c r="Q251" s="22"/>
      <c r="R251" s="8">
        <f t="shared" si="9"/>
        <v>1254.8399999999999</v>
      </c>
      <c r="S251" s="7">
        <v>1254.8399999999999</v>
      </c>
      <c r="T251" s="7"/>
      <c r="U251" s="7">
        <f t="shared" si="11"/>
        <v>1254.8399999999999</v>
      </c>
      <c r="V251" s="5" t="s">
        <v>45</v>
      </c>
      <c r="W251" s="7">
        <v>369.29</v>
      </c>
      <c r="X251" s="5" t="s">
        <v>46</v>
      </c>
      <c r="Z251" s="8">
        <f t="shared" si="10"/>
        <v>369.29</v>
      </c>
    </row>
    <row r="252" spans="1:26" x14ac:dyDescent="0.25">
      <c r="A252" s="5" t="s">
        <v>34</v>
      </c>
      <c r="B252" s="5" t="s">
        <v>157</v>
      </c>
      <c r="C252" s="5" t="s">
        <v>158</v>
      </c>
      <c r="D252" s="5" t="s">
        <v>37</v>
      </c>
      <c r="E252" s="5" t="s">
        <v>84</v>
      </c>
      <c r="F252" s="5" t="s">
        <v>85</v>
      </c>
      <c r="G252" s="5" t="s">
        <v>40</v>
      </c>
      <c r="H252" s="6">
        <v>45961</v>
      </c>
      <c r="I252" s="6">
        <v>45961</v>
      </c>
      <c r="J252" s="6">
        <v>45964</v>
      </c>
      <c r="K252" s="5" t="s">
        <v>135</v>
      </c>
      <c r="L252" s="5" t="s">
        <v>136</v>
      </c>
      <c r="M252" s="5" t="s">
        <v>43</v>
      </c>
      <c r="N252" s="5" t="s">
        <v>137</v>
      </c>
      <c r="O252" s="7">
        <v>788.33</v>
      </c>
      <c r="P252" s="5" t="s">
        <v>45</v>
      </c>
      <c r="Q252" s="22"/>
      <c r="R252" s="8">
        <f t="shared" si="9"/>
        <v>788.33</v>
      </c>
      <c r="S252" s="7">
        <v>788.33</v>
      </c>
      <c r="T252" s="7"/>
      <c r="U252" s="7">
        <f t="shared" si="11"/>
        <v>788.33</v>
      </c>
      <c r="V252" s="5" t="s">
        <v>45</v>
      </c>
      <c r="W252" s="7">
        <v>232</v>
      </c>
      <c r="X252" s="5" t="s">
        <v>46</v>
      </c>
      <c r="Z252" s="8">
        <f t="shared" si="10"/>
        <v>232</v>
      </c>
    </row>
    <row r="253" spans="1:26" x14ac:dyDescent="0.25">
      <c r="A253" s="5" t="s">
        <v>34</v>
      </c>
      <c r="B253" s="5" t="s">
        <v>157</v>
      </c>
      <c r="C253" s="5" t="s">
        <v>158</v>
      </c>
      <c r="D253" s="5" t="s">
        <v>37</v>
      </c>
      <c r="E253" s="5" t="s">
        <v>104</v>
      </c>
      <c r="F253" s="5" t="s">
        <v>105</v>
      </c>
      <c r="G253" s="5" t="s">
        <v>40</v>
      </c>
      <c r="H253" s="6">
        <v>45961</v>
      </c>
      <c r="I253" s="6">
        <v>45961</v>
      </c>
      <c r="J253" s="6">
        <v>45964</v>
      </c>
      <c r="K253" s="5" t="s">
        <v>135</v>
      </c>
      <c r="L253" s="5" t="s">
        <v>136</v>
      </c>
      <c r="M253" s="5" t="s">
        <v>43</v>
      </c>
      <c r="N253" s="5" t="s">
        <v>137</v>
      </c>
      <c r="O253" s="7">
        <v>2894.93</v>
      </c>
      <c r="P253" s="5" t="s">
        <v>45</v>
      </c>
      <c r="Q253" s="22"/>
      <c r="R253" s="8">
        <f t="shared" si="9"/>
        <v>2894.93</v>
      </c>
      <c r="S253" s="7">
        <v>2894.93</v>
      </c>
      <c r="T253" s="7"/>
      <c r="U253" s="7">
        <f t="shared" si="11"/>
        <v>2894.93</v>
      </c>
      <c r="V253" s="5" t="s">
        <v>45</v>
      </c>
      <c r="W253" s="7">
        <v>851.95</v>
      </c>
      <c r="X253" s="5" t="s">
        <v>46</v>
      </c>
      <c r="Z253" s="8">
        <f t="shared" si="10"/>
        <v>851.95</v>
      </c>
    </row>
    <row r="254" spans="1:26" x14ac:dyDescent="0.25">
      <c r="A254" s="5" t="s">
        <v>34</v>
      </c>
      <c r="B254" s="5" t="s">
        <v>157</v>
      </c>
      <c r="C254" s="5" t="s">
        <v>158</v>
      </c>
      <c r="D254" s="5" t="s">
        <v>37</v>
      </c>
      <c r="E254" s="5" t="s">
        <v>74</v>
      </c>
      <c r="F254" s="5" t="s">
        <v>75</v>
      </c>
      <c r="G254" s="5" t="s">
        <v>40</v>
      </c>
      <c r="H254" s="6">
        <v>45961</v>
      </c>
      <c r="I254" s="6">
        <v>45961</v>
      </c>
      <c r="J254" s="6">
        <v>45964</v>
      </c>
      <c r="K254" s="5" t="s">
        <v>135</v>
      </c>
      <c r="L254" s="5" t="s">
        <v>136</v>
      </c>
      <c r="M254" s="5" t="s">
        <v>43</v>
      </c>
      <c r="N254" s="5" t="s">
        <v>137</v>
      </c>
      <c r="O254" s="7">
        <v>26234.63</v>
      </c>
      <c r="P254" s="5" t="s">
        <v>45</v>
      </c>
      <c r="Q254" s="22"/>
      <c r="R254" s="8">
        <f t="shared" si="9"/>
        <v>26234.63</v>
      </c>
      <c r="S254" s="7">
        <v>26234.63</v>
      </c>
      <c r="T254" s="7"/>
      <c r="U254" s="7">
        <f t="shared" si="11"/>
        <v>26234.63</v>
      </c>
      <c r="V254" s="5" t="s">
        <v>45</v>
      </c>
      <c r="W254" s="7">
        <v>7720.61</v>
      </c>
      <c r="X254" s="5" t="s">
        <v>46</v>
      </c>
      <c r="Z254" s="8">
        <f t="shared" si="10"/>
        <v>7720.61</v>
      </c>
    </row>
    <row r="255" spans="1:26" x14ac:dyDescent="0.25">
      <c r="A255" s="5" t="s">
        <v>34</v>
      </c>
      <c r="B255" s="5" t="s">
        <v>157</v>
      </c>
      <c r="C255" s="5" t="s">
        <v>158</v>
      </c>
      <c r="D255" s="5" t="s">
        <v>37</v>
      </c>
      <c r="E255" s="5" t="s">
        <v>102</v>
      </c>
      <c r="F255" s="5" t="s">
        <v>103</v>
      </c>
      <c r="G255" s="5" t="s">
        <v>40</v>
      </c>
      <c r="H255" s="6">
        <v>45961</v>
      </c>
      <c r="I255" s="6">
        <v>45961</v>
      </c>
      <c r="J255" s="6">
        <v>45964</v>
      </c>
      <c r="K255" s="5" t="s">
        <v>135</v>
      </c>
      <c r="L255" s="5" t="s">
        <v>136</v>
      </c>
      <c r="M255" s="5" t="s">
        <v>43</v>
      </c>
      <c r="N255" s="5" t="s">
        <v>137</v>
      </c>
      <c r="O255" s="7">
        <v>4433.58</v>
      </c>
      <c r="P255" s="5" t="s">
        <v>45</v>
      </c>
      <c r="Q255" s="22"/>
      <c r="R255" s="8">
        <f t="shared" si="9"/>
        <v>4433.58</v>
      </c>
      <c r="S255" s="7">
        <v>4433.58</v>
      </c>
      <c r="T255" s="7"/>
      <c r="U255" s="7">
        <f t="shared" si="11"/>
        <v>4433.58</v>
      </c>
      <c r="V255" s="5" t="s">
        <v>45</v>
      </c>
      <c r="W255" s="7">
        <v>1304.76</v>
      </c>
      <c r="X255" s="5" t="s">
        <v>46</v>
      </c>
      <c r="Z255" s="8">
        <f t="shared" si="10"/>
        <v>1304.76</v>
      </c>
    </row>
    <row r="256" spans="1:26" x14ac:dyDescent="0.25">
      <c r="A256" s="5" t="s">
        <v>34</v>
      </c>
      <c r="B256" s="5" t="s">
        <v>157</v>
      </c>
      <c r="C256" s="5" t="s">
        <v>158</v>
      </c>
      <c r="D256" s="5" t="s">
        <v>37</v>
      </c>
      <c r="E256" s="5" t="s">
        <v>64</v>
      </c>
      <c r="F256" s="5" t="s">
        <v>65</v>
      </c>
      <c r="G256" s="5" t="s">
        <v>40</v>
      </c>
      <c r="H256" s="6">
        <v>45961</v>
      </c>
      <c r="I256" s="6">
        <v>45961</v>
      </c>
      <c r="J256" s="6">
        <v>45964</v>
      </c>
      <c r="K256" s="5" t="s">
        <v>135</v>
      </c>
      <c r="L256" s="5" t="s">
        <v>136</v>
      </c>
      <c r="M256" s="5" t="s">
        <v>43</v>
      </c>
      <c r="N256" s="5" t="s">
        <v>137</v>
      </c>
      <c r="O256" s="7">
        <v>628.99</v>
      </c>
      <c r="P256" s="5" t="s">
        <v>45</v>
      </c>
      <c r="Q256" s="22"/>
      <c r="R256" s="8">
        <f t="shared" si="9"/>
        <v>628.99</v>
      </c>
      <c r="S256" s="7">
        <v>628.99</v>
      </c>
      <c r="T256" s="7"/>
      <c r="U256" s="7">
        <f t="shared" si="11"/>
        <v>628.99</v>
      </c>
      <c r="V256" s="5" t="s">
        <v>45</v>
      </c>
      <c r="W256" s="7">
        <v>185.11</v>
      </c>
      <c r="X256" s="5" t="s">
        <v>46</v>
      </c>
      <c r="Z256" s="8">
        <f t="shared" si="10"/>
        <v>185.11</v>
      </c>
    </row>
    <row r="257" spans="1:26" x14ac:dyDescent="0.25">
      <c r="A257" s="5" t="s">
        <v>34</v>
      </c>
      <c r="B257" s="5" t="s">
        <v>157</v>
      </c>
      <c r="C257" s="5" t="s">
        <v>158</v>
      </c>
      <c r="D257" s="5" t="s">
        <v>37</v>
      </c>
      <c r="E257" s="5" t="s">
        <v>48</v>
      </c>
      <c r="F257" s="5" t="s">
        <v>49</v>
      </c>
      <c r="G257" s="5" t="s">
        <v>40</v>
      </c>
      <c r="H257" s="6">
        <v>45961</v>
      </c>
      <c r="I257" s="6">
        <v>45961</v>
      </c>
      <c r="J257" s="6">
        <v>45964</v>
      </c>
      <c r="K257" s="5" t="s">
        <v>135</v>
      </c>
      <c r="L257" s="5" t="s">
        <v>136</v>
      </c>
      <c r="M257" s="5" t="s">
        <v>43</v>
      </c>
      <c r="N257" s="5" t="s">
        <v>137</v>
      </c>
      <c r="O257" s="7">
        <v>8985.01</v>
      </c>
      <c r="P257" s="5" t="s">
        <v>45</v>
      </c>
      <c r="Q257" s="22"/>
      <c r="R257" s="8">
        <f t="shared" si="9"/>
        <v>8985.01</v>
      </c>
      <c r="S257" s="7">
        <v>8985.01</v>
      </c>
      <c r="T257" s="7"/>
      <c r="U257" s="7">
        <f t="shared" si="11"/>
        <v>8985.01</v>
      </c>
      <c r="V257" s="5" t="s">
        <v>45</v>
      </c>
      <c r="W257" s="7">
        <v>2644.21</v>
      </c>
      <c r="X257" s="5" t="s">
        <v>46</v>
      </c>
      <c r="Z257" s="8">
        <f t="shared" si="10"/>
        <v>2644.21</v>
      </c>
    </row>
    <row r="258" spans="1:26" x14ac:dyDescent="0.25">
      <c r="A258" s="5" t="s">
        <v>34</v>
      </c>
      <c r="B258" s="5" t="s">
        <v>157</v>
      </c>
      <c r="C258" s="5" t="s">
        <v>158</v>
      </c>
      <c r="D258" s="5" t="s">
        <v>37</v>
      </c>
      <c r="E258" s="5" t="s">
        <v>54</v>
      </c>
      <c r="F258" s="5" t="s">
        <v>55</v>
      </c>
      <c r="G258" s="5" t="s">
        <v>40</v>
      </c>
      <c r="H258" s="6">
        <v>45961</v>
      </c>
      <c r="I258" s="6">
        <v>45961</v>
      </c>
      <c r="J258" s="6">
        <v>45964</v>
      </c>
      <c r="K258" s="5" t="s">
        <v>135</v>
      </c>
      <c r="L258" s="5" t="s">
        <v>136</v>
      </c>
      <c r="M258" s="5" t="s">
        <v>43</v>
      </c>
      <c r="N258" s="5" t="s">
        <v>137</v>
      </c>
      <c r="O258" s="7">
        <v>1569.72</v>
      </c>
      <c r="P258" s="5" t="s">
        <v>45</v>
      </c>
      <c r="Q258" s="22"/>
      <c r="R258" s="8">
        <f t="shared" ref="R258:R321" si="12">+O258+Q258</f>
        <v>1569.72</v>
      </c>
      <c r="S258" s="7">
        <v>1569.72</v>
      </c>
      <c r="T258" s="7"/>
      <c r="U258" s="7">
        <f t="shared" si="11"/>
        <v>1569.72</v>
      </c>
      <c r="V258" s="5" t="s">
        <v>45</v>
      </c>
      <c r="W258" s="7">
        <v>461.95</v>
      </c>
      <c r="X258" s="5" t="s">
        <v>46</v>
      </c>
      <c r="Z258" s="8">
        <f t="shared" ref="Z258:Z321" si="13">+W258+Y258</f>
        <v>461.95</v>
      </c>
    </row>
    <row r="259" spans="1:26" x14ac:dyDescent="0.25">
      <c r="A259" s="5" t="s">
        <v>34</v>
      </c>
      <c r="B259" s="5" t="s">
        <v>157</v>
      </c>
      <c r="C259" s="5" t="s">
        <v>158</v>
      </c>
      <c r="D259" s="5" t="s">
        <v>37</v>
      </c>
      <c r="E259" s="5" t="s">
        <v>92</v>
      </c>
      <c r="F259" s="5" t="s">
        <v>93</v>
      </c>
      <c r="G259" s="5" t="s">
        <v>40</v>
      </c>
      <c r="H259" s="6">
        <v>45961</v>
      </c>
      <c r="I259" s="6">
        <v>45961</v>
      </c>
      <c r="J259" s="6">
        <v>45964</v>
      </c>
      <c r="K259" s="5" t="s">
        <v>135</v>
      </c>
      <c r="L259" s="5" t="s">
        <v>136</v>
      </c>
      <c r="M259" s="5" t="s">
        <v>43</v>
      </c>
      <c r="N259" s="5" t="s">
        <v>137</v>
      </c>
      <c r="O259" s="7">
        <v>910.59</v>
      </c>
      <c r="P259" s="5" t="s">
        <v>45</v>
      </c>
      <c r="Q259" s="22"/>
      <c r="R259" s="8">
        <f t="shared" si="12"/>
        <v>910.59</v>
      </c>
      <c r="S259" s="7">
        <v>910.59</v>
      </c>
      <c r="T259" s="7"/>
      <c r="U259" s="7">
        <f t="shared" ref="U259:U322" si="14">+S259+T259</f>
        <v>910.59</v>
      </c>
      <c r="V259" s="5" t="s">
        <v>45</v>
      </c>
      <c r="W259" s="7">
        <v>267.98</v>
      </c>
      <c r="X259" s="5" t="s">
        <v>46</v>
      </c>
      <c r="Z259" s="8">
        <f t="shared" si="13"/>
        <v>267.98</v>
      </c>
    </row>
    <row r="260" spans="1:26" x14ac:dyDescent="0.25">
      <c r="A260" s="5" t="s">
        <v>34</v>
      </c>
      <c r="B260" s="5" t="s">
        <v>157</v>
      </c>
      <c r="C260" s="5" t="s">
        <v>158</v>
      </c>
      <c r="D260" s="5" t="s">
        <v>37</v>
      </c>
      <c r="E260" s="5" t="s">
        <v>38</v>
      </c>
      <c r="F260" s="5" t="s">
        <v>39</v>
      </c>
      <c r="G260" s="5" t="s">
        <v>40</v>
      </c>
      <c r="H260" s="6">
        <v>45961</v>
      </c>
      <c r="I260" s="6">
        <v>45961</v>
      </c>
      <c r="J260" s="6">
        <v>45964</v>
      </c>
      <c r="K260" s="5" t="s">
        <v>135</v>
      </c>
      <c r="L260" s="5" t="s">
        <v>136</v>
      </c>
      <c r="M260" s="5" t="s">
        <v>43</v>
      </c>
      <c r="N260" s="5" t="s">
        <v>137</v>
      </c>
      <c r="O260" s="7">
        <v>1802.79</v>
      </c>
      <c r="P260" s="5" t="s">
        <v>45</v>
      </c>
      <c r="Q260" s="22"/>
      <c r="R260" s="8">
        <f t="shared" si="12"/>
        <v>1802.79</v>
      </c>
      <c r="S260" s="7">
        <v>1802.79</v>
      </c>
      <c r="T260" s="7"/>
      <c r="U260" s="7">
        <f t="shared" si="14"/>
        <v>1802.79</v>
      </c>
      <c r="V260" s="5" t="s">
        <v>45</v>
      </c>
      <c r="W260" s="7">
        <v>530.54</v>
      </c>
      <c r="X260" s="5" t="s">
        <v>46</v>
      </c>
      <c r="Z260" s="8">
        <f t="shared" si="13"/>
        <v>530.54</v>
      </c>
    </row>
    <row r="261" spans="1:26" x14ac:dyDescent="0.25">
      <c r="A261" s="5" t="s">
        <v>34</v>
      </c>
      <c r="B261" s="5" t="s">
        <v>157</v>
      </c>
      <c r="C261" s="5" t="s">
        <v>158</v>
      </c>
      <c r="D261" s="5" t="s">
        <v>37</v>
      </c>
      <c r="E261" s="5" t="s">
        <v>50</v>
      </c>
      <c r="F261" s="5" t="s">
        <v>51</v>
      </c>
      <c r="G261" s="5" t="s">
        <v>40</v>
      </c>
      <c r="H261" s="6">
        <v>45961</v>
      </c>
      <c r="I261" s="6">
        <v>45961</v>
      </c>
      <c r="J261" s="6">
        <v>45964</v>
      </c>
      <c r="K261" s="5" t="s">
        <v>135</v>
      </c>
      <c r="L261" s="5" t="s">
        <v>136</v>
      </c>
      <c r="M261" s="5" t="s">
        <v>43</v>
      </c>
      <c r="N261" s="5" t="s">
        <v>137</v>
      </c>
      <c r="O261" s="7">
        <v>5764.67</v>
      </c>
      <c r="P261" s="5" t="s">
        <v>45</v>
      </c>
      <c r="Q261" s="22"/>
      <c r="R261" s="8">
        <f t="shared" si="12"/>
        <v>5764.67</v>
      </c>
      <c r="S261" s="7">
        <v>5764.67</v>
      </c>
      <c r="T261" s="7"/>
      <c r="U261" s="7">
        <f t="shared" si="14"/>
        <v>5764.67</v>
      </c>
      <c r="V261" s="5" t="s">
        <v>45</v>
      </c>
      <c r="W261" s="7">
        <v>1696.49</v>
      </c>
      <c r="X261" s="5" t="s">
        <v>46</v>
      </c>
      <c r="Z261" s="8">
        <f t="shared" si="13"/>
        <v>1696.49</v>
      </c>
    </row>
    <row r="262" spans="1:26" x14ac:dyDescent="0.25">
      <c r="A262" s="5" t="s">
        <v>34</v>
      </c>
      <c r="B262" s="5" t="s">
        <v>157</v>
      </c>
      <c r="C262" s="5" t="s">
        <v>158</v>
      </c>
      <c r="D262" s="5" t="s">
        <v>37</v>
      </c>
      <c r="E262" s="5" t="s">
        <v>100</v>
      </c>
      <c r="F262" s="5" t="s">
        <v>101</v>
      </c>
      <c r="G262" s="5" t="s">
        <v>40</v>
      </c>
      <c r="H262" s="6">
        <v>45961</v>
      </c>
      <c r="I262" s="6">
        <v>45961</v>
      </c>
      <c r="J262" s="6">
        <v>45964</v>
      </c>
      <c r="K262" s="5" t="s">
        <v>135</v>
      </c>
      <c r="L262" s="5" t="s">
        <v>136</v>
      </c>
      <c r="M262" s="5" t="s">
        <v>43</v>
      </c>
      <c r="N262" s="5" t="s">
        <v>137</v>
      </c>
      <c r="O262" s="7">
        <v>1913.89</v>
      </c>
      <c r="P262" s="5" t="s">
        <v>45</v>
      </c>
      <c r="Q262" s="22"/>
      <c r="R262" s="8">
        <f t="shared" si="12"/>
        <v>1913.89</v>
      </c>
      <c r="S262" s="7">
        <v>1913.89</v>
      </c>
      <c r="T262" s="7"/>
      <c r="U262" s="7">
        <f t="shared" si="14"/>
        <v>1913.89</v>
      </c>
      <c r="V262" s="5" t="s">
        <v>45</v>
      </c>
      <c r="W262" s="7">
        <v>563.24</v>
      </c>
      <c r="X262" s="5" t="s">
        <v>46</v>
      </c>
      <c r="Z262" s="8">
        <f t="shared" si="13"/>
        <v>563.24</v>
      </c>
    </row>
    <row r="263" spans="1:26" x14ac:dyDescent="0.25">
      <c r="A263" s="5" t="s">
        <v>34</v>
      </c>
      <c r="B263" s="5" t="s">
        <v>157</v>
      </c>
      <c r="C263" s="5" t="s">
        <v>158</v>
      </c>
      <c r="D263" s="5" t="s">
        <v>37</v>
      </c>
      <c r="E263" s="5" t="s">
        <v>80</v>
      </c>
      <c r="F263" s="5" t="s">
        <v>81</v>
      </c>
      <c r="G263" s="5" t="s">
        <v>40</v>
      </c>
      <c r="H263" s="6">
        <v>45961</v>
      </c>
      <c r="I263" s="6">
        <v>45961</v>
      </c>
      <c r="J263" s="6">
        <v>45964</v>
      </c>
      <c r="K263" s="5" t="s">
        <v>135</v>
      </c>
      <c r="L263" s="5" t="s">
        <v>136</v>
      </c>
      <c r="M263" s="5" t="s">
        <v>43</v>
      </c>
      <c r="N263" s="5" t="s">
        <v>137</v>
      </c>
      <c r="O263" s="7">
        <v>323.7</v>
      </c>
      <c r="P263" s="5" t="s">
        <v>45</v>
      </c>
      <c r="Q263" s="22"/>
      <c r="R263" s="8">
        <f t="shared" si="12"/>
        <v>323.7</v>
      </c>
      <c r="S263" s="7">
        <v>323.7</v>
      </c>
      <c r="T263" s="7"/>
      <c r="U263" s="7">
        <f t="shared" si="14"/>
        <v>323.7</v>
      </c>
      <c r="V263" s="5" t="s">
        <v>45</v>
      </c>
      <c r="W263" s="7">
        <v>95.26</v>
      </c>
      <c r="X263" s="5" t="s">
        <v>46</v>
      </c>
      <c r="Z263" s="8">
        <f t="shared" si="13"/>
        <v>95.26</v>
      </c>
    </row>
    <row r="264" spans="1:26" x14ac:dyDescent="0.25">
      <c r="A264" s="5" t="s">
        <v>34</v>
      </c>
      <c r="B264" s="5" t="s">
        <v>159</v>
      </c>
      <c r="C264" s="5" t="s">
        <v>160</v>
      </c>
      <c r="D264" s="5" t="s">
        <v>37</v>
      </c>
      <c r="E264" s="5" t="s">
        <v>48</v>
      </c>
      <c r="F264" s="5" t="s">
        <v>49</v>
      </c>
      <c r="G264" s="5" t="s">
        <v>40</v>
      </c>
      <c r="H264" s="6">
        <v>45961</v>
      </c>
      <c r="I264" s="6">
        <v>45961</v>
      </c>
      <c r="J264" s="6">
        <v>45964</v>
      </c>
      <c r="K264" s="5" t="s">
        <v>135</v>
      </c>
      <c r="L264" s="5" t="s">
        <v>136</v>
      </c>
      <c r="M264" s="5" t="s">
        <v>43</v>
      </c>
      <c r="N264" s="5" t="s">
        <v>137</v>
      </c>
      <c r="O264" s="7">
        <v>9142.7000000000007</v>
      </c>
      <c r="P264" s="5" t="s">
        <v>45</v>
      </c>
      <c r="Q264" s="22"/>
      <c r="R264" s="8">
        <f t="shared" si="12"/>
        <v>9142.7000000000007</v>
      </c>
      <c r="S264" s="7">
        <v>9142.7000000000007</v>
      </c>
      <c r="T264" s="7"/>
      <c r="U264" s="7">
        <f t="shared" si="14"/>
        <v>9142.7000000000007</v>
      </c>
      <c r="V264" s="5" t="s">
        <v>45</v>
      </c>
      <c r="W264" s="7">
        <v>2690.61</v>
      </c>
      <c r="X264" s="5" t="s">
        <v>46</v>
      </c>
      <c r="Z264" s="8">
        <f t="shared" si="13"/>
        <v>2690.61</v>
      </c>
    </row>
    <row r="265" spans="1:26" x14ac:dyDescent="0.25">
      <c r="A265" s="5" t="s">
        <v>34</v>
      </c>
      <c r="B265" s="5" t="s">
        <v>159</v>
      </c>
      <c r="C265" s="5" t="s">
        <v>160</v>
      </c>
      <c r="D265" s="5" t="s">
        <v>37</v>
      </c>
      <c r="E265" s="5" t="s">
        <v>62</v>
      </c>
      <c r="F265" s="5" t="s">
        <v>63</v>
      </c>
      <c r="G265" s="5" t="s">
        <v>40</v>
      </c>
      <c r="H265" s="6">
        <v>45961</v>
      </c>
      <c r="I265" s="6">
        <v>45961</v>
      </c>
      <c r="J265" s="6">
        <v>45964</v>
      </c>
      <c r="K265" s="5" t="s">
        <v>135</v>
      </c>
      <c r="L265" s="5" t="s">
        <v>136</v>
      </c>
      <c r="M265" s="5" t="s">
        <v>43</v>
      </c>
      <c r="N265" s="5" t="s">
        <v>137</v>
      </c>
      <c r="O265" s="7">
        <v>9585.14</v>
      </c>
      <c r="P265" s="5" t="s">
        <v>45</v>
      </c>
      <c r="Q265" s="22"/>
      <c r="R265" s="8">
        <f t="shared" si="12"/>
        <v>9585.14</v>
      </c>
      <c r="S265" s="7">
        <v>9585.14</v>
      </c>
      <c r="T265" s="7"/>
      <c r="U265" s="7">
        <f t="shared" si="14"/>
        <v>9585.14</v>
      </c>
      <c r="V265" s="5" t="s">
        <v>45</v>
      </c>
      <c r="W265" s="7">
        <v>2820.82</v>
      </c>
      <c r="X265" s="5" t="s">
        <v>46</v>
      </c>
      <c r="Z265" s="8">
        <f t="shared" si="13"/>
        <v>2820.82</v>
      </c>
    </row>
    <row r="266" spans="1:26" x14ac:dyDescent="0.25">
      <c r="A266" s="5" t="s">
        <v>34</v>
      </c>
      <c r="B266" s="5" t="s">
        <v>159</v>
      </c>
      <c r="C266" s="5" t="s">
        <v>160</v>
      </c>
      <c r="D266" s="5" t="s">
        <v>37</v>
      </c>
      <c r="E266" s="5" t="s">
        <v>58</v>
      </c>
      <c r="F266" s="5" t="s">
        <v>59</v>
      </c>
      <c r="G266" s="5" t="s">
        <v>40</v>
      </c>
      <c r="H266" s="6">
        <v>45961</v>
      </c>
      <c r="I266" s="6">
        <v>45961</v>
      </c>
      <c r="J266" s="6">
        <v>45964</v>
      </c>
      <c r="K266" s="5" t="s">
        <v>135</v>
      </c>
      <c r="L266" s="5" t="s">
        <v>136</v>
      </c>
      <c r="M266" s="5" t="s">
        <v>43</v>
      </c>
      <c r="N266" s="5" t="s">
        <v>137</v>
      </c>
      <c r="O266" s="7">
        <v>455.87</v>
      </c>
      <c r="P266" s="5" t="s">
        <v>45</v>
      </c>
      <c r="Q266" s="22"/>
      <c r="R266" s="8">
        <f t="shared" si="12"/>
        <v>455.87</v>
      </c>
      <c r="S266" s="7">
        <v>455.87</v>
      </c>
      <c r="T266" s="7"/>
      <c r="U266" s="7">
        <f t="shared" si="14"/>
        <v>455.87</v>
      </c>
      <c r="V266" s="5" t="s">
        <v>45</v>
      </c>
      <c r="W266" s="7">
        <v>134.16</v>
      </c>
      <c r="X266" s="5" t="s">
        <v>46</v>
      </c>
      <c r="Z266" s="8">
        <f t="shared" si="13"/>
        <v>134.16</v>
      </c>
    </row>
    <row r="267" spans="1:26" x14ac:dyDescent="0.25">
      <c r="A267" s="5" t="s">
        <v>34</v>
      </c>
      <c r="B267" s="5" t="s">
        <v>159</v>
      </c>
      <c r="C267" s="5" t="s">
        <v>160</v>
      </c>
      <c r="D267" s="5" t="s">
        <v>37</v>
      </c>
      <c r="E267" s="5" t="s">
        <v>54</v>
      </c>
      <c r="F267" s="5" t="s">
        <v>55</v>
      </c>
      <c r="G267" s="5" t="s">
        <v>40</v>
      </c>
      <c r="H267" s="6">
        <v>45961</v>
      </c>
      <c r="I267" s="6">
        <v>45961</v>
      </c>
      <c r="J267" s="6">
        <v>45964</v>
      </c>
      <c r="K267" s="5" t="s">
        <v>135</v>
      </c>
      <c r="L267" s="5" t="s">
        <v>136</v>
      </c>
      <c r="M267" s="5" t="s">
        <v>43</v>
      </c>
      <c r="N267" s="5" t="s">
        <v>137</v>
      </c>
      <c r="O267" s="7">
        <v>291.27999999999997</v>
      </c>
      <c r="P267" s="5" t="s">
        <v>45</v>
      </c>
      <c r="Q267" s="22"/>
      <c r="R267" s="8">
        <f t="shared" si="12"/>
        <v>291.27999999999997</v>
      </c>
      <c r="S267" s="7">
        <v>291.27999999999997</v>
      </c>
      <c r="T267" s="7"/>
      <c r="U267" s="7">
        <f t="shared" si="14"/>
        <v>291.27999999999997</v>
      </c>
      <c r="V267" s="5" t="s">
        <v>45</v>
      </c>
      <c r="W267" s="7">
        <v>85.72</v>
      </c>
      <c r="X267" s="5" t="s">
        <v>46</v>
      </c>
      <c r="Z267" s="8">
        <f t="shared" si="13"/>
        <v>85.72</v>
      </c>
    </row>
    <row r="268" spans="1:26" x14ac:dyDescent="0.25">
      <c r="A268" s="5" t="s">
        <v>34</v>
      </c>
      <c r="B268" s="5" t="s">
        <v>159</v>
      </c>
      <c r="C268" s="5" t="s">
        <v>160</v>
      </c>
      <c r="D268" s="5" t="s">
        <v>37</v>
      </c>
      <c r="E268" s="5" t="s">
        <v>110</v>
      </c>
      <c r="F268" s="5" t="s">
        <v>111</v>
      </c>
      <c r="G268" s="5" t="s">
        <v>40</v>
      </c>
      <c r="H268" s="6">
        <v>45961</v>
      </c>
      <c r="I268" s="6">
        <v>45961</v>
      </c>
      <c r="J268" s="6">
        <v>45964</v>
      </c>
      <c r="K268" s="5" t="s">
        <v>135</v>
      </c>
      <c r="L268" s="5" t="s">
        <v>136</v>
      </c>
      <c r="M268" s="5" t="s">
        <v>43</v>
      </c>
      <c r="N268" s="5" t="s">
        <v>137</v>
      </c>
      <c r="O268" s="7">
        <v>16511.73</v>
      </c>
      <c r="P268" s="5" t="s">
        <v>45</v>
      </c>
      <c r="Q268" s="22"/>
      <c r="R268" s="8">
        <f t="shared" si="12"/>
        <v>16511.73</v>
      </c>
      <c r="S268" s="7">
        <v>16511.73</v>
      </c>
      <c r="T268" s="7"/>
      <c r="U268" s="7">
        <f t="shared" si="14"/>
        <v>16511.73</v>
      </c>
      <c r="V268" s="5" t="s">
        <v>45</v>
      </c>
      <c r="W268" s="7">
        <v>4859.25</v>
      </c>
      <c r="X268" s="5" t="s">
        <v>46</v>
      </c>
      <c r="Z268" s="8">
        <f t="shared" si="13"/>
        <v>4859.25</v>
      </c>
    </row>
    <row r="269" spans="1:26" x14ac:dyDescent="0.25">
      <c r="A269" s="5" t="s">
        <v>34</v>
      </c>
      <c r="B269" s="5" t="s">
        <v>159</v>
      </c>
      <c r="C269" s="5" t="s">
        <v>160</v>
      </c>
      <c r="D269" s="5" t="s">
        <v>37</v>
      </c>
      <c r="E269" s="5" t="s">
        <v>80</v>
      </c>
      <c r="F269" s="5" t="s">
        <v>81</v>
      </c>
      <c r="G269" s="5" t="s">
        <v>40</v>
      </c>
      <c r="H269" s="6">
        <v>45961</v>
      </c>
      <c r="I269" s="6">
        <v>45961</v>
      </c>
      <c r="J269" s="6">
        <v>45964</v>
      </c>
      <c r="K269" s="5" t="s">
        <v>135</v>
      </c>
      <c r="L269" s="5" t="s">
        <v>136</v>
      </c>
      <c r="M269" s="5" t="s">
        <v>43</v>
      </c>
      <c r="N269" s="5" t="s">
        <v>137</v>
      </c>
      <c r="O269" s="7">
        <v>1034.0899999999999</v>
      </c>
      <c r="P269" s="5" t="s">
        <v>45</v>
      </c>
      <c r="Q269" s="22"/>
      <c r="R269" s="8">
        <f t="shared" si="12"/>
        <v>1034.0899999999999</v>
      </c>
      <c r="S269" s="7">
        <v>1034.0899999999999</v>
      </c>
      <c r="T269" s="7"/>
      <c r="U269" s="7">
        <f t="shared" si="14"/>
        <v>1034.0899999999999</v>
      </c>
      <c r="V269" s="5" t="s">
        <v>45</v>
      </c>
      <c r="W269" s="7">
        <v>304.32</v>
      </c>
      <c r="X269" s="5" t="s">
        <v>46</v>
      </c>
      <c r="Z269" s="8">
        <f t="shared" si="13"/>
        <v>304.32</v>
      </c>
    </row>
    <row r="270" spans="1:26" x14ac:dyDescent="0.25">
      <c r="A270" s="5" t="s">
        <v>34</v>
      </c>
      <c r="B270" s="5" t="s">
        <v>159</v>
      </c>
      <c r="C270" s="5" t="s">
        <v>160</v>
      </c>
      <c r="D270" s="5" t="s">
        <v>37</v>
      </c>
      <c r="E270" s="5" t="s">
        <v>116</v>
      </c>
      <c r="F270" s="5" t="s">
        <v>117</v>
      </c>
      <c r="G270" s="5" t="s">
        <v>40</v>
      </c>
      <c r="H270" s="6">
        <v>45961</v>
      </c>
      <c r="I270" s="6">
        <v>45961</v>
      </c>
      <c r="J270" s="6">
        <v>45964</v>
      </c>
      <c r="K270" s="5" t="s">
        <v>135</v>
      </c>
      <c r="L270" s="5" t="s">
        <v>136</v>
      </c>
      <c r="M270" s="5" t="s">
        <v>43</v>
      </c>
      <c r="N270" s="5" t="s">
        <v>137</v>
      </c>
      <c r="O270" s="7">
        <v>4877.55</v>
      </c>
      <c r="P270" s="5" t="s">
        <v>45</v>
      </c>
      <c r="Q270" s="22"/>
      <c r="R270" s="8">
        <f t="shared" si="12"/>
        <v>4877.55</v>
      </c>
      <c r="S270" s="7">
        <v>4877.55</v>
      </c>
      <c r="T270" s="7"/>
      <c r="U270" s="7">
        <f t="shared" si="14"/>
        <v>4877.55</v>
      </c>
      <c r="V270" s="5" t="s">
        <v>45</v>
      </c>
      <c r="W270" s="7">
        <v>1435.42</v>
      </c>
      <c r="X270" s="5" t="s">
        <v>46</v>
      </c>
      <c r="Z270" s="8">
        <f t="shared" si="13"/>
        <v>1435.42</v>
      </c>
    </row>
    <row r="271" spans="1:26" x14ac:dyDescent="0.25">
      <c r="A271" s="5" t="s">
        <v>34</v>
      </c>
      <c r="B271" s="5" t="s">
        <v>159</v>
      </c>
      <c r="C271" s="5" t="s">
        <v>160</v>
      </c>
      <c r="D271" s="5" t="s">
        <v>37</v>
      </c>
      <c r="E271" s="5" t="s">
        <v>102</v>
      </c>
      <c r="F271" s="5" t="s">
        <v>103</v>
      </c>
      <c r="G271" s="5" t="s">
        <v>40</v>
      </c>
      <c r="H271" s="6">
        <v>45961</v>
      </c>
      <c r="I271" s="6">
        <v>45961</v>
      </c>
      <c r="J271" s="6">
        <v>45964</v>
      </c>
      <c r="K271" s="5" t="s">
        <v>135</v>
      </c>
      <c r="L271" s="5" t="s">
        <v>136</v>
      </c>
      <c r="M271" s="5" t="s">
        <v>43</v>
      </c>
      <c r="N271" s="5" t="s">
        <v>137</v>
      </c>
      <c r="O271" s="7">
        <v>2229.25</v>
      </c>
      <c r="P271" s="5" t="s">
        <v>45</v>
      </c>
      <c r="Q271" s="22"/>
      <c r="R271" s="8">
        <f t="shared" si="12"/>
        <v>2229.25</v>
      </c>
      <c r="S271" s="7">
        <v>2229.25</v>
      </c>
      <c r="T271" s="7"/>
      <c r="U271" s="7">
        <f t="shared" si="14"/>
        <v>2229.25</v>
      </c>
      <c r="V271" s="5" t="s">
        <v>45</v>
      </c>
      <c r="W271" s="7">
        <v>656.05</v>
      </c>
      <c r="X271" s="5" t="s">
        <v>46</v>
      </c>
      <c r="Z271" s="8">
        <f t="shared" si="13"/>
        <v>656.05</v>
      </c>
    </row>
    <row r="272" spans="1:26" x14ac:dyDescent="0.25">
      <c r="A272" s="5" t="s">
        <v>34</v>
      </c>
      <c r="B272" s="5" t="s">
        <v>159</v>
      </c>
      <c r="C272" s="5" t="s">
        <v>160</v>
      </c>
      <c r="D272" s="5" t="s">
        <v>37</v>
      </c>
      <c r="E272" s="5" t="s">
        <v>38</v>
      </c>
      <c r="F272" s="5" t="s">
        <v>39</v>
      </c>
      <c r="G272" s="5" t="s">
        <v>40</v>
      </c>
      <c r="H272" s="6">
        <v>45961</v>
      </c>
      <c r="I272" s="6">
        <v>45961</v>
      </c>
      <c r="J272" s="6">
        <v>45964</v>
      </c>
      <c r="K272" s="5" t="s">
        <v>135</v>
      </c>
      <c r="L272" s="5" t="s">
        <v>136</v>
      </c>
      <c r="M272" s="5" t="s">
        <v>43</v>
      </c>
      <c r="N272" s="5" t="s">
        <v>137</v>
      </c>
      <c r="O272" s="7">
        <v>264.55</v>
      </c>
      <c r="P272" s="5" t="s">
        <v>45</v>
      </c>
      <c r="Q272" s="22"/>
      <c r="R272" s="8">
        <f t="shared" si="12"/>
        <v>264.55</v>
      </c>
      <c r="S272" s="7">
        <v>264.55</v>
      </c>
      <c r="T272" s="7"/>
      <c r="U272" s="7">
        <f t="shared" si="14"/>
        <v>264.55</v>
      </c>
      <c r="V272" s="5" t="s">
        <v>45</v>
      </c>
      <c r="W272" s="7">
        <v>77.849999999999994</v>
      </c>
      <c r="X272" s="5" t="s">
        <v>46</v>
      </c>
      <c r="Z272" s="8">
        <f t="shared" si="13"/>
        <v>77.849999999999994</v>
      </c>
    </row>
    <row r="273" spans="1:26" x14ac:dyDescent="0.25">
      <c r="A273" s="5" t="s">
        <v>34</v>
      </c>
      <c r="B273" s="5" t="s">
        <v>159</v>
      </c>
      <c r="C273" s="5" t="s">
        <v>160</v>
      </c>
      <c r="D273" s="5" t="s">
        <v>37</v>
      </c>
      <c r="E273" s="5" t="s">
        <v>70</v>
      </c>
      <c r="F273" s="5" t="s">
        <v>71</v>
      </c>
      <c r="G273" s="5" t="s">
        <v>40</v>
      </c>
      <c r="H273" s="6">
        <v>45961</v>
      </c>
      <c r="I273" s="6">
        <v>45961</v>
      </c>
      <c r="J273" s="6">
        <v>45964</v>
      </c>
      <c r="K273" s="5" t="s">
        <v>135</v>
      </c>
      <c r="L273" s="5" t="s">
        <v>136</v>
      </c>
      <c r="M273" s="5" t="s">
        <v>43</v>
      </c>
      <c r="N273" s="5" t="s">
        <v>137</v>
      </c>
      <c r="O273" s="7">
        <v>9.5399999999999991</v>
      </c>
      <c r="P273" s="5" t="s">
        <v>45</v>
      </c>
      <c r="Q273" s="22"/>
      <c r="R273" s="8">
        <f t="shared" si="12"/>
        <v>9.5399999999999991</v>
      </c>
      <c r="S273" s="7">
        <v>9.5399999999999991</v>
      </c>
      <c r="T273" s="7"/>
      <c r="U273" s="7">
        <f t="shared" si="14"/>
        <v>9.5399999999999991</v>
      </c>
      <c r="V273" s="5" t="s">
        <v>45</v>
      </c>
      <c r="W273" s="7">
        <v>2.81</v>
      </c>
      <c r="X273" s="5" t="s">
        <v>46</v>
      </c>
      <c r="Z273" s="8">
        <f t="shared" si="13"/>
        <v>2.81</v>
      </c>
    </row>
    <row r="274" spans="1:26" x14ac:dyDescent="0.25">
      <c r="A274" s="5" t="s">
        <v>34</v>
      </c>
      <c r="B274" s="5" t="s">
        <v>159</v>
      </c>
      <c r="C274" s="5" t="s">
        <v>160</v>
      </c>
      <c r="D274" s="5" t="s">
        <v>37</v>
      </c>
      <c r="E274" s="5" t="s">
        <v>64</v>
      </c>
      <c r="F274" s="5" t="s">
        <v>65</v>
      </c>
      <c r="G274" s="5" t="s">
        <v>40</v>
      </c>
      <c r="H274" s="6">
        <v>45961</v>
      </c>
      <c r="I274" s="6">
        <v>45961</v>
      </c>
      <c r="J274" s="6">
        <v>45964</v>
      </c>
      <c r="K274" s="5" t="s">
        <v>135</v>
      </c>
      <c r="L274" s="5" t="s">
        <v>136</v>
      </c>
      <c r="M274" s="5" t="s">
        <v>43</v>
      </c>
      <c r="N274" s="5" t="s">
        <v>137</v>
      </c>
      <c r="O274" s="7">
        <v>2950.38</v>
      </c>
      <c r="P274" s="5" t="s">
        <v>45</v>
      </c>
      <c r="Q274" s="22"/>
      <c r="R274" s="8">
        <f t="shared" si="12"/>
        <v>2950.38</v>
      </c>
      <c r="S274" s="7">
        <v>2950.38</v>
      </c>
      <c r="T274" s="7"/>
      <c r="U274" s="7">
        <f t="shared" si="14"/>
        <v>2950.38</v>
      </c>
      <c r="V274" s="5" t="s">
        <v>45</v>
      </c>
      <c r="W274" s="7">
        <v>868.27</v>
      </c>
      <c r="X274" s="5" t="s">
        <v>46</v>
      </c>
      <c r="Z274" s="8">
        <f t="shared" si="13"/>
        <v>868.27</v>
      </c>
    </row>
    <row r="275" spans="1:26" x14ac:dyDescent="0.25">
      <c r="A275" s="5" t="s">
        <v>34</v>
      </c>
      <c r="B275" s="5" t="s">
        <v>159</v>
      </c>
      <c r="C275" s="5" t="s">
        <v>160</v>
      </c>
      <c r="D275" s="5" t="s">
        <v>37</v>
      </c>
      <c r="E275" s="5" t="s">
        <v>96</v>
      </c>
      <c r="F275" s="5" t="s">
        <v>97</v>
      </c>
      <c r="G275" s="5" t="s">
        <v>40</v>
      </c>
      <c r="H275" s="6">
        <v>45961</v>
      </c>
      <c r="I275" s="6">
        <v>45961</v>
      </c>
      <c r="J275" s="6">
        <v>45964</v>
      </c>
      <c r="K275" s="5" t="s">
        <v>147</v>
      </c>
      <c r="L275" s="5" t="s">
        <v>148</v>
      </c>
      <c r="M275" s="5" t="s">
        <v>43</v>
      </c>
      <c r="N275" s="5" t="s">
        <v>149</v>
      </c>
      <c r="O275" s="7">
        <v>238.6</v>
      </c>
      <c r="P275" s="5" t="s">
        <v>45</v>
      </c>
      <c r="Q275" s="22"/>
      <c r="R275" s="8">
        <f t="shared" si="12"/>
        <v>238.6</v>
      </c>
      <c r="S275" s="7">
        <v>238.6</v>
      </c>
      <c r="T275" s="7"/>
      <c r="U275" s="7">
        <f t="shared" si="14"/>
        <v>238.6</v>
      </c>
      <c r="V275" s="5" t="s">
        <v>45</v>
      </c>
      <c r="W275" s="7">
        <v>70.22</v>
      </c>
      <c r="X275" s="5" t="s">
        <v>46</v>
      </c>
      <c r="Z275" s="8">
        <f t="shared" si="13"/>
        <v>70.22</v>
      </c>
    </row>
    <row r="276" spans="1:26" x14ac:dyDescent="0.25">
      <c r="A276" s="5" t="s">
        <v>34</v>
      </c>
      <c r="B276" s="5" t="s">
        <v>159</v>
      </c>
      <c r="C276" s="5" t="s">
        <v>160</v>
      </c>
      <c r="D276" s="5" t="s">
        <v>37</v>
      </c>
      <c r="E276" s="5" t="s">
        <v>100</v>
      </c>
      <c r="F276" s="5" t="s">
        <v>101</v>
      </c>
      <c r="G276" s="5" t="s">
        <v>40</v>
      </c>
      <c r="H276" s="6">
        <v>45961</v>
      </c>
      <c r="I276" s="6">
        <v>45961</v>
      </c>
      <c r="J276" s="6">
        <v>45964</v>
      </c>
      <c r="K276" s="5" t="s">
        <v>135</v>
      </c>
      <c r="L276" s="5" t="s">
        <v>136</v>
      </c>
      <c r="M276" s="5" t="s">
        <v>43</v>
      </c>
      <c r="N276" s="5" t="s">
        <v>137</v>
      </c>
      <c r="O276" s="7">
        <v>1181.6500000000001</v>
      </c>
      <c r="P276" s="5" t="s">
        <v>45</v>
      </c>
      <c r="Q276" s="22"/>
      <c r="R276" s="8">
        <f t="shared" si="12"/>
        <v>1181.6500000000001</v>
      </c>
      <c r="S276" s="7">
        <v>1181.6500000000001</v>
      </c>
      <c r="T276" s="7"/>
      <c r="U276" s="7">
        <f t="shared" si="14"/>
        <v>1181.6500000000001</v>
      </c>
      <c r="V276" s="5" t="s">
        <v>45</v>
      </c>
      <c r="W276" s="7">
        <v>347.75</v>
      </c>
      <c r="X276" s="5" t="s">
        <v>46</v>
      </c>
      <c r="Z276" s="8">
        <f t="shared" si="13"/>
        <v>347.75</v>
      </c>
    </row>
    <row r="277" spans="1:26" x14ac:dyDescent="0.25">
      <c r="A277" s="5" t="s">
        <v>34</v>
      </c>
      <c r="B277" s="5" t="s">
        <v>159</v>
      </c>
      <c r="C277" s="5" t="s">
        <v>160</v>
      </c>
      <c r="D277" s="5" t="s">
        <v>37</v>
      </c>
      <c r="E277" s="5" t="s">
        <v>104</v>
      </c>
      <c r="F277" s="5" t="s">
        <v>105</v>
      </c>
      <c r="G277" s="5" t="s">
        <v>40</v>
      </c>
      <c r="H277" s="6">
        <v>45961</v>
      </c>
      <c r="I277" s="6">
        <v>45961</v>
      </c>
      <c r="J277" s="6">
        <v>45964</v>
      </c>
      <c r="K277" s="5" t="s">
        <v>135</v>
      </c>
      <c r="L277" s="5" t="s">
        <v>136</v>
      </c>
      <c r="M277" s="5" t="s">
        <v>43</v>
      </c>
      <c r="N277" s="5" t="s">
        <v>137</v>
      </c>
      <c r="O277" s="7">
        <v>1323.24</v>
      </c>
      <c r="P277" s="5" t="s">
        <v>45</v>
      </c>
      <c r="Q277" s="22"/>
      <c r="R277" s="8">
        <f t="shared" si="12"/>
        <v>1323.24</v>
      </c>
      <c r="S277" s="7">
        <v>1323.24</v>
      </c>
      <c r="T277" s="7"/>
      <c r="U277" s="7">
        <f t="shared" si="14"/>
        <v>1323.24</v>
      </c>
      <c r="V277" s="5" t="s">
        <v>45</v>
      </c>
      <c r="W277" s="7">
        <v>389.42</v>
      </c>
      <c r="X277" s="5" t="s">
        <v>46</v>
      </c>
      <c r="Z277" s="8">
        <f t="shared" si="13"/>
        <v>389.42</v>
      </c>
    </row>
    <row r="278" spans="1:26" x14ac:dyDescent="0.25">
      <c r="A278" s="5" t="s">
        <v>34</v>
      </c>
      <c r="B278" s="5" t="s">
        <v>159</v>
      </c>
      <c r="C278" s="5" t="s">
        <v>160</v>
      </c>
      <c r="D278" s="5" t="s">
        <v>37</v>
      </c>
      <c r="E278" s="5" t="s">
        <v>60</v>
      </c>
      <c r="F278" s="5" t="s">
        <v>61</v>
      </c>
      <c r="G278" s="5" t="s">
        <v>40</v>
      </c>
      <c r="H278" s="6">
        <v>45961</v>
      </c>
      <c r="I278" s="6">
        <v>45961</v>
      </c>
      <c r="J278" s="6">
        <v>45964</v>
      </c>
      <c r="K278" s="5" t="s">
        <v>135</v>
      </c>
      <c r="L278" s="5" t="s">
        <v>136</v>
      </c>
      <c r="M278" s="5" t="s">
        <v>43</v>
      </c>
      <c r="N278" s="5" t="s">
        <v>137</v>
      </c>
      <c r="O278" s="7">
        <v>1208.3800000000001</v>
      </c>
      <c r="P278" s="5" t="s">
        <v>45</v>
      </c>
      <c r="Q278" s="22"/>
      <c r="R278" s="8">
        <f t="shared" si="12"/>
        <v>1208.3800000000001</v>
      </c>
      <c r="S278" s="7">
        <v>1208.3800000000001</v>
      </c>
      <c r="T278" s="7"/>
      <c r="U278" s="7">
        <f t="shared" si="14"/>
        <v>1208.3800000000001</v>
      </c>
      <c r="V278" s="5" t="s">
        <v>45</v>
      </c>
      <c r="W278" s="7">
        <v>355.62</v>
      </c>
      <c r="X278" s="5" t="s">
        <v>46</v>
      </c>
      <c r="Z278" s="8">
        <f t="shared" si="13"/>
        <v>355.62</v>
      </c>
    </row>
    <row r="279" spans="1:26" x14ac:dyDescent="0.25">
      <c r="A279" s="5" t="s">
        <v>34</v>
      </c>
      <c r="B279" s="5" t="s">
        <v>159</v>
      </c>
      <c r="C279" s="5" t="s">
        <v>160</v>
      </c>
      <c r="D279" s="5" t="s">
        <v>37</v>
      </c>
      <c r="E279" s="5" t="s">
        <v>50</v>
      </c>
      <c r="F279" s="5" t="s">
        <v>51</v>
      </c>
      <c r="G279" s="5" t="s">
        <v>40</v>
      </c>
      <c r="H279" s="6">
        <v>45961</v>
      </c>
      <c r="I279" s="6">
        <v>45961</v>
      </c>
      <c r="J279" s="6">
        <v>45964</v>
      </c>
      <c r="K279" s="5" t="s">
        <v>135</v>
      </c>
      <c r="L279" s="5" t="s">
        <v>136</v>
      </c>
      <c r="M279" s="5" t="s">
        <v>43</v>
      </c>
      <c r="N279" s="5" t="s">
        <v>137</v>
      </c>
      <c r="O279" s="7">
        <v>10478.52</v>
      </c>
      <c r="P279" s="5" t="s">
        <v>45</v>
      </c>
      <c r="Q279" s="22"/>
      <c r="R279" s="8">
        <f t="shared" si="12"/>
        <v>10478.52</v>
      </c>
      <c r="S279" s="7">
        <v>10478.52</v>
      </c>
      <c r="T279" s="7"/>
      <c r="U279" s="7">
        <f t="shared" si="14"/>
        <v>10478.52</v>
      </c>
      <c r="V279" s="5" t="s">
        <v>45</v>
      </c>
      <c r="W279" s="7">
        <v>3083.73</v>
      </c>
      <c r="X279" s="5" t="s">
        <v>46</v>
      </c>
      <c r="Z279" s="8">
        <f t="shared" si="13"/>
        <v>3083.73</v>
      </c>
    </row>
    <row r="280" spans="1:26" x14ac:dyDescent="0.25">
      <c r="A280" s="5" t="s">
        <v>34</v>
      </c>
      <c r="B280" s="5" t="s">
        <v>159</v>
      </c>
      <c r="C280" s="5" t="s">
        <v>160</v>
      </c>
      <c r="D280" s="5" t="s">
        <v>37</v>
      </c>
      <c r="E280" s="5" t="s">
        <v>78</v>
      </c>
      <c r="F280" s="5" t="s">
        <v>79</v>
      </c>
      <c r="G280" s="5" t="s">
        <v>40</v>
      </c>
      <c r="H280" s="6">
        <v>45961</v>
      </c>
      <c r="I280" s="6">
        <v>45961</v>
      </c>
      <c r="J280" s="6">
        <v>45964</v>
      </c>
      <c r="K280" s="5" t="s">
        <v>135</v>
      </c>
      <c r="L280" s="5" t="s">
        <v>136</v>
      </c>
      <c r="M280" s="5" t="s">
        <v>43</v>
      </c>
      <c r="N280" s="5" t="s">
        <v>137</v>
      </c>
      <c r="O280" s="7">
        <v>3249.26</v>
      </c>
      <c r="P280" s="5" t="s">
        <v>45</v>
      </c>
      <c r="Q280" s="22"/>
      <c r="R280" s="8">
        <f t="shared" si="12"/>
        <v>3249.26</v>
      </c>
      <c r="S280" s="7">
        <v>3249.26</v>
      </c>
      <c r="T280" s="7"/>
      <c r="U280" s="7">
        <f t="shared" si="14"/>
        <v>3249.26</v>
      </c>
      <c r="V280" s="5" t="s">
        <v>45</v>
      </c>
      <c r="W280" s="7">
        <v>956.23</v>
      </c>
      <c r="X280" s="5" t="s">
        <v>46</v>
      </c>
      <c r="Z280" s="8">
        <f t="shared" si="13"/>
        <v>956.23</v>
      </c>
    </row>
    <row r="281" spans="1:26" x14ac:dyDescent="0.25">
      <c r="A281" s="5" t="s">
        <v>34</v>
      </c>
      <c r="B281" s="5" t="s">
        <v>159</v>
      </c>
      <c r="C281" s="5" t="s">
        <v>160</v>
      </c>
      <c r="D281" s="5" t="s">
        <v>37</v>
      </c>
      <c r="E281" s="5" t="s">
        <v>86</v>
      </c>
      <c r="F281" s="5" t="s">
        <v>87</v>
      </c>
      <c r="G281" s="5" t="s">
        <v>40</v>
      </c>
      <c r="H281" s="6">
        <v>45961</v>
      </c>
      <c r="I281" s="6">
        <v>45961</v>
      </c>
      <c r="J281" s="6">
        <v>45964</v>
      </c>
      <c r="K281" s="5" t="s">
        <v>135</v>
      </c>
      <c r="L281" s="5" t="s">
        <v>136</v>
      </c>
      <c r="M281" s="5" t="s">
        <v>43</v>
      </c>
      <c r="N281" s="5" t="s">
        <v>137</v>
      </c>
      <c r="O281" s="7">
        <v>15570.07</v>
      </c>
      <c r="P281" s="5" t="s">
        <v>45</v>
      </c>
      <c r="Q281" s="22"/>
      <c r="R281" s="8">
        <f t="shared" si="12"/>
        <v>15570.07</v>
      </c>
      <c r="S281" s="7">
        <v>15570.07</v>
      </c>
      <c r="T281" s="7"/>
      <c r="U281" s="7">
        <f t="shared" si="14"/>
        <v>15570.07</v>
      </c>
      <c r="V281" s="5" t="s">
        <v>45</v>
      </c>
      <c r="W281" s="7">
        <v>4582.13</v>
      </c>
      <c r="X281" s="5" t="s">
        <v>46</v>
      </c>
      <c r="Z281" s="8">
        <f t="shared" si="13"/>
        <v>4582.13</v>
      </c>
    </row>
    <row r="282" spans="1:26" x14ac:dyDescent="0.25">
      <c r="A282" s="5" t="s">
        <v>34</v>
      </c>
      <c r="B282" s="5" t="s">
        <v>159</v>
      </c>
      <c r="C282" s="5" t="s">
        <v>160</v>
      </c>
      <c r="D282" s="5" t="s">
        <v>37</v>
      </c>
      <c r="E282" s="5" t="s">
        <v>74</v>
      </c>
      <c r="F282" s="5" t="s">
        <v>75</v>
      </c>
      <c r="G282" s="5" t="s">
        <v>40</v>
      </c>
      <c r="H282" s="6">
        <v>45961</v>
      </c>
      <c r="I282" s="6">
        <v>45961</v>
      </c>
      <c r="J282" s="6">
        <v>45964</v>
      </c>
      <c r="K282" s="5" t="s">
        <v>135</v>
      </c>
      <c r="L282" s="5" t="s">
        <v>136</v>
      </c>
      <c r="M282" s="5" t="s">
        <v>43</v>
      </c>
      <c r="N282" s="5" t="s">
        <v>137</v>
      </c>
      <c r="O282" s="7">
        <v>20091.490000000002</v>
      </c>
      <c r="P282" s="5" t="s">
        <v>45</v>
      </c>
      <c r="Q282" s="22"/>
      <c r="R282" s="8">
        <f t="shared" si="12"/>
        <v>20091.490000000002</v>
      </c>
      <c r="S282" s="7">
        <v>20091.490000000002</v>
      </c>
      <c r="T282" s="7"/>
      <c r="U282" s="7">
        <f t="shared" si="14"/>
        <v>20091.490000000002</v>
      </c>
      <c r="V282" s="5" t="s">
        <v>45</v>
      </c>
      <c r="W282" s="7">
        <v>5912.74</v>
      </c>
      <c r="X282" s="5" t="s">
        <v>46</v>
      </c>
      <c r="Z282" s="8">
        <f t="shared" si="13"/>
        <v>5912.74</v>
      </c>
    </row>
    <row r="283" spans="1:26" x14ac:dyDescent="0.25">
      <c r="A283" s="5" t="s">
        <v>34</v>
      </c>
      <c r="B283" s="5" t="s">
        <v>159</v>
      </c>
      <c r="C283" s="5" t="s">
        <v>160</v>
      </c>
      <c r="D283" s="5" t="s">
        <v>37</v>
      </c>
      <c r="E283" s="5" t="s">
        <v>68</v>
      </c>
      <c r="F283" s="5" t="s">
        <v>69</v>
      </c>
      <c r="G283" s="5" t="s">
        <v>40</v>
      </c>
      <c r="H283" s="6">
        <v>45961</v>
      </c>
      <c r="I283" s="6">
        <v>45961</v>
      </c>
      <c r="J283" s="6">
        <v>45964</v>
      </c>
      <c r="K283" s="5" t="s">
        <v>135</v>
      </c>
      <c r="L283" s="5" t="s">
        <v>136</v>
      </c>
      <c r="M283" s="5" t="s">
        <v>43</v>
      </c>
      <c r="N283" s="5" t="s">
        <v>137</v>
      </c>
      <c r="O283" s="7">
        <v>4696.3900000000003</v>
      </c>
      <c r="P283" s="5" t="s">
        <v>45</v>
      </c>
      <c r="Q283" s="22"/>
      <c r="R283" s="8">
        <f t="shared" si="12"/>
        <v>4696.3900000000003</v>
      </c>
      <c r="S283" s="7">
        <v>4696.3900000000003</v>
      </c>
      <c r="T283" s="7"/>
      <c r="U283" s="7">
        <f t="shared" si="14"/>
        <v>4696.3900000000003</v>
      </c>
      <c r="V283" s="5" t="s">
        <v>45</v>
      </c>
      <c r="W283" s="7">
        <v>1382.1</v>
      </c>
      <c r="X283" s="5" t="s">
        <v>46</v>
      </c>
      <c r="Z283" s="8">
        <f t="shared" si="13"/>
        <v>1382.1</v>
      </c>
    </row>
    <row r="284" spans="1:26" x14ac:dyDescent="0.25">
      <c r="A284" s="5" t="s">
        <v>34</v>
      </c>
      <c r="B284" s="5" t="s">
        <v>159</v>
      </c>
      <c r="C284" s="5" t="s">
        <v>160</v>
      </c>
      <c r="D284" s="5" t="s">
        <v>37</v>
      </c>
      <c r="E284" s="5" t="s">
        <v>110</v>
      </c>
      <c r="F284" s="5" t="s">
        <v>111</v>
      </c>
      <c r="G284" s="5" t="s">
        <v>40</v>
      </c>
      <c r="H284" s="6">
        <v>45961</v>
      </c>
      <c r="I284" s="6">
        <v>45961</v>
      </c>
      <c r="J284" s="6">
        <v>45960</v>
      </c>
      <c r="K284" s="5" t="s">
        <v>150</v>
      </c>
      <c r="L284" s="5" t="s">
        <v>151</v>
      </c>
      <c r="M284" s="5" t="s">
        <v>43</v>
      </c>
      <c r="N284" s="5" t="s">
        <v>152</v>
      </c>
      <c r="O284" s="7">
        <v>22.4</v>
      </c>
      <c r="P284" s="5" t="s">
        <v>45</v>
      </c>
      <c r="Q284" s="22"/>
      <c r="R284" s="8">
        <f t="shared" si="12"/>
        <v>22.4</v>
      </c>
      <c r="S284" s="7">
        <v>22.4</v>
      </c>
      <c r="T284" s="7"/>
      <c r="U284" s="7">
        <f t="shared" si="14"/>
        <v>22.4</v>
      </c>
      <c r="V284" s="5" t="s">
        <v>45</v>
      </c>
      <c r="W284" s="7">
        <v>6.6</v>
      </c>
      <c r="X284" s="5" t="s">
        <v>46</v>
      </c>
      <c r="Z284" s="8">
        <f t="shared" si="13"/>
        <v>6.6</v>
      </c>
    </row>
    <row r="285" spans="1:26" x14ac:dyDescent="0.25">
      <c r="A285" s="5" t="s">
        <v>34</v>
      </c>
      <c r="B285" s="5" t="s">
        <v>159</v>
      </c>
      <c r="C285" s="5" t="s">
        <v>160</v>
      </c>
      <c r="D285" s="5" t="s">
        <v>37</v>
      </c>
      <c r="E285" s="5" t="s">
        <v>96</v>
      </c>
      <c r="F285" s="5" t="s">
        <v>97</v>
      </c>
      <c r="G285" s="5" t="s">
        <v>40</v>
      </c>
      <c r="H285" s="6">
        <v>45961</v>
      </c>
      <c r="I285" s="6">
        <v>45961</v>
      </c>
      <c r="J285" s="6">
        <v>45964</v>
      </c>
      <c r="K285" s="5" t="s">
        <v>135</v>
      </c>
      <c r="L285" s="5" t="s">
        <v>136</v>
      </c>
      <c r="M285" s="5" t="s">
        <v>43</v>
      </c>
      <c r="N285" s="5" t="s">
        <v>137</v>
      </c>
      <c r="O285" s="7">
        <v>5199.3100000000004</v>
      </c>
      <c r="P285" s="5" t="s">
        <v>45</v>
      </c>
      <c r="Q285" s="22"/>
      <c r="R285" s="8">
        <f t="shared" si="12"/>
        <v>5199.3100000000004</v>
      </c>
      <c r="S285" s="7">
        <v>5199.3100000000004</v>
      </c>
      <c r="T285" s="7"/>
      <c r="U285" s="7">
        <f t="shared" si="14"/>
        <v>5199.3100000000004</v>
      </c>
      <c r="V285" s="5" t="s">
        <v>45</v>
      </c>
      <c r="W285" s="7">
        <v>1530.11</v>
      </c>
      <c r="X285" s="5" t="s">
        <v>46</v>
      </c>
      <c r="Z285" s="8">
        <f t="shared" si="13"/>
        <v>1530.11</v>
      </c>
    </row>
    <row r="286" spans="1:26" x14ac:dyDescent="0.25">
      <c r="A286" s="5" t="s">
        <v>34</v>
      </c>
      <c r="B286" s="5" t="s">
        <v>159</v>
      </c>
      <c r="C286" s="5" t="s">
        <v>160</v>
      </c>
      <c r="D286" s="5" t="s">
        <v>37</v>
      </c>
      <c r="E286" s="5" t="s">
        <v>142</v>
      </c>
      <c r="F286" s="5" t="s">
        <v>143</v>
      </c>
      <c r="G286" s="5" t="s">
        <v>40</v>
      </c>
      <c r="H286" s="6">
        <v>45961</v>
      </c>
      <c r="I286" s="6">
        <v>45961</v>
      </c>
      <c r="J286" s="6">
        <v>45964</v>
      </c>
      <c r="K286" s="5" t="s">
        <v>135</v>
      </c>
      <c r="L286" s="5" t="s">
        <v>136</v>
      </c>
      <c r="M286" s="5" t="s">
        <v>43</v>
      </c>
      <c r="N286" s="5" t="s">
        <v>137</v>
      </c>
      <c r="O286" s="7">
        <v>17.64</v>
      </c>
      <c r="P286" s="5" t="s">
        <v>45</v>
      </c>
      <c r="Q286" s="22"/>
      <c r="R286" s="8">
        <f t="shared" si="12"/>
        <v>17.64</v>
      </c>
      <c r="S286" s="7">
        <v>17.64</v>
      </c>
      <c r="T286" s="7"/>
      <c r="U286" s="7">
        <f t="shared" si="14"/>
        <v>17.64</v>
      </c>
      <c r="V286" s="5" t="s">
        <v>45</v>
      </c>
      <c r="W286" s="7">
        <v>5.19</v>
      </c>
      <c r="X286" s="5" t="s">
        <v>46</v>
      </c>
      <c r="Z286" s="8">
        <f t="shared" si="13"/>
        <v>5.19</v>
      </c>
    </row>
    <row r="287" spans="1:26" x14ac:dyDescent="0.25">
      <c r="A287" s="5" t="s">
        <v>34</v>
      </c>
      <c r="B287" s="5" t="s">
        <v>159</v>
      </c>
      <c r="C287" s="5" t="s">
        <v>160</v>
      </c>
      <c r="D287" s="5" t="s">
        <v>37</v>
      </c>
      <c r="E287" s="5" t="s">
        <v>92</v>
      </c>
      <c r="F287" s="5" t="s">
        <v>93</v>
      </c>
      <c r="G287" s="5" t="s">
        <v>40</v>
      </c>
      <c r="H287" s="6">
        <v>45961</v>
      </c>
      <c r="I287" s="6">
        <v>45961</v>
      </c>
      <c r="J287" s="6">
        <v>45964</v>
      </c>
      <c r="K287" s="5" t="s">
        <v>135</v>
      </c>
      <c r="L287" s="5" t="s">
        <v>136</v>
      </c>
      <c r="M287" s="5" t="s">
        <v>43</v>
      </c>
      <c r="N287" s="5" t="s">
        <v>137</v>
      </c>
      <c r="O287" s="7">
        <v>531.41999999999996</v>
      </c>
      <c r="P287" s="5" t="s">
        <v>45</v>
      </c>
      <c r="Q287" s="22"/>
      <c r="R287" s="8">
        <f t="shared" si="12"/>
        <v>531.41999999999996</v>
      </c>
      <c r="S287" s="7">
        <v>531.41999999999996</v>
      </c>
      <c r="T287" s="7"/>
      <c r="U287" s="7">
        <f t="shared" si="14"/>
        <v>531.41999999999996</v>
      </c>
      <c r="V287" s="5" t="s">
        <v>45</v>
      </c>
      <c r="W287" s="7">
        <v>156.38999999999999</v>
      </c>
      <c r="X287" s="5" t="s">
        <v>46</v>
      </c>
      <c r="Z287" s="8">
        <f t="shared" si="13"/>
        <v>156.38999999999999</v>
      </c>
    </row>
    <row r="288" spans="1:26" x14ac:dyDescent="0.25">
      <c r="A288" s="5" t="s">
        <v>34</v>
      </c>
      <c r="B288" s="5" t="s">
        <v>159</v>
      </c>
      <c r="C288" s="5" t="s">
        <v>160</v>
      </c>
      <c r="D288" s="5" t="s">
        <v>37</v>
      </c>
      <c r="E288" s="5" t="s">
        <v>98</v>
      </c>
      <c r="F288" s="5" t="s">
        <v>99</v>
      </c>
      <c r="G288" s="5" t="s">
        <v>40</v>
      </c>
      <c r="H288" s="6">
        <v>45961</v>
      </c>
      <c r="I288" s="6">
        <v>45961</v>
      </c>
      <c r="J288" s="6">
        <v>45964</v>
      </c>
      <c r="K288" s="5" t="s">
        <v>135</v>
      </c>
      <c r="L288" s="5" t="s">
        <v>136</v>
      </c>
      <c r="M288" s="5" t="s">
        <v>43</v>
      </c>
      <c r="N288" s="5" t="s">
        <v>137</v>
      </c>
      <c r="O288" s="7">
        <v>241.92</v>
      </c>
      <c r="P288" s="5" t="s">
        <v>45</v>
      </c>
      <c r="Q288" s="22"/>
      <c r="R288" s="8">
        <f t="shared" si="12"/>
        <v>241.92</v>
      </c>
      <c r="S288" s="7">
        <v>241.92</v>
      </c>
      <c r="T288" s="7"/>
      <c r="U288" s="7">
        <f t="shared" si="14"/>
        <v>241.92</v>
      </c>
      <c r="V288" s="5" t="s">
        <v>45</v>
      </c>
      <c r="W288" s="7">
        <v>71.19</v>
      </c>
      <c r="X288" s="5" t="s">
        <v>46</v>
      </c>
      <c r="Z288" s="8">
        <f t="shared" si="13"/>
        <v>71.19</v>
      </c>
    </row>
    <row r="289" spans="1:26" x14ac:dyDescent="0.25">
      <c r="A289" s="5" t="s">
        <v>34</v>
      </c>
      <c r="B289" s="5" t="s">
        <v>159</v>
      </c>
      <c r="C289" s="5" t="s">
        <v>160</v>
      </c>
      <c r="D289" s="5" t="s">
        <v>37</v>
      </c>
      <c r="E289" s="5" t="s">
        <v>118</v>
      </c>
      <c r="F289" s="5" t="s">
        <v>119</v>
      </c>
      <c r="G289" s="5" t="s">
        <v>40</v>
      </c>
      <c r="H289" s="6">
        <v>45961</v>
      </c>
      <c r="I289" s="6">
        <v>45961</v>
      </c>
      <c r="J289" s="6">
        <v>45964</v>
      </c>
      <c r="K289" s="5" t="s">
        <v>135</v>
      </c>
      <c r="L289" s="5" t="s">
        <v>136</v>
      </c>
      <c r="M289" s="5" t="s">
        <v>43</v>
      </c>
      <c r="N289" s="5" t="s">
        <v>137</v>
      </c>
      <c r="O289" s="7">
        <v>578.5</v>
      </c>
      <c r="P289" s="5" t="s">
        <v>45</v>
      </c>
      <c r="Q289" s="22"/>
      <c r="R289" s="8">
        <f t="shared" si="12"/>
        <v>578.5</v>
      </c>
      <c r="S289" s="7">
        <v>578.5</v>
      </c>
      <c r="T289" s="7"/>
      <c r="U289" s="7">
        <f t="shared" si="14"/>
        <v>578.5</v>
      </c>
      <c r="V289" s="5" t="s">
        <v>45</v>
      </c>
      <c r="W289" s="7">
        <v>170.25</v>
      </c>
      <c r="X289" s="5" t="s">
        <v>46</v>
      </c>
      <c r="Z289" s="8">
        <f t="shared" si="13"/>
        <v>170.25</v>
      </c>
    </row>
    <row r="290" spans="1:26" x14ac:dyDescent="0.25">
      <c r="A290" s="5" t="s">
        <v>34</v>
      </c>
      <c r="B290" s="5" t="s">
        <v>159</v>
      </c>
      <c r="C290" s="5" t="s">
        <v>160</v>
      </c>
      <c r="D290" s="5" t="s">
        <v>37</v>
      </c>
      <c r="E290" s="5" t="s">
        <v>84</v>
      </c>
      <c r="F290" s="5" t="s">
        <v>85</v>
      </c>
      <c r="G290" s="5" t="s">
        <v>40</v>
      </c>
      <c r="H290" s="6">
        <v>45961</v>
      </c>
      <c r="I290" s="6">
        <v>45961</v>
      </c>
      <c r="J290" s="6">
        <v>45964</v>
      </c>
      <c r="K290" s="5" t="s">
        <v>135</v>
      </c>
      <c r="L290" s="5" t="s">
        <v>136</v>
      </c>
      <c r="M290" s="5" t="s">
        <v>43</v>
      </c>
      <c r="N290" s="5" t="s">
        <v>137</v>
      </c>
      <c r="O290" s="7">
        <v>157.13</v>
      </c>
      <c r="P290" s="5" t="s">
        <v>45</v>
      </c>
      <c r="Q290" s="22"/>
      <c r="R290" s="8">
        <f t="shared" si="12"/>
        <v>157.13</v>
      </c>
      <c r="S290" s="7">
        <v>157.13</v>
      </c>
      <c r="T290" s="7"/>
      <c r="U290" s="7">
        <f t="shared" si="14"/>
        <v>157.13</v>
      </c>
      <c r="V290" s="5" t="s">
        <v>45</v>
      </c>
      <c r="W290" s="7">
        <v>46.24</v>
      </c>
      <c r="X290" s="5" t="s">
        <v>46</v>
      </c>
      <c r="Z290" s="8">
        <f t="shared" si="13"/>
        <v>46.24</v>
      </c>
    </row>
    <row r="291" spans="1:26" x14ac:dyDescent="0.25">
      <c r="A291" s="5" t="s">
        <v>34</v>
      </c>
      <c r="B291" s="5" t="s">
        <v>159</v>
      </c>
      <c r="C291" s="5" t="s">
        <v>160</v>
      </c>
      <c r="D291" s="5" t="s">
        <v>37</v>
      </c>
      <c r="E291" s="5" t="s">
        <v>82</v>
      </c>
      <c r="F291" s="5" t="s">
        <v>83</v>
      </c>
      <c r="G291" s="5" t="s">
        <v>40</v>
      </c>
      <c r="H291" s="6">
        <v>45961</v>
      </c>
      <c r="I291" s="6">
        <v>45961</v>
      </c>
      <c r="J291" s="6">
        <v>45964</v>
      </c>
      <c r="K291" s="5" t="s">
        <v>135</v>
      </c>
      <c r="L291" s="5" t="s">
        <v>136</v>
      </c>
      <c r="M291" s="5" t="s">
        <v>43</v>
      </c>
      <c r="N291" s="5" t="s">
        <v>137</v>
      </c>
      <c r="O291" s="7">
        <v>3905.25</v>
      </c>
      <c r="P291" s="5" t="s">
        <v>45</v>
      </c>
      <c r="Q291" s="22"/>
      <c r="R291" s="8">
        <f t="shared" si="12"/>
        <v>3905.25</v>
      </c>
      <c r="S291" s="7">
        <v>3905.25</v>
      </c>
      <c r="T291" s="7"/>
      <c r="U291" s="7">
        <f t="shared" si="14"/>
        <v>3905.25</v>
      </c>
      <c r="V291" s="5" t="s">
        <v>45</v>
      </c>
      <c r="W291" s="7">
        <v>1149.28</v>
      </c>
      <c r="X291" s="5" t="s">
        <v>46</v>
      </c>
      <c r="Z291" s="8">
        <f t="shared" si="13"/>
        <v>1149.28</v>
      </c>
    </row>
    <row r="292" spans="1:26" x14ac:dyDescent="0.25">
      <c r="A292" s="5" t="s">
        <v>34</v>
      </c>
      <c r="B292" s="5" t="s">
        <v>159</v>
      </c>
      <c r="C292" s="5" t="s">
        <v>160</v>
      </c>
      <c r="D292" s="5" t="s">
        <v>37</v>
      </c>
      <c r="E292" s="5" t="s">
        <v>106</v>
      </c>
      <c r="F292" s="5" t="s">
        <v>107</v>
      </c>
      <c r="G292" s="5" t="s">
        <v>40</v>
      </c>
      <c r="H292" s="6">
        <v>45961</v>
      </c>
      <c r="I292" s="6">
        <v>45961</v>
      </c>
      <c r="J292" s="6">
        <v>45964</v>
      </c>
      <c r="K292" s="5" t="s">
        <v>135</v>
      </c>
      <c r="L292" s="5" t="s">
        <v>136</v>
      </c>
      <c r="M292" s="5" t="s">
        <v>43</v>
      </c>
      <c r="N292" s="5" t="s">
        <v>137</v>
      </c>
      <c r="O292" s="7">
        <v>598.16</v>
      </c>
      <c r="P292" s="5" t="s">
        <v>45</v>
      </c>
      <c r="Q292" s="22"/>
      <c r="R292" s="8">
        <f t="shared" si="12"/>
        <v>598.16</v>
      </c>
      <c r="S292" s="7">
        <v>598.16</v>
      </c>
      <c r="T292" s="7"/>
      <c r="U292" s="7">
        <f t="shared" si="14"/>
        <v>598.16</v>
      </c>
      <c r="V292" s="5" t="s">
        <v>45</v>
      </c>
      <c r="W292" s="7">
        <v>176.03</v>
      </c>
      <c r="X292" s="5" t="s">
        <v>46</v>
      </c>
      <c r="Z292" s="8">
        <f t="shared" si="13"/>
        <v>176.03</v>
      </c>
    </row>
    <row r="293" spans="1:26" x14ac:dyDescent="0.25">
      <c r="A293" s="5" t="s">
        <v>34</v>
      </c>
      <c r="B293" s="5" t="s">
        <v>159</v>
      </c>
      <c r="C293" s="5" t="s">
        <v>160</v>
      </c>
      <c r="D293" s="5" t="s">
        <v>37</v>
      </c>
      <c r="E293" s="5" t="s">
        <v>138</v>
      </c>
      <c r="F293" s="5" t="s">
        <v>139</v>
      </c>
      <c r="G293" s="5" t="s">
        <v>40</v>
      </c>
      <c r="H293" s="6">
        <v>45961</v>
      </c>
      <c r="I293" s="6">
        <v>45961</v>
      </c>
      <c r="J293" s="6">
        <v>45964</v>
      </c>
      <c r="K293" s="5" t="s">
        <v>135</v>
      </c>
      <c r="L293" s="5" t="s">
        <v>136</v>
      </c>
      <c r="M293" s="5" t="s">
        <v>43</v>
      </c>
      <c r="N293" s="5" t="s">
        <v>137</v>
      </c>
      <c r="O293" s="7">
        <v>3000.71</v>
      </c>
      <c r="P293" s="5" t="s">
        <v>45</v>
      </c>
      <c r="Q293" s="22"/>
      <c r="R293" s="8">
        <f t="shared" si="12"/>
        <v>3000.71</v>
      </c>
      <c r="S293" s="7">
        <v>3000.71</v>
      </c>
      <c r="T293" s="7"/>
      <c r="U293" s="7">
        <f t="shared" si="14"/>
        <v>3000.71</v>
      </c>
      <c r="V293" s="5" t="s">
        <v>45</v>
      </c>
      <c r="W293" s="7">
        <v>883.08</v>
      </c>
      <c r="X293" s="5" t="s">
        <v>46</v>
      </c>
      <c r="Z293" s="8">
        <f t="shared" si="13"/>
        <v>883.08</v>
      </c>
    </row>
    <row r="294" spans="1:26" x14ac:dyDescent="0.25">
      <c r="A294" s="5" t="s">
        <v>34</v>
      </c>
      <c r="B294" s="5" t="s">
        <v>161</v>
      </c>
      <c r="C294" s="5" t="s">
        <v>162</v>
      </c>
      <c r="D294" s="5" t="s">
        <v>37</v>
      </c>
      <c r="E294" s="5" t="s">
        <v>142</v>
      </c>
      <c r="F294" s="5" t="s">
        <v>143</v>
      </c>
      <c r="G294" s="5" t="s">
        <v>40</v>
      </c>
      <c r="H294" s="6">
        <v>45961</v>
      </c>
      <c r="I294" s="6">
        <v>45961</v>
      </c>
      <c r="J294" s="6">
        <v>45964</v>
      </c>
      <c r="K294" s="5" t="s">
        <v>135</v>
      </c>
      <c r="L294" s="5" t="s">
        <v>136</v>
      </c>
      <c r="M294" s="5" t="s">
        <v>43</v>
      </c>
      <c r="N294" s="5" t="s">
        <v>137</v>
      </c>
      <c r="O294" s="7">
        <v>4.76</v>
      </c>
      <c r="P294" s="5" t="s">
        <v>45</v>
      </c>
      <c r="Q294" s="22"/>
      <c r="R294" s="8">
        <f t="shared" si="12"/>
        <v>4.76</v>
      </c>
      <c r="S294" s="7">
        <v>4.76</v>
      </c>
      <c r="T294" s="7"/>
      <c r="U294" s="7">
        <f t="shared" si="14"/>
        <v>4.76</v>
      </c>
      <c r="V294" s="5" t="s">
        <v>45</v>
      </c>
      <c r="W294" s="7">
        <v>1.4</v>
      </c>
      <c r="X294" s="5" t="s">
        <v>46</v>
      </c>
      <c r="Z294" s="8">
        <f t="shared" si="13"/>
        <v>1.4</v>
      </c>
    </row>
    <row r="295" spans="1:26" x14ac:dyDescent="0.25">
      <c r="A295" s="5" t="s">
        <v>34</v>
      </c>
      <c r="B295" s="5" t="s">
        <v>161</v>
      </c>
      <c r="C295" s="5" t="s">
        <v>162</v>
      </c>
      <c r="D295" s="5" t="s">
        <v>37</v>
      </c>
      <c r="E295" s="5" t="s">
        <v>110</v>
      </c>
      <c r="F295" s="5" t="s">
        <v>111</v>
      </c>
      <c r="G295" s="5" t="s">
        <v>40</v>
      </c>
      <c r="H295" s="6">
        <v>45961</v>
      </c>
      <c r="I295" s="6">
        <v>45961</v>
      </c>
      <c r="J295" s="6">
        <v>45964</v>
      </c>
      <c r="K295" s="5" t="s">
        <v>135</v>
      </c>
      <c r="L295" s="5" t="s">
        <v>136</v>
      </c>
      <c r="M295" s="5" t="s">
        <v>43</v>
      </c>
      <c r="N295" s="5" t="s">
        <v>137</v>
      </c>
      <c r="O295" s="7">
        <v>11977.79</v>
      </c>
      <c r="P295" s="5" t="s">
        <v>45</v>
      </c>
      <c r="Q295" s="22"/>
      <c r="R295" s="8">
        <f t="shared" si="12"/>
        <v>11977.79</v>
      </c>
      <c r="S295" s="7">
        <v>11977.79</v>
      </c>
      <c r="T295" s="7"/>
      <c r="U295" s="7">
        <f t="shared" si="14"/>
        <v>11977.79</v>
      </c>
      <c r="V295" s="5" t="s">
        <v>45</v>
      </c>
      <c r="W295" s="7">
        <v>3524.95</v>
      </c>
      <c r="X295" s="5" t="s">
        <v>46</v>
      </c>
      <c r="Z295" s="8">
        <f t="shared" si="13"/>
        <v>3524.95</v>
      </c>
    </row>
    <row r="296" spans="1:26" x14ac:dyDescent="0.25">
      <c r="A296" s="5" t="s">
        <v>34</v>
      </c>
      <c r="B296" s="5" t="s">
        <v>161</v>
      </c>
      <c r="C296" s="5" t="s">
        <v>162</v>
      </c>
      <c r="D296" s="5" t="s">
        <v>37</v>
      </c>
      <c r="E296" s="5" t="s">
        <v>100</v>
      </c>
      <c r="F296" s="5" t="s">
        <v>101</v>
      </c>
      <c r="G296" s="5" t="s">
        <v>40</v>
      </c>
      <c r="H296" s="6">
        <v>45961</v>
      </c>
      <c r="I296" s="6">
        <v>45961</v>
      </c>
      <c r="J296" s="6">
        <v>45964</v>
      </c>
      <c r="K296" s="5" t="s">
        <v>135</v>
      </c>
      <c r="L296" s="5" t="s">
        <v>136</v>
      </c>
      <c r="M296" s="5" t="s">
        <v>43</v>
      </c>
      <c r="N296" s="5" t="s">
        <v>137</v>
      </c>
      <c r="O296" s="7">
        <v>828.89</v>
      </c>
      <c r="P296" s="5" t="s">
        <v>45</v>
      </c>
      <c r="Q296" s="22"/>
      <c r="R296" s="8">
        <f t="shared" si="12"/>
        <v>828.89</v>
      </c>
      <c r="S296" s="7">
        <v>828.89</v>
      </c>
      <c r="T296" s="7"/>
      <c r="U296" s="7">
        <f t="shared" si="14"/>
        <v>828.89</v>
      </c>
      <c r="V296" s="5" t="s">
        <v>45</v>
      </c>
      <c r="W296" s="7">
        <v>243.93</v>
      </c>
      <c r="X296" s="5" t="s">
        <v>46</v>
      </c>
      <c r="Z296" s="8">
        <f t="shared" si="13"/>
        <v>243.93</v>
      </c>
    </row>
    <row r="297" spans="1:26" x14ac:dyDescent="0.25">
      <c r="A297" s="5" t="s">
        <v>34</v>
      </c>
      <c r="B297" s="5" t="s">
        <v>161</v>
      </c>
      <c r="C297" s="5" t="s">
        <v>162</v>
      </c>
      <c r="D297" s="5" t="s">
        <v>37</v>
      </c>
      <c r="E297" s="5" t="s">
        <v>38</v>
      </c>
      <c r="F297" s="5" t="s">
        <v>39</v>
      </c>
      <c r="G297" s="5" t="s">
        <v>40</v>
      </c>
      <c r="H297" s="6">
        <v>45961</v>
      </c>
      <c r="I297" s="6">
        <v>45961</v>
      </c>
      <c r="J297" s="6">
        <v>45964</v>
      </c>
      <c r="K297" s="5" t="s">
        <v>135</v>
      </c>
      <c r="L297" s="5" t="s">
        <v>136</v>
      </c>
      <c r="M297" s="5" t="s">
        <v>43</v>
      </c>
      <c r="N297" s="5" t="s">
        <v>137</v>
      </c>
      <c r="O297" s="7">
        <v>123.79</v>
      </c>
      <c r="P297" s="5" t="s">
        <v>45</v>
      </c>
      <c r="Q297" s="22"/>
      <c r="R297" s="8">
        <f t="shared" si="12"/>
        <v>123.79</v>
      </c>
      <c r="S297" s="7">
        <v>123.79</v>
      </c>
      <c r="T297" s="7"/>
      <c r="U297" s="7">
        <f t="shared" si="14"/>
        <v>123.79</v>
      </c>
      <c r="V297" s="5" t="s">
        <v>45</v>
      </c>
      <c r="W297" s="7">
        <v>36.43</v>
      </c>
      <c r="X297" s="5" t="s">
        <v>46</v>
      </c>
      <c r="Z297" s="8">
        <f t="shared" si="13"/>
        <v>36.43</v>
      </c>
    </row>
    <row r="298" spans="1:26" x14ac:dyDescent="0.25">
      <c r="A298" s="5" t="s">
        <v>34</v>
      </c>
      <c r="B298" s="5" t="s">
        <v>161</v>
      </c>
      <c r="C298" s="5" t="s">
        <v>162</v>
      </c>
      <c r="D298" s="5" t="s">
        <v>37</v>
      </c>
      <c r="E298" s="5" t="s">
        <v>96</v>
      </c>
      <c r="F298" s="5" t="s">
        <v>97</v>
      </c>
      <c r="G298" s="5" t="s">
        <v>40</v>
      </c>
      <c r="H298" s="6">
        <v>45961</v>
      </c>
      <c r="I298" s="6">
        <v>45961</v>
      </c>
      <c r="J298" s="6">
        <v>45964</v>
      </c>
      <c r="K298" s="5" t="s">
        <v>147</v>
      </c>
      <c r="L298" s="5" t="s">
        <v>148</v>
      </c>
      <c r="M298" s="5" t="s">
        <v>43</v>
      </c>
      <c r="N298" s="5" t="s">
        <v>149</v>
      </c>
      <c r="O298" s="7">
        <v>128.84</v>
      </c>
      <c r="P298" s="5" t="s">
        <v>45</v>
      </c>
      <c r="Q298" s="22"/>
      <c r="R298" s="8">
        <f t="shared" si="12"/>
        <v>128.84</v>
      </c>
      <c r="S298" s="7">
        <v>128.84</v>
      </c>
      <c r="T298" s="7"/>
      <c r="U298" s="7">
        <f t="shared" si="14"/>
        <v>128.84</v>
      </c>
      <c r="V298" s="5" t="s">
        <v>45</v>
      </c>
      <c r="W298" s="7">
        <v>37.92</v>
      </c>
      <c r="X298" s="5" t="s">
        <v>46</v>
      </c>
      <c r="Z298" s="8">
        <f t="shared" si="13"/>
        <v>37.92</v>
      </c>
    </row>
    <row r="299" spans="1:26" x14ac:dyDescent="0.25">
      <c r="A299" s="5" t="s">
        <v>34</v>
      </c>
      <c r="B299" s="5" t="s">
        <v>161</v>
      </c>
      <c r="C299" s="5" t="s">
        <v>162</v>
      </c>
      <c r="D299" s="5" t="s">
        <v>37</v>
      </c>
      <c r="E299" s="5" t="s">
        <v>96</v>
      </c>
      <c r="F299" s="5" t="s">
        <v>97</v>
      </c>
      <c r="G299" s="5" t="s">
        <v>40</v>
      </c>
      <c r="H299" s="6">
        <v>45961</v>
      </c>
      <c r="I299" s="6">
        <v>45961</v>
      </c>
      <c r="J299" s="6">
        <v>45964</v>
      </c>
      <c r="K299" s="5" t="s">
        <v>135</v>
      </c>
      <c r="L299" s="5" t="s">
        <v>136</v>
      </c>
      <c r="M299" s="5" t="s">
        <v>43</v>
      </c>
      <c r="N299" s="5" t="s">
        <v>137</v>
      </c>
      <c r="O299" s="7">
        <v>3424.22</v>
      </c>
      <c r="P299" s="5" t="s">
        <v>45</v>
      </c>
      <c r="Q299" s="22"/>
      <c r="R299" s="8">
        <f t="shared" si="12"/>
        <v>3424.22</v>
      </c>
      <c r="S299" s="7">
        <v>3424.22</v>
      </c>
      <c r="T299" s="7"/>
      <c r="U299" s="7">
        <f t="shared" si="14"/>
        <v>3424.22</v>
      </c>
      <c r="V299" s="5" t="s">
        <v>45</v>
      </c>
      <c r="W299" s="7">
        <v>1007.72</v>
      </c>
      <c r="X299" s="5" t="s">
        <v>46</v>
      </c>
      <c r="Z299" s="8">
        <f t="shared" si="13"/>
        <v>1007.72</v>
      </c>
    </row>
    <row r="300" spans="1:26" x14ac:dyDescent="0.25">
      <c r="A300" s="5" t="s">
        <v>34</v>
      </c>
      <c r="B300" s="5" t="s">
        <v>161</v>
      </c>
      <c r="C300" s="5" t="s">
        <v>162</v>
      </c>
      <c r="D300" s="5" t="s">
        <v>37</v>
      </c>
      <c r="E300" s="5" t="s">
        <v>86</v>
      </c>
      <c r="F300" s="5" t="s">
        <v>87</v>
      </c>
      <c r="G300" s="5" t="s">
        <v>40</v>
      </c>
      <c r="H300" s="6">
        <v>45961</v>
      </c>
      <c r="I300" s="6">
        <v>45961</v>
      </c>
      <c r="J300" s="6">
        <v>45964</v>
      </c>
      <c r="K300" s="5" t="s">
        <v>135</v>
      </c>
      <c r="L300" s="5" t="s">
        <v>136</v>
      </c>
      <c r="M300" s="5" t="s">
        <v>43</v>
      </c>
      <c r="N300" s="5" t="s">
        <v>137</v>
      </c>
      <c r="O300" s="7">
        <v>8384.02</v>
      </c>
      <c r="P300" s="5" t="s">
        <v>45</v>
      </c>
      <c r="Q300" s="22"/>
      <c r="R300" s="8">
        <f t="shared" si="12"/>
        <v>8384.02</v>
      </c>
      <c r="S300" s="7">
        <v>8384.02</v>
      </c>
      <c r="T300" s="7"/>
      <c r="U300" s="7">
        <f t="shared" si="14"/>
        <v>8384.02</v>
      </c>
      <c r="V300" s="5" t="s">
        <v>45</v>
      </c>
      <c r="W300" s="7">
        <v>2467.34</v>
      </c>
      <c r="X300" s="5" t="s">
        <v>46</v>
      </c>
      <c r="Z300" s="8">
        <f t="shared" si="13"/>
        <v>2467.34</v>
      </c>
    </row>
    <row r="301" spans="1:26" x14ac:dyDescent="0.25">
      <c r="A301" s="5" t="s">
        <v>34</v>
      </c>
      <c r="B301" s="5" t="s">
        <v>161</v>
      </c>
      <c r="C301" s="5" t="s">
        <v>162</v>
      </c>
      <c r="D301" s="5" t="s">
        <v>37</v>
      </c>
      <c r="E301" s="5" t="s">
        <v>110</v>
      </c>
      <c r="F301" s="5" t="s">
        <v>111</v>
      </c>
      <c r="G301" s="5" t="s">
        <v>40</v>
      </c>
      <c r="H301" s="6">
        <v>45961</v>
      </c>
      <c r="I301" s="6">
        <v>45961</v>
      </c>
      <c r="J301" s="6">
        <v>45960</v>
      </c>
      <c r="K301" s="5" t="s">
        <v>150</v>
      </c>
      <c r="L301" s="5" t="s">
        <v>151</v>
      </c>
      <c r="M301" s="5" t="s">
        <v>43</v>
      </c>
      <c r="N301" s="5" t="s">
        <v>152</v>
      </c>
      <c r="O301" s="7">
        <v>24.19</v>
      </c>
      <c r="P301" s="5" t="s">
        <v>45</v>
      </c>
      <c r="Q301" s="22"/>
      <c r="R301" s="8">
        <f t="shared" si="12"/>
        <v>24.19</v>
      </c>
      <c r="S301" s="7">
        <v>24.19</v>
      </c>
      <c r="T301" s="7"/>
      <c r="U301" s="7">
        <f t="shared" si="14"/>
        <v>24.19</v>
      </c>
      <c r="V301" s="5" t="s">
        <v>45</v>
      </c>
      <c r="W301" s="7">
        <v>7.13</v>
      </c>
      <c r="X301" s="5" t="s">
        <v>46</v>
      </c>
      <c r="Z301" s="8">
        <f t="shared" si="13"/>
        <v>7.13</v>
      </c>
    </row>
    <row r="302" spans="1:26" x14ac:dyDescent="0.25">
      <c r="A302" s="5" t="s">
        <v>34</v>
      </c>
      <c r="B302" s="5" t="s">
        <v>161</v>
      </c>
      <c r="C302" s="5" t="s">
        <v>162</v>
      </c>
      <c r="D302" s="5" t="s">
        <v>37</v>
      </c>
      <c r="E302" s="5" t="s">
        <v>116</v>
      </c>
      <c r="F302" s="5" t="s">
        <v>117</v>
      </c>
      <c r="G302" s="5" t="s">
        <v>40</v>
      </c>
      <c r="H302" s="6">
        <v>45961</v>
      </c>
      <c r="I302" s="6">
        <v>45961</v>
      </c>
      <c r="J302" s="6">
        <v>45964</v>
      </c>
      <c r="K302" s="5" t="s">
        <v>135</v>
      </c>
      <c r="L302" s="5" t="s">
        <v>136</v>
      </c>
      <c r="M302" s="5" t="s">
        <v>43</v>
      </c>
      <c r="N302" s="5" t="s">
        <v>137</v>
      </c>
      <c r="O302" s="7">
        <v>2961.22</v>
      </c>
      <c r="P302" s="5" t="s">
        <v>45</v>
      </c>
      <c r="Q302" s="22"/>
      <c r="R302" s="8">
        <f t="shared" si="12"/>
        <v>2961.22</v>
      </c>
      <c r="S302" s="7">
        <v>2961.22</v>
      </c>
      <c r="T302" s="7"/>
      <c r="U302" s="7">
        <f t="shared" si="14"/>
        <v>2961.22</v>
      </c>
      <c r="V302" s="5" t="s">
        <v>45</v>
      </c>
      <c r="W302" s="7">
        <v>871.46</v>
      </c>
      <c r="X302" s="5" t="s">
        <v>46</v>
      </c>
      <c r="Z302" s="8">
        <f t="shared" si="13"/>
        <v>871.46</v>
      </c>
    </row>
    <row r="303" spans="1:26" x14ac:dyDescent="0.25">
      <c r="A303" s="5" t="s">
        <v>34</v>
      </c>
      <c r="B303" s="5" t="s">
        <v>161</v>
      </c>
      <c r="C303" s="5" t="s">
        <v>162</v>
      </c>
      <c r="D303" s="5" t="s">
        <v>37</v>
      </c>
      <c r="E303" s="5" t="s">
        <v>78</v>
      </c>
      <c r="F303" s="5" t="s">
        <v>79</v>
      </c>
      <c r="G303" s="5" t="s">
        <v>40</v>
      </c>
      <c r="H303" s="6">
        <v>45961</v>
      </c>
      <c r="I303" s="6">
        <v>45961</v>
      </c>
      <c r="J303" s="6">
        <v>45964</v>
      </c>
      <c r="K303" s="5" t="s">
        <v>135</v>
      </c>
      <c r="L303" s="5" t="s">
        <v>136</v>
      </c>
      <c r="M303" s="5" t="s">
        <v>43</v>
      </c>
      <c r="N303" s="5" t="s">
        <v>137</v>
      </c>
      <c r="O303" s="7">
        <v>1321.59</v>
      </c>
      <c r="P303" s="5" t="s">
        <v>45</v>
      </c>
      <c r="Q303" s="22"/>
      <c r="R303" s="8">
        <f t="shared" si="12"/>
        <v>1321.59</v>
      </c>
      <c r="S303" s="7">
        <v>1321.59</v>
      </c>
      <c r="T303" s="7"/>
      <c r="U303" s="7">
        <f t="shared" si="14"/>
        <v>1321.59</v>
      </c>
      <c r="V303" s="5" t="s">
        <v>45</v>
      </c>
      <c r="W303" s="7">
        <v>388.93</v>
      </c>
      <c r="X303" s="5" t="s">
        <v>46</v>
      </c>
      <c r="Z303" s="8">
        <f t="shared" si="13"/>
        <v>388.93</v>
      </c>
    </row>
    <row r="304" spans="1:26" x14ac:dyDescent="0.25">
      <c r="A304" s="5" t="s">
        <v>34</v>
      </c>
      <c r="B304" s="5" t="s">
        <v>161</v>
      </c>
      <c r="C304" s="5" t="s">
        <v>162</v>
      </c>
      <c r="D304" s="5" t="s">
        <v>37</v>
      </c>
      <c r="E304" s="5" t="s">
        <v>82</v>
      </c>
      <c r="F304" s="5" t="s">
        <v>83</v>
      </c>
      <c r="G304" s="5" t="s">
        <v>40</v>
      </c>
      <c r="H304" s="6">
        <v>45961</v>
      </c>
      <c r="I304" s="6">
        <v>45961</v>
      </c>
      <c r="J304" s="6">
        <v>45964</v>
      </c>
      <c r="K304" s="5" t="s">
        <v>135</v>
      </c>
      <c r="L304" s="5" t="s">
        <v>136</v>
      </c>
      <c r="M304" s="5" t="s">
        <v>43</v>
      </c>
      <c r="N304" s="5" t="s">
        <v>137</v>
      </c>
      <c r="O304" s="7">
        <v>1896.18</v>
      </c>
      <c r="P304" s="5" t="s">
        <v>45</v>
      </c>
      <c r="Q304" s="22"/>
      <c r="R304" s="8">
        <f t="shared" si="12"/>
        <v>1896.18</v>
      </c>
      <c r="S304" s="7">
        <v>1896.18</v>
      </c>
      <c r="T304" s="7"/>
      <c r="U304" s="7">
        <f t="shared" si="14"/>
        <v>1896.18</v>
      </c>
      <c r="V304" s="5" t="s">
        <v>45</v>
      </c>
      <c r="W304" s="7">
        <v>558.03</v>
      </c>
      <c r="X304" s="5" t="s">
        <v>46</v>
      </c>
      <c r="Z304" s="8">
        <f t="shared" si="13"/>
        <v>558.03</v>
      </c>
    </row>
    <row r="305" spans="1:26" x14ac:dyDescent="0.25">
      <c r="A305" s="5" t="s">
        <v>34</v>
      </c>
      <c r="B305" s="5" t="s">
        <v>161</v>
      </c>
      <c r="C305" s="5" t="s">
        <v>162</v>
      </c>
      <c r="D305" s="5" t="s">
        <v>37</v>
      </c>
      <c r="E305" s="5" t="s">
        <v>138</v>
      </c>
      <c r="F305" s="5" t="s">
        <v>139</v>
      </c>
      <c r="G305" s="5" t="s">
        <v>40</v>
      </c>
      <c r="H305" s="6">
        <v>45961</v>
      </c>
      <c r="I305" s="6">
        <v>45961</v>
      </c>
      <c r="J305" s="6">
        <v>45964</v>
      </c>
      <c r="K305" s="5" t="s">
        <v>135</v>
      </c>
      <c r="L305" s="5" t="s">
        <v>136</v>
      </c>
      <c r="M305" s="5" t="s">
        <v>43</v>
      </c>
      <c r="N305" s="5" t="s">
        <v>137</v>
      </c>
      <c r="O305" s="7">
        <v>1739.95</v>
      </c>
      <c r="P305" s="5" t="s">
        <v>45</v>
      </c>
      <c r="Q305" s="22"/>
      <c r="R305" s="8">
        <f t="shared" si="12"/>
        <v>1739.95</v>
      </c>
      <c r="S305" s="7">
        <v>1739.95</v>
      </c>
      <c r="T305" s="7"/>
      <c r="U305" s="7">
        <f t="shared" si="14"/>
        <v>1739.95</v>
      </c>
      <c r="V305" s="5" t="s">
        <v>45</v>
      </c>
      <c r="W305" s="7">
        <v>512.04999999999995</v>
      </c>
      <c r="X305" s="5" t="s">
        <v>46</v>
      </c>
      <c r="Z305" s="8">
        <f t="shared" si="13"/>
        <v>512.04999999999995</v>
      </c>
    </row>
    <row r="306" spans="1:26" x14ac:dyDescent="0.25">
      <c r="A306" s="5" t="s">
        <v>34</v>
      </c>
      <c r="B306" s="5" t="s">
        <v>161</v>
      </c>
      <c r="C306" s="5" t="s">
        <v>162</v>
      </c>
      <c r="D306" s="5" t="s">
        <v>37</v>
      </c>
      <c r="E306" s="5" t="s">
        <v>98</v>
      </c>
      <c r="F306" s="5" t="s">
        <v>99</v>
      </c>
      <c r="G306" s="5" t="s">
        <v>40</v>
      </c>
      <c r="H306" s="6">
        <v>45961</v>
      </c>
      <c r="I306" s="6">
        <v>45961</v>
      </c>
      <c r="J306" s="6">
        <v>45964</v>
      </c>
      <c r="K306" s="5" t="s">
        <v>135</v>
      </c>
      <c r="L306" s="5" t="s">
        <v>136</v>
      </c>
      <c r="M306" s="5" t="s">
        <v>43</v>
      </c>
      <c r="N306" s="5" t="s">
        <v>137</v>
      </c>
      <c r="O306" s="7">
        <v>308.39</v>
      </c>
      <c r="P306" s="5" t="s">
        <v>45</v>
      </c>
      <c r="Q306" s="22"/>
      <c r="R306" s="8">
        <f t="shared" si="12"/>
        <v>308.39</v>
      </c>
      <c r="S306" s="7">
        <v>308.39</v>
      </c>
      <c r="T306" s="7"/>
      <c r="U306" s="7">
        <f t="shared" si="14"/>
        <v>308.39</v>
      </c>
      <c r="V306" s="5" t="s">
        <v>45</v>
      </c>
      <c r="W306" s="7">
        <v>90.76</v>
      </c>
      <c r="X306" s="5" t="s">
        <v>46</v>
      </c>
      <c r="Z306" s="8">
        <f t="shared" si="13"/>
        <v>90.76</v>
      </c>
    </row>
    <row r="307" spans="1:26" x14ac:dyDescent="0.25">
      <c r="A307" s="5" t="s">
        <v>34</v>
      </c>
      <c r="B307" s="5" t="s">
        <v>161</v>
      </c>
      <c r="C307" s="5" t="s">
        <v>162</v>
      </c>
      <c r="D307" s="5" t="s">
        <v>37</v>
      </c>
      <c r="E307" s="5" t="s">
        <v>102</v>
      </c>
      <c r="F307" s="5" t="s">
        <v>103</v>
      </c>
      <c r="G307" s="5" t="s">
        <v>40</v>
      </c>
      <c r="H307" s="6">
        <v>45961</v>
      </c>
      <c r="I307" s="6">
        <v>45961</v>
      </c>
      <c r="J307" s="6">
        <v>45964</v>
      </c>
      <c r="K307" s="5" t="s">
        <v>135</v>
      </c>
      <c r="L307" s="5" t="s">
        <v>136</v>
      </c>
      <c r="M307" s="5" t="s">
        <v>43</v>
      </c>
      <c r="N307" s="5" t="s">
        <v>137</v>
      </c>
      <c r="O307" s="7">
        <v>626.04999999999995</v>
      </c>
      <c r="P307" s="5" t="s">
        <v>45</v>
      </c>
      <c r="Q307" s="22"/>
      <c r="R307" s="8">
        <f t="shared" si="12"/>
        <v>626.04999999999995</v>
      </c>
      <c r="S307" s="7">
        <v>626.04999999999995</v>
      </c>
      <c r="T307" s="7"/>
      <c r="U307" s="7">
        <f t="shared" si="14"/>
        <v>626.04999999999995</v>
      </c>
      <c r="V307" s="5" t="s">
        <v>45</v>
      </c>
      <c r="W307" s="7">
        <v>184.24</v>
      </c>
      <c r="X307" s="5" t="s">
        <v>46</v>
      </c>
      <c r="Z307" s="8">
        <f t="shared" si="13"/>
        <v>184.24</v>
      </c>
    </row>
    <row r="308" spans="1:26" x14ac:dyDescent="0.25">
      <c r="A308" s="5" t="s">
        <v>34</v>
      </c>
      <c r="B308" s="5" t="s">
        <v>161</v>
      </c>
      <c r="C308" s="5" t="s">
        <v>162</v>
      </c>
      <c r="D308" s="5" t="s">
        <v>37</v>
      </c>
      <c r="E308" s="5" t="s">
        <v>84</v>
      </c>
      <c r="F308" s="5" t="s">
        <v>85</v>
      </c>
      <c r="G308" s="5" t="s">
        <v>40</v>
      </c>
      <c r="H308" s="6">
        <v>45961</v>
      </c>
      <c r="I308" s="6">
        <v>45961</v>
      </c>
      <c r="J308" s="6">
        <v>45964</v>
      </c>
      <c r="K308" s="5" t="s">
        <v>135</v>
      </c>
      <c r="L308" s="5" t="s">
        <v>136</v>
      </c>
      <c r="M308" s="5" t="s">
        <v>43</v>
      </c>
      <c r="N308" s="5" t="s">
        <v>137</v>
      </c>
      <c r="O308" s="7">
        <v>84.87</v>
      </c>
      <c r="P308" s="5" t="s">
        <v>45</v>
      </c>
      <c r="Q308" s="22"/>
      <c r="R308" s="8">
        <f t="shared" si="12"/>
        <v>84.87</v>
      </c>
      <c r="S308" s="7">
        <v>84.87</v>
      </c>
      <c r="T308" s="7"/>
      <c r="U308" s="7">
        <f t="shared" si="14"/>
        <v>84.87</v>
      </c>
      <c r="V308" s="5" t="s">
        <v>45</v>
      </c>
      <c r="W308" s="7">
        <v>24.98</v>
      </c>
      <c r="X308" s="5" t="s">
        <v>46</v>
      </c>
      <c r="Z308" s="8">
        <f t="shared" si="13"/>
        <v>24.98</v>
      </c>
    </row>
    <row r="309" spans="1:26" x14ac:dyDescent="0.25">
      <c r="A309" s="5" t="s">
        <v>34</v>
      </c>
      <c r="B309" s="5" t="s">
        <v>161</v>
      </c>
      <c r="C309" s="5" t="s">
        <v>162</v>
      </c>
      <c r="D309" s="5" t="s">
        <v>37</v>
      </c>
      <c r="E309" s="5" t="s">
        <v>104</v>
      </c>
      <c r="F309" s="5" t="s">
        <v>105</v>
      </c>
      <c r="G309" s="5" t="s">
        <v>40</v>
      </c>
      <c r="H309" s="6">
        <v>45961</v>
      </c>
      <c r="I309" s="6">
        <v>45961</v>
      </c>
      <c r="J309" s="6">
        <v>45964</v>
      </c>
      <c r="K309" s="5" t="s">
        <v>135</v>
      </c>
      <c r="L309" s="5" t="s">
        <v>136</v>
      </c>
      <c r="M309" s="5" t="s">
        <v>43</v>
      </c>
      <c r="N309" s="5" t="s">
        <v>137</v>
      </c>
      <c r="O309" s="7">
        <v>719.17</v>
      </c>
      <c r="P309" s="5" t="s">
        <v>45</v>
      </c>
      <c r="Q309" s="22"/>
      <c r="R309" s="8">
        <f t="shared" si="12"/>
        <v>719.17</v>
      </c>
      <c r="S309" s="7">
        <v>719.17</v>
      </c>
      <c r="T309" s="7"/>
      <c r="U309" s="7">
        <f t="shared" si="14"/>
        <v>719.17</v>
      </c>
      <c r="V309" s="5" t="s">
        <v>45</v>
      </c>
      <c r="W309" s="7">
        <v>211.65</v>
      </c>
      <c r="X309" s="5" t="s">
        <v>46</v>
      </c>
      <c r="Z309" s="8">
        <f t="shared" si="13"/>
        <v>211.65</v>
      </c>
    </row>
    <row r="310" spans="1:26" x14ac:dyDescent="0.25">
      <c r="A310" s="5" t="s">
        <v>34</v>
      </c>
      <c r="B310" s="5" t="s">
        <v>161</v>
      </c>
      <c r="C310" s="5" t="s">
        <v>162</v>
      </c>
      <c r="D310" s="5" t="s">
        <v>37</v>
      </c>
      <c r="E310" s="5" t="s">
        <v>62</v>
      </c>
      <c r="F310" s="5" t="s">
        <v>63</v>
      </c>
      <c r="G310" s="5" t="s">
        <v>40</v>
      </c>
      <c r="H310" s="6">
        <v>45961</v>
      </c>
      <c r="I310" s="6">
        <v>45961</v>
      </c>
      <c r="J310" s="6">
        <v>45964</v>
      </c>
      <c r="K310" s="5" t="s">
        <v>135</v>
      </c>
      <c r="L310" s="5" t="s">
        <v>136</v>
      </c>
      <c r="M310" s="5" t="s">
        <v>43</v>
      </c>
      <c r="N310" s="5" t="s">
        <v>137</v>
      </c>
      <c r="O310" s="7">
        <v>7809.51</v>
      </c>
      <c r="P310" s="5" t="s">
        <v>45</v>
      </c>
      <c r="Q310" s="22"/>
      <c r="R310" s="8">
        <f t="shared" si="12"/>
        <v>7809.51</v>
      </c>
      <c r="S310" s="7">
        <v>7809.51</v>
      </c>
      <c r="T310" s="7"/>
      <c r="U310" s="7">
        <f t="shared" si="14"/>
        <v>7809.51</v>
      </c>
      <c r="V310" s="5" t="s">
        <v>45</v>
      </c>
      <c r="W310" s="7">
        <v>2298.27</v>
      </c>
      <c r="X310" s="5" t="s">
        <v>46</v>
      </c>
      <c r="Z310" s="8">
        <f t="shared" si="13"/>
        <v>2298.27</v>
      </c>
    </row>
    <row r="311" spans="1:26" x14ac:dyDescent="0.25">
      <c r="A311" s="5" t="s">
        <v>34</v>
      </c>
      <c r="B311" s="5" t="s">
        <v>161</v>
      </c>
      <c r="C311" s="5" t="s">
        <v>162</v>
      </c>
      <c r="D311" s="5" t="s">
        <v>37</v>
      </c>
      <c r="E311" s="5" t="s">
        <v>54</v>
      </c>
      <c r="F311" s="5" t="s">
        <v>55</v>
      </c>
      <c r="G311" s="5" t="s">
        <v>40</v>
      </c>
      <c r="H311" s="6">
        <v>45961</v>
      </c>
      <c r="I311" s="6">
        <v>45961</v>
      </c>
      <c r="J311" s="6">
        <v>45964</v>
      </c>
      <c r="K311" s="5" t="s">
        <v>135</v>
      </c>
      <c r="L311" s="5" t="s">
        <v>136</v>
      </c>
      <c r="M311" s="5" t="s">
        <v>43</v>
      </c>
      <c r="N311" s="5" t="s">
        <v>137</v>
      </c>
      <c r="O311" s="7">
        <v>267.39999999999998</v>
      </c>
      <c r="P311" s="5" t="s">
        <v>45</v>
      </c>
      <c r="Q311" s="22"/>
      <c r="R311" s="8">
        <f t="shared" si="12"/>
        <v>267.39999999999998</v>
      </c>
      <c r="S311" s="7">
        <v>267.39999999999998</v>
      </c>
      <c r="T311" s="7"/>
      <c r="U311" s="7">
        <f t="shared" si="14"/>
        <v>267.39999999999998</v>
      </c>
      <c r="V311" s="5" t="s">
        <v>45</v>
      </c>
      <c r="W311" s="7">
        <v>78.69</v>
      </c>
      <c r="X311" s="5" t="s">
        <v>46</v>
      </c>
      <c r="Z311" s="8">
        <f t="shared" si="13"/>
        <v>78.69</v>
      </c>
    </row>
    <row r="312" spans="1:26" x14ac:dyDescent="0.25">
      <c r="A312" s="5" t="s">
        <v>34</v>
      </c>
      <c r="B312" s="5" t="s">
        <v>161</v>
      </c>
      <c r="C312" s="5" t="s">
        <v>162</v>
      </c>
      <c r="D312" s="5" t="s">
        <v>37</v>
      </c>
      <c r="E312" s="5" t="s">
        <v>50</v>
      </c>
      <c r="F312" s="5" t="s">
        <v>51</v>
      </c>
      <c r="G312" s="5" t="s">
        <v>40</v>
      </c>
      <c r="H312" s="6">
        <v>45961</v>
      </c>
      <c r="I312" s="6">
        <v>45961</v>
      </c>
      <c r="J312" s="6">
        <v>45964</v>
      </c>
      <c r="K312" s="5" t="s">
        <v>135</v>
      </c>
      <c r="L312" s="5" t="s">
        <v>136</v>
      </c>
      <c r="M312" s="5" t="s">
        <v>43</v>
      </c>
      <c r="N312" s="5" t="s">
        <v>137</v>
      </c>
      <c r="O312" s="7">
        <v>7177.6</v>
      </c>
      <c r="P312" s="5" t="s">
        <v>45</v>
      </c>
      <c r="Q312" s="22"/>
      <c r="R312" s="8">
        <f t="shared" si="12"/>
        <v>7177.6</v>
      </c>
      <c r="S312" s="7">
        <v>7177.6</v>
      </c>
      <c r="T312" s="7"/>
      <c r="U312" s="7">
        <f t="shared" si="14"/>
        <v>7177.6</v>
      </c>
      <c r="V312" s="5" t="s">
        <v>45</v>
      </c>
      <c r="W312" s="7">
        <v>2112.3000000000002</v>
      </c>
      <c r="X312" s="5" t="s">
        <v>46</v>
      </c>
      <c r="Z312" s="8">
        <f t="shared" si="13"/>
        <v>2112.3000000000002</v>
      </c>
    </row>
    <row r="313" spans="1:26" x14ac:dyDescent="0.25">
      <c r="A313" s="5" t="s">
        <v>34</v>
      </c>
      <c r="B313" s="5" t="s">
        <v>161</v>
      </c>
      <c r="C313" s="5" t="s">
        <v>162</v>
      </c>
      <c r="D313" s="5" t="s">
        <v>37</v>
      </c>
      <c r="E313" s="5" t="s">
        <v>58</v>
      </c>
      <c r="F313" s="5" t="s">
        <v>59</v>
      </c>
      <c r="G313" s="5" t="s">
        <v>40</v>
      </c>
      <c r="H313" s="6">
        <v>45961</v>
      </c>
      <c r="I313" s="6">
        <v>45961</v>
      </c>
      <c r="J313" s="6">
        <v>45964</v>
      </c>
      <c r="K313" s="5" t="s">
        <v>135</v>
      </c>
      <c r="L313" s="5" t="s">
        <v>136</v>
      </c>
      <c r="M313" s="5" t="s">
        <v>43</v>
      </c>
      <c r="N313" s="5" t="s">
        <v>137</v>
      </c>
      <c r="O313" s="7">
        <v>484.6</v>
      </c>
      <c r="P313" s="5" t="s">
        <v>45</v>
      </c>
      <c r="Q313" s="22"/>
      <c r="R313" s="8">
        <f t="shared" si="12"/>
        <v>484.6</v>
      </c>
      <c r="S313" s="7">
        <v>484.6</v>
      </c>
      <c r="T313" s="7"/>
      <c r="U313" s="7">
        <f t="shared" si="14"/>
        <v>484.6</v>
      </c>
      <c r="V313" s="5" t="s">
        <v>45</v>
      </c>
      <c r="W313" s="7">
        <v>142.61000000000001</v>
      </c>
      <c r="X313" s="5" t="s">
        <v>46</v>
      </c>
      <c r="Z313" s="8">
        <f t="shared" si="13"/>
        <v>142.61000000000001</v>
      </c>
    </row>
    <row r="314" spans="1:26" x14ac:dyDescent="0.25">
      <c r="A314" s="5" t="s">
        <v>34</v>
      </c>
      <c r="B314" s="5" t="s">
        <v>161</v>
      </c>
      <c r="C314" s="5" t="s">
        <v>162</v>
      </c>
      <c r="D314" s="5" t="s">
        <v>37</v>
      </c>
      <c r="E314" s="5" t="s">
        <v>118</v>
      </c>
      <c r="F314" s="5" t="s">
        <v>119</v>
      </c>
      <c r="G314" s="5" t="s">
        <v>40</v>
      </c>
      <c r="H314" s="6">
        <v>45961</v>
      </c>
      <c r="I314" s="6">
        <v>45961</v>
      </c>
      <c r="J314" s="6">
        <v>45964</v>
      </c>
      <c r="K314" s="5" t="s">
        <v>135</v>
      </c>
      <c r="L314" s="5" t="s">
        <v>136</v>
      </c>
      <c r="M314" s="5" t="s">
        <v>43</v>
      </c>
      <c r="N314" s="5" t="s">
        <v>137</v>
      </c>
      <c r="O314" s="7">
        <v>354.64</v>
      </c>
      <c r="P314" s="5" t="s">
        <v>45</v>
      </c>
      <c r="Q314" s="22"/>
      <c r="R314" s="8">
        <f t="shared" si="12"/>
        <v>354.64</v>
      </c>
      <c r="S314" s="7">
        <v>354.64</v>
      </c>
      <c r="T314" s="7"/>
      <c r="U314" s="7">
        <f t="shared" si="14"/>
        <v>354.64</v>
      </c>
      <c r="V314" s="5" t="s">
        <v>45</v>
      </c>
      <c r="W314" s="7">
        <v>104.37</v>
      </c>
      <c r="X314" s="5" t="s">
        <v>46</v>
      </c>
      <c r="Z314" s="8">
        <f t="shared" si="13"/>
        <v>104.37</v>
      </c>
    </row>
    <row r="315" spans="1:26" x14ac:dyDescent="0.25">
      <c r="A315" s="5" t="s">
        <v>34</v>
      </c>
      <c r="B315" s="5" t="s">
        <v>161</v>
      </c>
      <c r="C315" s="5" t="s">
        <v>162</v>
      </c>
      <c r="D315" s="5" t="s">
        <v>37</v>
      </c>
      <c r="E315" s="5" t="s">
        <v>48</v>
      </c>
      <c r="F315" s="5" t="s">
        <v>49</v>
      </c>
      <c r="G315" s="5" t="s">
        <v>40</v>
      </c>
      <c r="H315" s="6">
        <v>45961</v>
      </c>
      <c r="I315" s="6">
        <v>45961</v>
      </c>
      <c r="J315" s="6">
        <v>45964</v>
      </c>
      <c r="K315" s="5" t="s">
        <v>135</v>
      </c>
      <c r="L315" s="5" t="s">
        <v>136</v>
      </c>
      <c r="M315" s="5" t="s">
        <v>43</v>
      </c>
      <c r="N315" s="5" t="s">
        <v>137</v>
      </c>
      <c r="O315" s="7">
        <v>4827.5</v>
      </c>
      <c r="P315" s="5" t="s">
        <v>45</v>
      </c>
      <c r="Q315" s="22"/>
      <c r="R315" s="8">
        <f t="shared" si="12"/>
        <v>4827.5</v>
      </c>
      <c r="S315" s="7">
        <v>4827.5</v>
      </c>
      <c r="T315" s="7"/>
      <c r="U315" s="7">
        <f t="shared" si="14"/>
        <v>4827.5</v>
      </c>
      <c r="V315" s="5" t="s">
        <v>45</v>
      </c>
      <c r="W315" s="7">
        <v>1420.69</v>
      </c>
      <c r="X315" s="5" t="s">
        <v>46</v>
      </c>
      <c r="Z315" s="8">
        <f t="shared" si="13"/>
        <v>1420.69</v>
      </c>
    </row>
    <row r="316" spans="1:26" x14ac:dyDescent="0.25">
      <c r="A316" s="5" t="s">
        <v>34</v>
      </c>
      <c r="B316" s="5" t="s">
        <v>161</v>
      </c>
      <c r="C316" s="5" t="s">
        <v>162</v>
      </c>
      <c r="D316" s="5" t="s">
        <v>37</v>
      </c>
      <c r="E316" s="5" t="s">
        <v>80</v>
      </c>
      <c r="F316" s="5" t="s">
        <v>81</v>
      </c>
      <c r="G316" s="5" t="s">
        <v>40</v>
      </c>
      <c r="H316" s="6">
        <v>45961</v>
      </c>
      <c r="I316" s="6">
        <v>45961</v>
      </c>
      <c r="J316" s="6">
        <v>45964</v>
      </c>
      <c r="K316" s="5" t="s">
        <v>135</v>
      </c>
      <c r="L316" s="5" t="s">
        <v>136</v>
      </c>
      <c r="M316" s="5" t="s">
        <v>43</v>
      </c>
      <c r="N316" s="5" t="s">
        <v>137</v>
      </c>
      <c r="O316" s="7">
        <v>1022.89</v>
      </c>
      <c r="P316" s="5" t="s">
        <v>45</v>
      </c>
      <c r="Q316" s="22"/>
      <c r="R316" s="8">
        <f t="shared" si="12"/>
        <v>1022.89</v>
      </c>
      <c r="S316" s="7">
        <v>1022.89</v>
      </c>
      <c r="T316" s="7"/>
      <c r="U316" s="7">
        <f t="shared" si="14"/>
        <v>1022.89</v>
      </c>
      <c r="V316" s="5" t="s">
        <v>45</v>
      </c>
      <c r="W316" s="7">
        <v>301.02999999999997</v>
      </c>
      <c r="X316" s="5" t="s">
        <v>46</v>
      </c>
      <c r="Z316" s="8">
        <f t="shared" si="13"/>
        <v>301.02999999999997</v>
      </c>
    </row>
    <row r="317" spans="1:26" x14ac:dyDescent="0.25">
      <c r="A317" s="5" t="s">
        <v>34</v>
      </c>
      <c r="B317" s="5" t="s">
        <v>161</v>
      </c>
      <c r="C317" s="5" t="s">
        <v>162</v>
      </c>
      <c r="D317" s="5" t="s">
        <v>37</v>
      </c>
      <c r="E317" s="5" t="s">
        <v>60</v>
      </c>
      <c r="F317" s="5" t="s">
        <v>61</v>
      </c>
      <c r="G317" s="5" t="s">
        <v>40</v>
      </c>
      <c r="H317" s="6">
        <v>45961</v>
      </c>
      <c r="I317" s="6">
        <v>45961</v>
      </c>
      <c r="J317" s="6">
        <v>45964</v>
      </c>
      <c r="K317" s="5" t="s">
        <v>135</v>
      </c>
      <c r="L317" s="5" t="s">
        <v>136</v>
      </c>
      <c r="M317" s="5" t="s">
        <v>43</v>
      </c>
      <c r="N317" s="5" t="s">
        <v>137</v>
      </c>
      <c r="O317" s="7">
        <v>322.51</v>
      </c>
      <c r="P317" s="5" t="s">
        <v>45</v>
      </c>
      <c r="Q317" s="22"/>
      <c r="R317" s="8">
        <f t="shared" si="12"/>
        <v>322.51</v>
      </c>
      <c r="S317" s="7">
        <v>322.51</v>
      </c>
      <c r="T317" s="7"/>
      <c r="U317" s="7">
        <f t="shared" si="14"/>
        <v>322.51</v>
      </c>
      <c r="V317" s="5" t="s">
        <v>45</v>
      </c>
      <c r="W317" s="7">
        <v>94.91</v>
      </c>
      <c r="X317" s="5" t="s">
        <v>46</v>
      </c>
      <c r="Z317" s="8">
        <f t="shared" si="13"/>
        <v>94.91</v>
      </c>
    </row>
    <row r="318" spans="1:26" x14ac:dyDescent="0.25">
      <c r="A318" s="5" t="s">
        <v>34</v>
      </c>
      <c r="B318" s="5" t="s">
        <v>161</v>
      </c>
      <c r="C318" s="5" t="s">
        <v>162</v>
      </c>
      <c r="D318" s="5" t="s">
        <v>37</v>
      </c>
      <c r="E318" s="5" t="s">
        <v>74</v>
      </c>
      <c r="F318" s="5" t="s">
        <v>75</v>
      </c>
      <c r="G318" s="5" t="s">
        <v>40</v>
      </c>
      <c r="H318" s="6">
        <v>45961</v>
      </c>
      <c r="I318" s="6">
        <v>45961</v>
      </c>
      <c r="J318" s="6">
        <v>45964</v>
      </c>
      <c r="K318" s="5" t="s">
        <v>135</v>
      </c>
      <c r="L318" s="5" t="s">
        <v>136</v>
      </c>
      <c r="M318" s="5" t="s">
        <v>43</v>
      </c>
      <c r="N318" s="5" t="s">
        <v>137</v>
      </c>
      <c r="O318" s="7">
        <v>13678.31</v>
      </c>
      <c r="P318" s="5" t="s">
        <v>45</v>
      </c>
      <c r="Q318" s="22"/>
      <c r="R318" s="8">
        <f t="shared" si="12"/>
        <v>13678.31</v>
      </c>
      <c r="S318" s="7">
        <v>13678.31</v>
      </c>
      <c r="T318" s="7"/>
      <c r="U318" s="7">
        <f t="shared" si="14"/>
        <v>13678.31</v>
      </c>
      <c r="V318" s="5" t="s">
        <v>45</v>
      </c>
      <c r="W318" s="7">
        <v>4025.4</v>
      </c>
      <c r="X318" s="5" t="s">
        <v>46</v>
      </c>
      <c r="Z318" s="8">
        <f t="shared" si="13"/>
        <v>4025.4</v>
      </c>
    </row>
    <row r="319" spans="1:26" x14ac:dyDescent="0.25">
      <c r="A319" s="5" t="s">
        <v>34</v>
      </c>
      <c r="B319" s="5" t="s">
        <v>161</v>
      </c>
      <c r="C319" s="5" t="s">
        <v>162</v>
      </c>
      <c r="D319" s="5" t="s">
        <v>37</v>
      </c>
      <c r="E319" s="5" t="s">
        <v>68</v>
      </c>
      <c r="F319" s="5" t="s">
        <v>69</v>
      </c>
      <c r="G319" s="5" t="s">
        <v>40</v>
      </c>
      <c r="H319" s="6">
        <v>45961</v>
      </c>
      <c r="I319" s="6">
        <v>45961</v>
      </c>
      <c r="J319" s="6">
        <v>45964</v>
      </c>
      <c r="K319" s="5" t="s">
        <v>135</v>
      </c>
      <c r="L319" s="5" t="s">
        <v>136</v>
      </c>
      <c r="M319" s="5" t="s">
        <v>43</v>
      </c>
      <c r="N319" s="5" t="s">
        <v>137</v>
      </c>
      <c r="O319" s="7">
        <v>3375.39</v>
      </c>
      <c r="P319" s="5" t="s">
        <v>45</v>
      </c>
      <c r="Q319" s="22"/>
      <c r="R319" s="8">
        <f t="shared" si="12"/>
        <v>3375.39</v>
      </c>
      <c r="S319" s="7">
        <v>3375.39</v>
      </c>
      <c r="T319" s="7"/>
      <c r="U319" s="7">
        <f t="shared" si="14"/>
        <v>3375.39</v>
      </c>
      <c r="V319" s="5" t="s">
        <v>45</v>
      </c>
      <c r="W319" s="7">
        <v>993.35</v>
      </c>
      <c r="X319" s="5" t="s">
        <v>46</v>
      </c>
      <c r="Z319" s="8">
        <f t="shared" si="13"/>
        <v>993.35</v>
      </c>
    </row>
    <row r="320" spans="1:26" x14ac:dyDescent="0.25">
      <c r="A320" s="5" t="s">
        <v>34</v>
      </c>
      <c r="B320" s="5" t="s">
        <v>161</v>
      </c>
      <c r="C320" s="5" t="s">
        <v>162</v>
      </c>
      <c r="D320" s="5" t="s">
        <v>37</v>
      </c>
      <c r="E320" s="5" t="s">
        <v>64</v>
      </c>
      <c r="F320" s="5" t="s">
        <v>65</v>
      </c>
      <c r="G320" s="5" t="s">
        <v>40</v>
      </c>
      <c r="H320" s="6">
        <v>45961</v>
      </c>
      <c r="I320" s="6">
        <v>45961</v>
      </c>
      <c r="J320" s="6">
        <v>45964</v>
      </c>
      <c r="K320" s="5" t="s">
        <v>135</v>
      </c>
      <c r="L320" s="5" t="s">
        <v>136</v>
      </c>
      <c r="M320" s="5" t="s">
        <v>43</v>
      </c>
      <c r="N320" s="5" t="s">
        <v>137</v>
      </c>
      <c r="O320" s="7">
        <v>2519.89</v>
      </c>
      <c r="P320" s="5" t="s">
        <v>45</v>
      </c>
      <c r="Q320" s="22"/>
      <c r="R320" s="8">
        <f t="shared" si="12"/>
        <v>2519.89</v>
      </c>
      <c r="S320" s="7">
        <v>2519.89</v>
      </c>
      <c r="T320" s="7"/>
      <c r="U320" s="7">
        <f t="shared" si="14"/>
        <v>2519.89</v>
      </c>
      <c r="V320" s="5" t="s">
        <v>45</v>
      </c>
      <c r="W320" s="7">
        <v>741.58</v>
      </c>
      <c r="X320" s="5" t="s">
        <v>46</v>
      </c>
      <c r="Z320" s="8">
        <f t="shared" si="13"/>
        <v>741.58</v>
      </c>
    </row>
    <row r="321" spans="1:26" x14ac:dyDescent="0.25">
      <c r="A321" s="5" t="s">
        <v>34</v>
      </c>
      <c r="B321" s="5" t="s">
        <v>161</v>
      </c>
      <c r="C321" s="5" t="s">
        <v>162</v>
      </c>
      <c r="D321" s="5" t="s">
        <v>37</v>
      </c>
      <c r="E321" s="5" t="s">
        <v>92</v>
      </c>
      <c r="F321" s="5" t="s">
        <v>93</v>
      </c>
      <c r="G321" s="5" t="s">
        <v>40</v>
      </c>
      <c r="H321" s="6">
        <v>45961</v>
      </c>
      <c r="I321" s="6">
        <v>45961</v>
      </c>
      <c r="J321" s="6">
        <v>45964</v>
      </c>
      <c r="K321" s="5" t="s">
        <v>135</v>
      </c>
      <c r="L321" s="5" t="s">
        <v>136</v>
      </c>
      <c r="M321" s="5" t="s">
        <v>43</v>
      </c>
      <c r="N321" s="5" t="s">
        <v>137</v>
      </c>
      <c r="O321" s="7">
        <v>321.42</v>
      </c>
      <c r="P321" s="5" t="s">
        <v>45</v>
      </c>
      <c r="Q321" s="22"/>
      <c r="R321" s="8">
        <f t="shared" si="12"/>
        <v>321.42</v>
      </c>
      <c r="S321" s="7">
        <v>321.42</v>
      </c>
      <c r="T321" s="7"/>
      <c r="U321" s="7">
        <f t="shared" si="14"/>
        <v>321.42</v>
      </c>
      <c r="V321" s="5" t="s">
        <v>45</v>
      </c>
      <c r="W321" s="7">
        <v>94.59</v>
      </c>
      <c r="X321" s="5" t="s">
        <v>46</v>
      </c>
      <c r="Z321" s="8">
        <f t="shared" si="13"/>
        <v>94.59</v>
      </c>
    </row>
    <row r="322" spans="1:26" x14ac:dyDescent="0.25">
      <c r="A322" s="5" t="s">
        <v>34</v>
      </c>
      <c r="B322" s="5" t="s">
        <v>161</v>
      </c>
      <c r="C322" s="5" t="s">
        <v>162</v>
      </c>
      <c r="D322" s="5" t="s">
        <v>37</v>
      </c>
      <c r="E322" s="5" t="s">
        <v>106</v>
      </c>
      <c r="F322" s="5" t="s">
        <v>107</v>
      </c>
      <c r="G322" s="5" t="s">
        <v>40</v>
      </c>
      <c r="H322" s="6">
        <v>45961</v>
      </c>
      <c r="I322" s="6">
        <v>45961</v>
      </c>
      <c r="J322" s="6">
        <v>45964</v>
      </c>
      <c r="K322" s="5" t="s">
        <v>135</v>
      </c>
      <c r="L322" s="5" t="s">
        <v>136</v>
      </c>
      <c r="M322" s="5" t="s">
        <v>43</v>
      </c>
      <c r="N322" s="5" t="s">
        <v>137</v>
      </c>
      <c r="O322" s="7">
        <v>162.22999999999999</v>
      </c>
      <c r="P322" s="5" t="s">
        <v>45</v>
      </c>
      <c r="Q322" s="22"/>
      <c r="R322" s="8">
        <f t="shared" ref="R322:R385" si="15">+O322+Q322</f>
        <v>162.22999999999999</v>
      </c>
      <c r="S322" s="7">
        <v>162.22999999999999</v>
      </c>
      <c r="T322" s="7"/>
      <c r="U322" s="7">
        <f t="shared" si="14"/>
        <v>162.22999999999999</v>
      </c>
      <c r="V322" s="5" t="s">
        <v>45</v>
      </c>
      <c r="W322" s="7">
        <v>47.74</v>
      </c>
      <c r="X322" s="5" t="s">
        <v>46</v>
      </c>
      <c r="Z322" s="8">
        <f t="shared" ref="Z322:Z385" si="16">+W322+Y322</f>
        <v>47.74</v>
      </c>
    </row>
    <row r="323" spans="1:26" x14ac:dyDescent="0.25">
      <c r="A323" s="5" t="s">
        <v>34</v>
      </c>
      <c r="B323" s="5" t="s">
        <v>163</v>
      </c>
      <c r="C323" s="5" t="s">
        <v>164</v>
      </c>
      <c r="D323" s="5" t="s">
        <v>37</v>
      </c>
      <c r="E323" s="5" t="s">
        <v>74</v>
      </c>
      <c r="F323" s="5" t="s">
        <v>75</v>
      </c>
      <c r="G323" s="5" t="s">
        <v>40</v>
      </c>
      <c r="H323" s="6">
        <v>45961</v>
      </c>
      <c r="I323" s="6">
        <v>45961</v>
      </c>
      <c r="J323" s="6">
        <v>45964</v>
      </c>
      <c r="K323" s="5" t="s">
        <v>41</v>
      </c>
      <c r="L323" s="5" t="s">
        <v>42</v>
      </c>
      <c r="M323" s="5" t="s">
        <v>43</v>
      </c>
      <c r="N323" s="5" t="s">
        <v>44</v>
      </c>
      <c r="O323" s="7">
        <v>1292.54</v>
      </c>
      <c r="P323" s="5" t="s">
        <v>45</v>
      </c>
      <c r="Q323" s="22"/>
      <c r="R323" s="8">
        <f t="shared" si="15"/>
        <v>1292.54</v>
      </c>
      <c r="S323" s="7">
        <v>1292.54</v>
      </c>
      <c r="T323" s="7"/>
      <c r="U323" s="7">
        <f t="shared" ref="U323:U386" si="17">+S323+T323</f>
        <v>1292.54</v>
      </c>
      <c r="V323" s="5" t="s">
        <v>45</v>
      </c>
      <c r="W323" s="7">
        <v>380.38</v>
      </c>
      <c r="X323" s="5" t="s">
        <v>46</v>
      </c>
      <c r="Z323" s="8">
        <f t="shared" si="16"/>
        <v>380.38</v>
      </c>
    </row>
    <row r="324" spans="1:26" x14ac:dyDescent="0.25">
      <c r="A324" s="5" t="s">
        <v>34</v>
      </c>
      <c r="B324" s="5" t="s">
        <v>163</v>
      </c>
      <c r="C324" s="5" t="s">
        <v>164</v>
      </c>
      <c r="D324" s="5" t="s">
        <v>37</v>
      </c>
      <c r="E324" s="5" t="s">
        <v>100</v>
      </c>
      <c r="F324" s="5" t="s">
        <v>101</v>
      </c>
      <c r="G324" s="5" t="s">
        <v>40</v>
      </c>
      <c r="H324" s="6">
        <v>45961</v>
      </c>
      <c r="I324" s="6">
        <v>45961</v>
      </c>
      <c r="J324" s="6">
        <v>45964</v>
      </c>
      <c r="K324" s="5" t="s">
        <v>41</v>
      </c>
      <c r="L324" s="5" t="s">
        <v>42</v>
      </c>
      <c r="M324" s="5" t="s">
        <v>43</v>
      </c>
      <c r="N324" s="5" t="s">
        <v>44</v>
      </c>
      <c r="O324" s="7">
        <v>810.85</v>
      </c>
      <c r="P324" s="5" t="s">
        <v>45</v>
      </c>
      <c r="Q324" s="22"/>
      <c r="R324" s="8">
        <f t="shared" si="15"/>
        <v>810.85</v>
      </c>
      <c r="S324" s="7">
        <v>810.85</v>
      </c>
      <c r="T324" s="7"/>
      <c r="U324" s="7">
        <f t="shared" si="17"/>
        <v>810.85</v>
      </c>
      <c r="V324" s="5" t="s">
        <v>45</v>
      </c>
      <c r="W324" s="7">
        <v>238.63</v>
      </c>
      <c r="X324" s="5" t="s">
        <v>46</v>
      </c>
      <c r="Z324" s="8">
        <f t="shared" si="16"/>
        <v>238.63</v>
      </c>
    </row>
    <row r="325" spans="1:26" x14ac:dyDescent="0.25">
      <c r="A325" s="5" t="s">
        <v>34</v>
      </c>
      <c r="B325" s="5" t="s">
        <v>163</v>
      </c>
      <c r="C325" s="5" t="s">
        <v>164</v>
      </c>
      <c r="D325" s="5" t="s">
        <v>37</v>
      </c>
      <c r="E325" s="5" t="s">
        <v>60</v>
      </c>
      <c r="F325" s="5" t="s">
        <v>61</v>
      </c>
      <c r="G325" s="5" t="s">
        <v>40</v>
      </c>
      <c r="H325" s="6">
        <v>45961</v>
      </c>
      <c r="I325" s="6">
        <v>45961</v>
      </c>
      <c r="J325" s="6">
        <v>45964</v>
      </c>
      <c r="K325" s="5" t="s">
        <v>41</v>
      </c>
      <c r="L325" s="5" t="s">
        <v>42</v>
      </c>
      <c r="M325" s="5" t="s">
        <v>43</v>
      </c>
      <c r="N325" s="5" t="s">
        <v>44</v>
      </c>
      <c r="O325" s="7">
        <v>937.48</v>
      </c>
      <c r="P325" s="5" t="s">
        <v>45</v>
      </c>
      <c r="Q325" s="22"/>
      <c r="R325" s="8">
        <f t="shared" si="15"/>
        <v>937.48</v>
      </c>
      <c r="S325" s="7">
        <v>937.48</v>
      </c>
      <c r="T325" s="7"/>
      <c r="U325" s="7">
        <f t="shared" si="17"/>
        <v>937.48</v>
      </c>
      <c r="V325" s="5" t="s">
        <v>45</v>
      </c>
      <c r="W325" s="7">
        <v>275.89</v>
      </c>
      <c r="X325" s="5" t="s">
        <v>46</v>
      </c>
      <c r="Z325" s="8">
        <f t="shared" si="16"/>
        <v>275.89</v>
      </c>
    </row>
    <row r="326" spans="1:26" x14ac:dyDescent="0.25">
      <c r="A326" s="5" t="s">
        <v>34</v>
      </c>
      <c r="B326" s="5" t="s">
        <v>163</v>
      </c>
      <c r="C326" s="5" t="s">
        <v>164</v>
      </c>
      <c r="D326" s="5" t="s">
        <v>37</v>
      </c>
      <c r="E326" s="5" t="s">
        <v>84</v>
      </c>
      <c r="F326" s="5" t="s">
        <v>85</v>
      </c>
      <c r="G326" s="5" t="s">
        <v>40</v>
      </c>
      <c r="H326" s="6">
        <v>45961</v>
      </c>
      <c r="I326" s="6">
        <v>45961</v>
      </c>
      <c r="J326" s="6">
        <v>45964</v>
      </c>
      <c r="K326" s="5" t="s">
        <v>41</v>
      </c>
      <c r="L326" s="5" t="s">
        <v>42</v>
      </c>
      <c r="M326" s="5" t="s">
        <v>43</v>
      </c>
      <c r="N326" s="5" t="s">
        <v>44</v>
      </c>
      <c r="O326" s="7">
        <v>815.05</v>
      </c>
      <c r="P326" s="5" t="s">
        <v>45</v>
      </c>
      <c r="Q326" s="22"/>
      <c r="R326" s="8">
        <f t="shared" si="15"/>
        <v>815.05</v>
      </c>
      <c r="S326" s="7">
        <v>815.05</v>
      </c>
      <c r="T326" s="7"/>
      <c r="U326" s="7">
        <f t="shared" si="17"/>
        <v>815.05</v>
      </c>
      <c r="V326" s="5" t="s">
        <v>45</v>
      </c>
      <c r="W326" s="7">
        <v>239.86</v>
      </c>
      <c r="X326" s="5" t="s">
        <v>46</v>
      </c>
      <c r="Z326" s="8">
        <f t="shared" si="16"/>
        <v>239.86</v>
      </c>
    </row>
    <row r="327" spans="1:26" x14ac:dyDescent="0.25">
      <c r="A327" s="5" t="s">
        <v>34</v>
      </c>
      <c r="B327" s="5" t="s">
        <v>163</v>
      </c>
      <c r="C327" s="5" t="s">
        <v>164</v>
      </c>
      <c r="D327" s="5" t="s">
        <v>37</v>
      </c>
      <c r="E327" s="5" t="s">
        <v>56</v>
      </c>
      <c r="F327" s="5" t="s">
        <v>57</v>
      </c>
      <c r="G327" s="5" t="s">
        <v>40</v>
      </c>
      <c r="H327" s="6">
        <v>45961</v>
      </c>
      <c r="I327" s="6">
        <v>45961</v>
      </c>
      <c r="J327" s="6">
        <v>45964</v>
      </c>
      <c r="K327" s="5" t="s">
        <v>41</v>
      </c>
      <c r="L327" s="5" t="s">
        <v>42</v>
      </c>
      <c r="M327" s="5" t="s">
        <v>43</v>
      </c>
      <c r="N327" s="5" t="s">
        <v>44</v>
      </c>
      <c r="O327" s="7">
        <v>908.45</v>
      </c>
      <c r="P327" s="5" t="s">
        <v>45</v>
      </c>
      <c r="Q327" s="22"/>
      <c r="R327" s="8">
        <f t="shared" si="15"/>
        <v>908.45</v>
      </c>
      <c r="S327" s="7">
        <v>908.45</v>
      </c>
      <c r="T327" s="7"/>
      <c r="U327" s="7">
        <f t="shared" si="17"/>
        <v>908.45</v>
      </c>
      <c r="V327" s="5" t="s">
        <v>45</v>
      </c>
      <c r="W327" s="7">
        <v>267.35000000000002</v>
      </c>
      <c r="X327" s="5" t="s">
        <v>46</v>
      </c>
      <c r="Z327" s="8">
        <f t="shared" si="16"/>
        <v>267.35000000000002</v>
      </c>
    </row>
    <row r="328" spans="1:26" x14ac:dyDescent="0.25">
      <c r="A328" s="5" t="s">
        <v>34</v>
      </c>
      <c r="B328" s="5" t="s">
        <v>165</v>
      </c>
      <c r="C328" s="5" t="s">
        <v>166</v>
      </c>
      <c r="D328" s="5" t="s">
        <v>37</v>
      </c>
      <c r="E328" s="5" t="s">
        <v>64</v>
      </c>
      <c r="F328" s="5" t="s">
        <v>65</v>
      </c>
      <c r="G328" s="5" t="s">
        <v>40</v>
      </c>
      <c r="H328" s="6">
        <v>45961</v>
      </c>
      <c r="I328" s="6">
        <v>45961</v>
      </c>
      <c r="J328" s="6">
        <v>45964</v>
      </c>
      <c r="K328" s="5" t="s">
        <v>167</v>
      </c>
      <c r="L328" s="5" t="s">
        <v>168</v>
      </c>
      <c r="M328" s="5" t="s">
        <v>43</v>
      </c>
      <c r="N328" s="5" t="s">
        <v>169</v>
      </c>
      <c r="O328" s="7">
        <v>424.12</v>
      </c>
      <c r="P328" s="5" t="s">
        <v>45</v>
      </c>
      <c r="Q328" s="22"/>
      <c r="R328" s="8">
        <f t="shared" si="15"/>
        <v>424.12</v>
      </c>
      <c r="S328" s="7">
        <v>424.12</v>
      </c>
      <c r="T328" s="7"/>
      <c r="U328" s="7">
        <f t="shared" si="17"/>
        <v>424.12</v>
      </c>
      <c r="V328" s="5" t="s">
        <v>45</v>
      </c>
      <c r="W328" s="7">
        <v>124.81</v>
      </c>
      <c r="X328" s="5" t="s">
        <v>46</v>
      </c>
      <c r="Z328" s="8">
        <f t="shared" si="16"/>
        <v>124.81</v>
      </c>
    </row>
    <row r="329" spans="1:26" x14ac:dyDescent="0.25">
      <c r="A329" s="5" t="s">
        <v>34</v>
      </c>
      <c r="B329" s="5" t="s">
        <v>165</v>
      </c>
      <c r="C329" s="5" t="s">
        <v>166</v>
      </c>
      <c r="D329" s="5" t="s">
        <v>37</v>
      </c>
      <c r="E329" s="5" t="s">
        <v>116</v>
      </c>
      <c r="F329" s="5" t="s">
        <v>117</v>
      </c>
      <c r="G329" s="5" t="s">
        <v>40</v>
      </c>
      <c r="H329" s="6">
        <v>45961</v>
      </c>
      <c r="I329" s="6">
        <v>45961</v>
      </c>
      <c r="J329" s="6">
        <v>45964</v>
      </c>
      <c r="K329" s="5" t="s">
        <v>167</v>
      </c>
      <c r="L329" s="5" t="s">
        <v>168</v>
      </c>
      <c r="M329" s="5" t="s">
        <v>43</v>
      </c>
      <c r="N329" s="5" t="s">
        <v>169</v>
      </c>
      <c r="O329" s="7">
        <v>1163.28</v>
      </c>
      <c r="P329" s="5" t="s">
        <v>45</v>
      </c>
      <c r="Q329" s="22"/>
      <c r="R329" s="8">
        <f t="shared" si="15"/>
        <v>1163.28</v>
      </c>
      <c r="S329" s="7">
        <v>1163.28</v>
      </c>
      <c r="T329" s="7"/>
      <c r="U329" s="7">
        <f t="shared" si="17"/>
        <v>1163.28</v>
      </c>
      <c r="V329" s="5" t="s">
        <v>45</v>
      </c>
      <c r="W329" s="7">
        <v>342.34</v>
      </c>
      <c r="X329" s="5" t="s">
        <v>46</v>
      </c>
      <c r="Z329" s="8">
        <f t="shared" si="16"/>
        <v>342.34</v>
      </c>
    </row>
    <row r="330" spans="1:26" x14ac:dyDescent="0.25">
      <c r="A330" s="5" t="s">
        <v>34</v>
      </c>
      <c r="B330" s="5" t="s">
        <v>165</v>
      </c>
      <c r="C330" s="5" t="s">
        <v>166</v>
      </c>
      <c r="D330" s="5" t="s">
        <v>37</v>
      </c>
      <c r="E330" s="5" t="s">
        <v>74</v>
      </c>
      <c r="F330" s="5" t="s">
        <v>75</v>
      </c>
      <c r="G330" s="5" t="s">
        <v>40</v>
      </c>
      <c r="H330" s="6">
        <v>45961</v>
      </c>
      <c r="I330" s="6">
        <v>45961</v>
      </c>
      <c r="J330" s="6">
        <v>45964</v>
      </c>
      <c r="K330" s="5" t="s">
        <v>167</v>
      </c>
      <c r="L330" s="5" t="s">
        <v>168</v>
      </c>
      <c r="M330" s="5" t="s">
        <v>43</v>
      </c>
      <c r="N330" s="5" t="s">
        <v>169</v>
      </c>
      <c r="O330" s="7">
        <v>3376.95</v>
      </c>
      <c r="P330" s="5" t="s">
        <v>45</v>
      </c>
      <c r="Q330" s="22"/>
      <c r="R330" s="8">
        <f t="shared" si="15"/>
        <v>3376.95</v>
      </c>
      <c r="S330" s="7">
        <v>3376.95</v>
      </c>
      <c r="T330" s="7"/>
      <c r="U330" s="7">
        <f t="shared" si="17"/>
        <v>3376.95</v>
      </c>
      <c r="V330" s="5" t="s">
        <v>45</v>
      </c>
      <c r="W330" s="7">
        <v>993.81</v>
      </c>
      <c r="X330" s="5" t="s">
        <v>46</v>
      </c>
      <c r="Z330" s="8">
        <f t="shared" si="16"/>
        <v>993.81</v>
      </c>
    </row>
    <row r="331" spans="1:26" x14ac:dyDescent="0.25">
      <c r="A331" s="5" t="s">
        <v>34</v>
      </c>
      <c r="B331" s="5" t="s">
        <v>165</v>
      </c>
      <c r="C331" s="5" t="s">
        <v>166</v>
      </c>
      <c r="D331" s="5" t="s">
        <v>37</v>
      </c>
      <c r="E331" s="5" t="s">
        <v>106</v>
      </c>
      <c r="F331" s="5" t="s">
        <v>107</v>
      </c>
      <c r="G331" s="5" t="s">
        <v>40</v>
      </c>
      <c r="H331" s="6">
        <v>45961</v>
      </c>
      <c r="I331" s="6">
        <v>45961</v>
      </c>
      <c r="J331" s="6">
        <v>45964</v>
      </c>
      <c r="K331" s="5" t="s">
        <v>167</v>
      </c>
      <c r="L331" s="5" t="s">
        <v>168</v>
      </c>
      <c r="M331" s="5" t="s">
        <v>43</v>
      </c>
      <c r="N331" s="5" t="s">
        <v>169</v>
      </c>
      <c r="O331" s="7">
        <v>1022.78</v>
      </c>
      <c r="P331" s="5" t="s">
        <v>45</v>
      </c>
      <c r="Q331" s="22"/>
      <c r="R331" s="8">
        <f t="shared" si="15"/>
        <v>1022.78</v>
      </c>
      <c r="S331" s="7">
        <v>1022.78</v>
      </c>
      <c r="T331" s="7"/>
      <c r="U331" s="7">
        <f t="shared" si="17"/>
        <v>1022.78</v>
      </c>
      <c r="V331" s="5" t="s">
        <v>45</v>
      </c>
      <c r="W331" s="7">
        <v>300.99</v>
      </c>
      <c r="X331" s="5" t="s">
        <v>46</v>
      </c>
      <c r="Z331" s="8">
        <f t="shared" si="16"/>
        <v>300.99</v>
      </c>
    </row>
    <row r="332" spans="1:26" x14ac:dyDescent="0.25">
      <c r="A332" s="5" t="s">
        <v>34</v>
      </c>
      <c r="B332" s="5" t="s">
        <v>165</v>
      </c>
      <c r="C332" s="5" t="s">
        <v>166</v>
      </c>
      <c r="D332" s="5" t="s">
        <v>37</v>
      </c>
      <c r="E332" s="5" t="s">
        <v>84</v>
      </c>
      <c r="F332" s="5" t="s">
        <v>85</v>
      </c>
      <c r="G332" s="5" t="s">
        <v>40</v>
      </c>
      <c r="H332" s="6">
        <v>45961</v>
      </c>
      <c r="I332" s="6">
        <v>45961</v>
      </c>
      <c r="J332" s="6">
        <v>45964</v>
      </c>
      <c r="K332" s="5" t="s">
        <v>167</v>
      </c>
      <c r="L332" s="5" t="s">
        <v>168</v>
      </c>
      <c r="M332" s="5" t="s">
        <v>43</v>
      </c>
      <c r="N332" s="5" t="s">
        <v>169</v>
      </c>
      <c r="O332" s="7">
        <v>2857.99</v>
      </c>
      <c r="P332" s="5" t="s">
        <v>45</v>
      </c>
      <c r="Q332" s="22"/>
      <c r="R332" s="8">
        <f t="shared" si="15"/>
        <v>2857.99</v>
      </c>
      <c r="S332" s="7">
        <v>2857.99</v>
      </c>
      <c r="T332" s="7"/>
      <c r="U332" s="7">
        <f t="shared" si="17"/>
        <v>2857.99</v>
      </c>
      <c r="V332" s="5" t="s">
        <v>45</v>
      </c>
      <c r="W332" s="7">
        <v>841.08</v>
      </c>
      <c r="X332" s="5" t="s">
        <v>46</v>
      </c>
      <c r="Z332" s="8">
        <f t="shared" si="16"/>
        <v>841.08</v>
      </c>
    </row>
    <row r="333" spans="1:26" x14ac:dyDescent="0.25">
      <c r="A333" s="5" t="s">
        <v>34</v>
      </c>
      <c r="B333" s="5" t="s">
        <v>165</v>
      </c>
      <c r="C333" s="5" t="s">
        <v>166</v>
      </c>
      <c r="D333" s="5" t="s">
        <v>37</v>
      </c>
      <c r="E333" s="5" t="s">
        <v>72</v>
      </c>
      <c r="F333" s="5" t="s">
        <v>73</v>
      </c>
      <c r="G333" s="5" t="s">
        <v>40</v>
      </c>
      <c r="H333" s="6">
        <v>45961</v>
      </c>
      <c r="I333" s="6">
        <v>45961</v>
      </c>
      <c r="J333" s="6">
        <v>45964</v>
      </c>
      <c r="K333" s="5" t="s">
        <v>167</v>
      </c>
      <c r="L333" s="5" t="s">
        <v>168</v>
      </c>
      <c r="M333" s="5" t="s">
        <v>43</v>
      </c>
      <c r="N333" s="5" t="s">
        <v>169</v>
      </c>
      <c r="O333" s="7">
        <v>549.48</v>
      </c>
      <c r="P333" s="5" t="s">
        <v>45</v>
      </c>
      <c r="Q333" s="22"/>
      <c r="R333" s="8">
        <f t="shared" si="15"/>
        <v>549.48</v>
      </c>
      <c r="S333" s="7">
        <v>549.48</v>
      </c>
      <c r="T333" s="7"/>
      <c r="U333" s="7">
        <f t="shared" si="17"/>
        <v>549.48</v>
      </c>
      <c r="V333" s="5" t="s">
        <v>45</v>
      </c>
      <c r="W333" s="7">
        <v>161.71</v>
      </c>
      <c r="X333" s="5" t="s">
        <v>46</v>
      </c>
      <c r="Z333" s="8">
        <f t="shared" si="16"/>
        <v>161.71</v>
      </c>
    </row>
    <row r="334" spans="1:26" x14ac:dyDescent="0.25">
      <c r="A334" s="5" t="s">
        <v>34</v>
      </c>
      <c r="B334" s="5" t="s">
        <v>165</v>
      </c>
      <c r="C334" s="5" t="s">
        <v>166</v>
      </c>
      <c r="D334" s="5" t="s">
        <v>37</v>
      </c>
      <c r="E334" s="5" t="s">
        <v>60</v>
      </c>
      <c r="F334" s="5" t="s">
        <v>61</v>
      </c>
      <c r="G334" s="5" t="s">
        <v>40</v>
      </c>
      <c r="H334" s="6">
        <v>45961</v>
      </c>
      <c r="I334" s="6">
        <v>45961</v>
      </c>
      <c r="J334" s="6">
        <v>45964</v>
      </c>
      <c r="K334" s="5" t="s">
        <v>167</v>
      </c>
      <c r="L334" s="5" t="s">
        <v>168</v>
      </c>
      <c r="M334" s="5" t="s">
        <v>43</v>
      </c>
      <c r="N334" s="5" t="s">
        <v>169</v>
      </c>
      <c r="O334" s="7">
        <v>6600.8</v>
      </c>
      <c r="P334" s="5" t="s">
        <v>45</v>
      </c>
      <c r="Q334" s="22"/>
      <c r="R334" s="8">
        <f t="shared" si="15"/>
        <v>6600.8</v>
      </c>
      <c r="S334" s="7">
        <v>6600.8</v>
      </c>
      <c r="T334" s="7"/>
      <c r="U334" s="7">
        <f t="shared" si="17"/>
        <v>6600.8</v>
      </c>
      <c r="V334" s="5" t="s">
        <v>45</v>
      </c>
      <c r="W334" s="7">
        <v>1942.55</v>
      </c>
      <c r="X334" s="5" t="s">
        <v>46</v>
      </c>
      <c r="Z334" s="8">
        <f t="shared" si="16"/>
        <v>1942.55</v>
      </c>
    </row>
    <row r="335" spans="1:26" x14ac:dyDescent="0.25">
      <c r="A335" s="5" t="s">
        <v>34</v>
      </c>
      <c r="B335" s="5" t="s">
        <v>165</v>
      </c>
      <c r="C335" s="5" t="s">
        <v>166</v>
      </c>
      <c r="D335" s="5" t="s">
        <v>37</v>
      </c>
      <c r="E335" s="5" t="s">
        <v>98</v>
      </c>
      <c r="F335" s="5" t="s">
        <v>99</v>
      </c>
      <c r="G335" s="5" t="s">
        <v>40</v>
      </c>
      <c r="H335" s="6">
        <v>45961</v>
      </c>
      <c r="I335" s="6">
        <v>45961</v>
      </c>
      <c r="J335" s="6">
        <v>45964</v>
      </c>
      <c r="K335" s="5" t="s">
        <v>167</v>
      </c>
      <c r="L335" s="5" t="s">
        <v>168</v>
      </c>
      <c r="M335" s="5" t="s">
        <v>43</v>
      </c>
      <c r="N335" s="5" t="s">
        <v>169</v>
      </c>
      <c r="O335" s="7">
        <v>2937.25</v>
      </c>
      <c r="P335" s="5" t="s">
        <v>45</v>
      </c>
      <c r="Q335" s="22"/>
      <c r="R335" s="8">
        <f t="shared" si="15"/>
        <v>2937.25</v>
      </c>
      <c r="S335" s="7">
        <v>2937.25</v>
      </c>
      <c r="T335" s="7"/>
      <c r="U335" s="7">
        <f t="shared" si="17"/>
        <v>2937.25</v>
      </c>
      <c r="V335" s="5" t="s">
        <v>45</v>
      </c>
      <c r="W335" s="7">
        <v>864.41</v>
      </c>
      <c r="X335" s="5" t="s">
        <v>46</v>
      </c>
      <c r="Z335" s="8">
        <f t="shared" si="16"/>
        <v>864.41</v>
      </c>
    </row>
    <row r="336" spans="1:26" x14ac:dyDescent="0.25">
      <c r="A336" s="5" t="s">
        <v>34</v>
      </c>
      <c r="B336" s="5" t="s">
        <v>165</v>
      </c>
      <c r="C336" s="5" t="s">
        <v>166</v>
      </c>
      <c r="D336" s="5" t="s">
        <v>37</v>
      </c>
      <c r="E336" s="5" t="s">
        <v>38</v>
      </c>
      <c r="F336" s="5" t="s">
        <v>39</v>
      </c>
      <c r="G336" s="5" t="s">
        <v>40</v>
      </c>
      <c r="H336" s="6">
        <v>45961</v>
      </c>
      <c r="I336" s="6">
        <v>45961</v>
      </c>
      <c r="J336" s="6">
        <v>45964</v>
      </c>
      <c r="K336" s="5" t="s">
        <v>167</v>
      </c>
      <c r="L336" s="5" t="s">
        <v>168</v>
      </c>
      <c r="M336" s="5" t="s">
        <v>43</v>
      </c>
      <c r="N336" s="5" t="s">
        <v>169</v>
      </c>
      <c r="O336" s="7">
        <v>472.31</v>
      </c>
      <c r="P336" s="5" t="s">
        <v>45</v>
      </c>
      <c r="Q336" s="22"/>
      <c r="R336" s="8">
        <f t="shared" si="15"/>
        <v>472.31</v>
      </c>
      <c r="S336" s="7">
        <v>472.31</v>
      </c>
      <c r="T336" s="7"/>
      <c r="U336" s="7">
        <f t="shared" si="17"/>
        <v>472.31</v>
      </c>
      <c r="V336" s="5" t="s">
        <v>45</v>
      </c>
      <c r="W336" s="7">
        <v>139</v>
      </c>
      <c r="X336" s="5" t="s">
        <v>46</v>
      </c>
      <c r="Z336" s="8">
        <f t="shared" si="16"/>
        <v>139</v>
      </c>
    </row>
    <row r="337" spans="1:26" x14ac:dyDescent="0.25">
      <c r="A337" s="5" t="s">
        <v>34</v>
      </c>
      <c r="B337" s="5" t="s">
        <v>165</v>
      </c>
      <c r="C337" s="5" t="s">
        <v>166</v>
      </c>
      <c r="D337" s="5" t="s">
        <v>37</v>
      </c>
      <c r="E337" s="5" t="s">
        <v>104</v>
      </c>
      <c r="F337" s="5" t="s">
        <v>105</v>
      </c>
      <c r="G337" s="5" t="s">
        <v>40</v>
      </c>
      <c r="H337" s="6">
        <v>45961</v>
      </c>
      <c r="I337" s="6">
        <v>45961</v>
      </c>
      <c r="J337" s="6">
        <v>45964</v>
      </c>
      <c r="K337" s="5" t="s">
        <v>167</v>
      </c>
      <c r="L337" s="5" t="s">
        <v>168</v>
      </c>
      <c r="M337" s="5" t="s">
        <v>43</v>
      </c>
      <c r="N337" s="5" t="s">
        <v>169</v>
      </c>
      <c r="O337" s="7">
        <v>3031.83</v>
      </c>
      <c r="P337" s="5" t="s">
        <v>45</v>
      </c>
      <c r="Q337" s="22"/>
      <c r="R337" s="8">
        <f t="shared" si="15"/>
        <v>3031.83</v>
      </c>
      <c r="S337" s="7">
        <v>3031.83</v>
      </c>
      <c r="T337" s="7"/>
      <c r="U337" s="7">
        <f t="shared" si="17"/>
        <v>3031.83</v>
      </c>
      <c r="V337" s="5" t="s">
        <v>45</v>
      </c>
      <c r="W337" s="7">
        <v>892.24</v>
      </c>
      <c r="X337" s="5" t="s">
        <v>46</v>
      </c>
      <c r="Z337" s="8">
        <f t="shared" si="16"/>
        <v>892.24</v>
      </c>
    </row>
    <row r="338" spans="1:26" x14ac:dyDescent="0.25">
      <c r="A338" s="5" t="s">
        <v>34</v>
      </c>
      <c r="B338" s="5" t="s">
        <v>165</v>
      </c>
      <c r="C338" s="5" t="s">
        <v>166</v>
      </c>
      <c r="D338" s="5" t="s">
        <v>37</v>
      </c>
      <c r="E338" s="5" t="s">
        <v>90</v>
      </c>
      <c r="F338" s="5" t="s">
        <v>91</v>
      </c>
      <c r="G338" s="5" t="s">
        <v>40</v>
      </c>
      <c r="H338" s="6">
        <v>45961</v>
      </c>
      <c r="I338" s="6">
        <v>45961</v>
      </c>
      <c r="J338" s="6">
        <v>45964</v>
      </c>
      <c r="K338" s="5" t="s">
        <v>167</v>
      </c>
      <c r="L338" s="5" t="s">
        <v>168</v>
      </c>
      <c r="M338" s="5" t="s">
        <v>43</v>
      </c>
      <c r="N338" s="5" t="s">
        <v>169</v>
      </c>
      <c r="O338" s="7">
        <v>882.12</v>
      </c>
      <c r="P338" s="5" t="s">
        <v>45</v>
      </c>
      <c r="Q338" s="22"/>
      <c r="R338" s="8">
        <f t="shared" si="15"/>
        <v>882.12</v>
      </c>
      <c r="S338" s="7">
        <v>882.12</v>
      </c>
      <c r="T338" s="7"/>
      <c r="U338" s="7">
        <f t="shared" si="17"/>
        <v>882.12</v>
      </c>
      <c r="V338" s="5" t="s">
        <v>45</v>
      </c>
      <c r="W338" s="7">
        <v>259.60000000000002</v>
      </c>
      <c r="X338" s="5" t="s">
        <v>46</v>
      </c>
      <c r="Z338" s="8">
        <f t="shared" si="16"/>
        <v>259.60000000000002</v>
      </c>
    </row>
    <row r="339" spans="1:26" x14ac:dyDescent="0.25">
      <c r="A339" s="5" t="s">
        <v>34</v>
      </c>
      <c r="B339" s="5" t="s">
        <v>165</v>
      </c>
      <c r="C339" s="5" t="s">
        <v>166</v>
      </c>
      <c r="D339" s="5" t="s">
        <v>37</v>
      </c>
      <c r="E339" s="5" t="s">
        <v>50</v>
      </c>
      <c r="F339" s="5" t="s">
        <v>51</v>
      </c>
      <c r="G339" s="5" t="s">
        <v>40</v>
      </c>
      <c r="H339" s="6">
        <v>45961</v>
      </c>
      <c r="I339" s="6">
        <v>45961</v>
      </c>
      <c r="J339" s="6">
        <v>45964</v>
      </c>
      <c r="K339" s="5" t="s">
        <v>167</v>
      </c>
      <c r="L339" s="5" t="s">
        <v>168</v>
      </c>
      <c r="M339" s="5" t="s">
        <v>43</v>
      </c>
      <c r="N339" s="5" t="s">
        <v>169</v>
      </c>
      <c r="O339" s="7">
        <v>1036.02</v>
      </c>
      <c r="P339" s="5" t="s">
        <v>45</v>
      </c>
      <c r="Q339" s="22"/>
      <c r="R339" s="8">
        <f t="shared" si="15"/>
        <v>1036.02</v>
      </c>
      <c r="S339" s="7">
        <v>1036.02</v>
      </c>
      <c r="T339" s="7"/>
      <c r="U339" s="7">
        <f t="shared" si="17"/>
        <v>1036.02</v>
      </c>
      <c r="V339" s="5" t="s">
        <v>45</v>
      </c>
      <c r="W339" s="7">
        <v>304.89</v>
      </c>
      <c r="X339" s="5" t="s">
        <v>46</v>
      </c>
      <c r="Z339" s="8">
        <f t="shared" si="16"/>
        <v>304.89</v>
      </c>
    </row>
    <row r="340" spans="1:26" x14ac:dyDescent="0.25">
      <c r="A340" s="5" t="s">
        <v>34</v>
      </c>
      <c r="B340" s="5" t="s">
        <v>165</v>
      </c>
      <c r="C340" s="5" t="s">
        <v>166</v>
      </c>
      <c r="D340" s="5" t="s">
        <v>37</v>
      </c>
      <c r="E340" s="5" t="s">
        <v>48</v>
      </c>
      <c r="F340" s="5" t="s">
        <v>49</v>
      </c>
      <c r="G340" s="5" t="s">
        <v>40</v>
      </c>
      <c r="H340" s="6">
        <v>45961</v>
      </c>
      <c r="I340" s="6">
        <v>45961</v>
      </c>
      <c r="J340" s="6">
        <v>45964</v>
      </c>
      <c r="K340" s="5" t="s">
        <v>167</v>
      </c>
      <c r="L340" s="5" t="s">
        <v>168</v>
      </c>
      <c r="M340" s="5" t="s">
        <v>43</v>
      </c>
      <c r="N340" s="5" t="s">
        <v>169</v>
      </c>
      <c r="O340" s="7">
        <v>1152.4000000000001</v>
      </c>
      <c r="P340" s="5" t="s">
        <v>45</v>
      </c>
      <c r="Q340" s="22"/>
      <c r="R340" s="8">
        <f t="shared" si="15"/>
        <v>1152.4000000000001</v>
      </c>
      <c r="S340" s="7">
        <v>1152.4000000000001</v>
      </c>
      <c r="T340" s="7"/>
      <c r="U340" s="7">
        <f t="shared" si="17"/>
        <v>1152.4000000000001</v>
      </c>
      <c r="V340" s="5" t="s">
        <v>45</v>
      </c>
      <c r="W340" s="7">
        <v>339.14</v>
      </c>
      <c r="X340" s="5" t="s">
        <v>46</v>
      </c>
      <c r="Z340" s="8">
        <f t="shared" si="16"/>
        <v>339.14</v>
      </c>
    </row>
    <row r="341" spans="1:26" x14ac:dyDescent="0.25">
      <c r="A341" s="5" t="s">
        <v>34</v>
      </c>
      <c r="B341" s="5" t="s">
        <v>165</v>
      </c>
      <c r="C341" s="5" t="s">
        <v>166</v>
      </c>
      <c r="D341" s="5" t="s">
        <v>37</v>
      </c>
      <c r="E341" s="5" t="s">
        <v>78</v>
      </c>
      <c r="F341" s="5" t="s">
        <v>79</v>
      </c>
      <c r="G341" s="5" t="s">
        <v>40</v>
      </c>
      <c r="H341" s="6">
        <v>45961</v>
      </c>
      <c r="I341" s="6">
        <v>45961</v>
      </c>
      <c r="J341" s="6">
        <v>45964</v>
      </c>
      <c r="K341" s="5" t="s">
        <v>167</v>
      </c>
      <c r="L341" s="5" t="s">
        <v>168</v>
      </c>
      <c r="M341" s="5" t="s">
        <v>43</v>
      </c>
      <c r="N341" s="5" t="s">
        <v>169</v>
      </c>
      <c r="O341" s="7">
        <v>444.9</v>
      </c>
      <c r="P341" s="5" t="s">
        <v>45</v>
      </c>
      <c r="Q341" s="22"/>
      <c r="R341" s="8">
        <f t="shared" si="15"/>
        <v>444.9</v>
      </c>
      <c r="S341" s="7">
        <v>444.9</v>
      </c>
      <c r="T341" s="7"/>
      <c r="U341" s="7">
        <f t="shared" si="17"/>
        <v>444.9</v>
      </c>
      <c r="V341" s="5" t="s">
        <v>45</v>
      </c>
      <c r="W341" s="7">
        <v>130.93</v>
      </c>
      <c r="X341" s="5" t="s">
        <v>46</v>
      </c>
      <c r="Z341" s="8">
        <f t="shared" si="16"/>
        <v>130.93</v>
      </c>
    </row>
    <row r="342" spans="1:26" x14ac:dyDescent="0.25">
      <c r="A342" s="5" t="s">
        <v>34</v>
      </c>
      <c r="B342" s="5" t="s">
        <v>165</v>
      </c>
      <c r="C342" s="5" t="s">
        <v>166</v>
      </c>
      <c r="D342" s="5" t="s">
        <v>37</v>
      </c>
      <c r="E342" s="5" t="s">
        <v>110</v>
      </c>
      <c r="F342" s="5" t="s">
        <v>111</v>
      </c>
      <c r="G342" s="5" t="s">
        <v>40</v>
      </c>
      <c r="H342" s="6">
        <v>45961</v>
      </c>
      <c r="I342" s="6">
        <v>45961</v>
      </c>
      <c r="J342" s="6">
        <v>45964</v>
      </c>
      <c r="K342" s="5" t="s">
        <v>167</v>
      </c>
      <c r="L342" s="5" t="s">
        <v>168</v>
      </c>
      <c r="M342" s="5" t="s">
        <v>43</v>
      </c>
      <c r="N342" s="5" t="s">
        <v>169</v>
      </c>
      <c r="O342" s="7">
        <v>1088.44</v>
      </c>
      <c r="P342" s="5" t="s">
        <v>45</v>
      </c>
      <c r="Q342" s="22"/>
      <c r="R342" s="8">
        <f t="shared" si="15"/>
        <v>1088.44</v>
      </c>
      <c r="S342" s="7">
        <v>1088.44</v>
      </c>
      <c r="T342" s="7"/>
      <c r="U342" s="7">
        <f t="shared" si="17"/>
        <v>1088.44</v>
      </c>
      <c r="V342" s="5" t="s">
        <v>45</v>
      </c>
      <c r="W342" s="7">
        <v>320.32</v>
      </c>
      <c r="X342" s="5" t="s">
        <v>46</v>
      </c>
      <c r="Z342" s="8">
        <f t="shared" si="16"/>
        <v>320.32</v>
      </c>
    </row>
    <row r="343" spans="1:26" x14ac:dyDescent="0.25">
      <c r="A343" s="5" t="s">
        <v>34</v>
      </c>
      <c r="B343" s="5" t="s">
        <v>165</v>
      </c>
      <c r="C343" s="5" t="s">
        <v>166</v>
      </c>
      <c r="D343" s="5" t="s">
        <v>37</v>
      </c>
      <c r="E343" s="5" t="s">
        <v>96</v>
      </c>
      <c r="F343" s="5" t="s">
        <v>97</v>
      </c>
      <c r="G343" s="5" t="s">
        <v>40</v>
      </c>
      <c r="H343" s="6">
        <v>45961</v>
      </c>
      <c r="I343" s="6">
        <v>45961</v>
      </c>
      <c r="J343" s="6">
        <v>45964</v>
      </c>
      <c r="K343" s="5" t="s">
        <v>167</v>
      </c>
      <c r="L343" s="5" t="s">
        <v>168</v>
      </c>
      <c r="M343" s="5" t="s">
        <v>43</v>
      </c>
      <c r="N343" s="5" t="s">
        <v>169</v>
      </c>
      <c r="O343" s="7">
        <v>4955.49</v>
      </c>
      <c r="P343" s="5" t="s">
        <v>45</v>
      </c>
      <c r="Q343" s="22"/>
      <c r="R343" s="8">
        <f t="shared" si="15"/>
        <v>4955.49</v>
      </c>
      <c r="S343" s="7">
        <v>4955.49</v>
      </c>
      <c r="T343" s="7"/>
      <c r="U343" s="7">
        <f t="shared" si="17"/>
        <v>4955.49</v>
      </c>
      <c r="V343" s="5" t="s">
        <v>45</v>
      </c>
      <c r="W343" s="7">
        <v>1458.35</v>
      </c>
      <c r="X343" s="5" t="s">
        <v>46</v>
      </c>
      <c r="Z343" s="8">
        <f t="shared" si="16"/>
        <v>1458.35</v>
      </c>
    </row>
    <row r="344" spans="1:26" x14ac:dyDescent="0.25">
      <c r="A344" s="5" t="s">
        <v>34</v>
      </c>
      <c r="B344" s="5" t="s">
        <v>165</v>
      </c>
      <c r="C344" s="5" t="s">
        <v>166</v>
      </c>
      <c r="D344" s="5" t="s">
        <v>37</v>
      </c>
      <c r="E344" s="5" t="s">
        <v>94</v>
      </c>
      <c r="F344" s="5" t="s">
        <v>95</v>
      </c>
      <c r="G344" s="5" t="s">
        <v>40</v>
      </c>
      <c r="H344" s="6">
        <v>45961</v>
      </c>
      <c r="I344" s="6">
        <v>45961</v>
      </c>
      <c r="J344" s="6">
        <v>45964</v>
      </c>
      <c r="K344" s="5" t="s">
        <v>167</v>
      </c>
      <c r="L344" s="5" t="s">
        <v>168</v>
      </c>
      <c r="M344" s="5" t="s">
        <v>43</v>
      </c>
      <c r="N344" s="5" t="s">
        <v>169</v>
      </c>
      <c r="O344" s="7">
        <v>8044.61</v>
      </c>
      <c r="P344" s="5" t="s">
        <v>45</v>
      </c>
      <c r="Q344" s="22"/>
      <c r="R344" s="8">
        <f t="shared" si="15"/>
        <v>8044.61</v>
      </c>
      <c r="S344" s="7">
        <v>8044.61</v>
      </c>
      <c r="T344" s="7"/>
      <c r="U344" s="7">
        <f t="shared" si="17"/>
        <v>8044.61</v>
      </c>
      <c r="V344" s="5" t="s">
        <v>45</v>
      </c>
      <c r="W344" s="7">
        <v>2367.4499999999998</v>
      </c>
      <c r="X344" s="5" t="s">
        <v>46</v>
      </c>
      <c r="Z344" s="8">
        <f t="shared" si="16"/>
        <v>2367.4499999999998</v>
      </c>
    </row>
    <row r="345" spans="1:26" x14ac:dyDescent="0.25">
      <c r="A345" s="5" t="s">
        <v>34</v>
      </c>
      <c r="B345" s="5" t="s">
        <v>165</v>
      </c>
      <c r="C345" s="5" t="s">
        <v>166</v>
      </c>
      <c r="D345" s="5" t="s">
        <v>37</v>
      </c>
      <c r="E345" s="5" t="s">
        <v>118</v>
      </c>
      <c r="F345" s="5" t="s">
        <v>119</v>
      </c>
      <c r="G345" s="5" t="s">
        <v>40</v>
      </c>
      <c r="H345" s="6">
        <v>45961</v>
      </c>
      <c r="I345" s="6">
        <v>45961</v>
      </c>
      <c r="J345" s="6">
        <v>45964</v>
      </c>
      <c r="K345" s="5" t="s">
        <v>167</v>
      </c>
      <c r="L345" s="5" t="s">
        <v>168</v>
      </c>
      <c r="M345" s="5" t="s">
        <v>43</v>
      </c>
      <c r="N345" s="5" t="s">
        <v>169</v>
      </c>
      <c r="O345" s="7">
        <v>469.28</v>
      </c>
      <c r="P345" s="5" t="s">
        <v>45</v>
      </c>
      <c r="Q345" s="22"/>
      <c r="R345" s="8">
        <f t="shared" si="15"/>
        <v>469.28</v>
      </c>
      <c r="S345" s="7">
        <v>469.28</v>
      </c>
      <c r="T345" s="7"/>
      <c r="U345" s="7">
        <f t="shared" si="17"/>
        <v>469.28</v>
      </c>
      <c r="V345" s="5" t="s">
        <v>45</v>
      </c>
      <c r="W345" s="7">
        <v>138.1</v>
      </c>
      <c r="X345" s="5" t="s">
        <v>46</v>
      </c>
      <c r="Z345" s="8">
        <f t="shared" si="16"/>
        <v>138.1</v>
      </c>
    </row>
    <row r="346" spans="1:26" x14ac:dyDescent="0.25">
      <c r="A346" s="5" t="s">
        <v>34</v>
      </c>
      <c r="B346" s="5" t="s">
        <v>165</v>
      </c>
      <c r="C346" s="5" t="s">
        <v>166</v>
      </c>
      <c r="D346" s="5" t="s">
        <v>37</v>
      </c>
      <c r="E346" s="5" t="s">
        <v>102</v>
      </c>
      <c r="F346" s="5" t="s">
        <v>103</v>
      </c>
      <c r="G346" s="5" t="s">
        <v>40</v>
      </c>
      <c r="H346" s="6">
        <v>45961</v>
      </c>
      <c r="I346" s="6">
        <v>45961</v>
      </c>
      <c r="J346" s="6">
        <v>45964</v>
      </c>
      <c r="K346" s="5" t="s">
        <v>167</v>
      </c>
      <c r="L346" s="5" t="s">
        <v>168</v>
      </c>
      <c r="M346" s="5" t="s">
        <v>43</v>
      </c>
      <c r="N346" s="5" t="s">
        <v>169</v>
      </c>
      <c r="O346" s="7">
        <v>1551.83</v>
      </c>
      <c r="P346" s="5" t="s">
        <v>45</v>
      </c>
      <c r="Q346" s="22"/>
      <c r="R346" s="8">
        <f t="shared" si="15"/>
        <v>1551.83</v>
      </c>
      <c r="S346" s="7">
        <v>1551.83</v>
      </c>
      <c r="T346" s="7"/>
      <c r="U346" s="7">
        <f t="shared" si="17"/>
        <v>1551.83</v>
      </c>
      <c r="V346" s="5" t="s">
        <v>45</v>
      </c>
      <c r="W346" s="7">
        <v>456.69</v>
      </c>
      <c r="X346" s="5" t="s">
        <v>46</v>
      </c>
      <c r="Z346" s="8">
        <f t="shared" si="16"/>
        <v>456.69</v>
      </c>
    </row>
    <row r="347" spans="1:26" x14ac:dyDescent="0.25">
      <c r="A347" s="5" t="s">
        <v>34</v>
      </c>
      <c r="B347" s="5" t="s">
        <v>165</v>
      </c>
      <c r="C347" s="5" t="s">
        <v>166</v>
      </c>
      <c r="D347" s="5" t="s">
        <v>37</v>
      </c>
      <c r="E347" s="5" t="s">
        <v>108</v>
      </c>
      <c r="F347" s="5" t="s">
        <v>109</v>
      </c>
      <c r="G347" s="5" t="s">
        <v>40</v>
      </c>
      <c r="H347" s="6">
        <v>45961</v>
      </c>
      <c r="I347" s="6">
        <v>45961</v>
      </c>
      <c r="J347" s="6">
        <v>45964</v>
      </c>
      <c r="K347" s="5" t="s">
        <v>167</v>
      </c>
      <c r="L347" s="5" t="s">
        <v>168</v>
      </c>
      <c r="M347" s="5" t="s">
        <v>43</v>
      </c>
      <c r="N347" s="5" t="s">
        <v>169</v>
      </c>
      <c r="O347" s="7">
        <v>1077.46</v>
      </c>
      <c r="P347" s="5" t="s">
        <v>45</v>
      </c>
      <c r="Q347" s="22"/>
      <c r="R347" s="8">
        <f t="shared" si="15"/>
        <v>1077.46</v>
      </c>
      <c r="S347" s="7">
        <v>1077.46</v>
      </c>
      <c r="T347" s="7"/>
      <c r="U347" s="7">
        <f t="shared" si="17"/>
        <v>1077.46</v>
      </c>
      <c r="V347" s="5" t="s">
        <v>45</v>
      </c>
      <c r="W347" s="7">
        <v>317.08999999999997</v>
      </c>
      <c r="X347" s="5" t="s">
        <v>46</v>
      </c>
      <c r="Z347" s="8">
        <f t="shared" si="16"/>
        <v>317.08999999999997</v>
      </c>
    </row>
    <row r="348" spans="1:26" x14ac:dyDescent="0.25">
      <c r="A348" s="5" t="s">
        <v>34</v>
      </c>
      <c r="B348" s="5" t="s">
        <v>165</v>
      </c>
      <c r="C348" s="5" t="s">
        <v>166</v>
      </c>
      <c r="D348" s="5" t="s">
        <v>37</v>
      </c>
      <c r="E348" s="5" t="s">
        <v>52</v>
      </c>
      <c r="F348" s="5" t="s">
        <v>53</v>
      </c>
      <c r="G348" s="5" t="s">
        <v>40</v>
      </c>
      <c r="H348" s="6">
        <v>45961</v>
      </c>
      <c r="I348" s="6">
        <v>45961</v>
      </c>
      <c r="J348" s="6">
        <v>45964</v>
      </c>
      <c r="K348" s="5" t="s">
        <v>167</v>
      </c>
      <c r="L348" s="5" t="s">
        <v>168</v>
      </c>
      <c r="M348" s="5" t="s">
        <v>43</v>
      </c>
      <c r="N348" s="5" t="s">
        <v>169</v>
      </c>
      <c r="O348" s="7">
        <v>297.93</v>
      </c>
      <c r="P348" s="5" t="s">
        <v>45</v>
      </c>
      <c r="Q348" s="22"/>
      <c r="R348" s="8">
        <f t="shared" si="15"/>
        <v>297.93</v>
      </c>
      <c r="S348" s="7">
        <v>297.93</v>
      </c>
      <c r="T348" s="7"/>
      <c r="U348" s="7">
        <f t="shared" si="17"/>
        <v>297.93</v>
      </c>
      <c r="V348" s="5" t="s">
        <v>45</v>
      </c>
      <c r="W348" s="7">
        <v>87.68</v>
      </c>
      <c r="X348" s="5" t="s">
        <v>46</v>
      </c>
      <c r="Z348" s="8">
        <f t="shared" si="16"/>
        <v>87.68</v>
      </c>
    </row>
    <row r="349" spans="1:26" x14ac:dyDescent="0.25">
      <c r="A349" s="5" t="s">
        <v>34</v>
      </c>
      <c r="B349" s="5" t="s">
        <v>165</v>
      </c>
      <c r="C349" s="5" t="s">
        <v>166</v>
      </c>
      <c r="D349" s="5" t="s">
        <v>37</v>
      </c>
      <c r="E349" s="5" t="s">
        <v>100</v>
      </c>
      <c r="F349" s="5" t="s">
        <v>101</v>
      </c>
      <c r="G349" s="5" t="s">
        <v>40</v>
      </c>
      <c r="H349" s="6">
        <v>45961</v>
      </c>
      <c r="I349" s="6">
        <v>45961</v>
      </c>
      <c r="J349" s="6">
        <v>45964</v>
      </c>
      <c r="K349" s="5" t="s">
        <v>167</v>
      </c>
      <c r="L349" s="5" t="s">
        <v>168</v>
      </c>
      <c r="M349" s="5" t="s">
        <v>43</v>
      </c>
      <c r="N349" s="5" t="s">
        <v>169</v>
      </c>
      <c r="O349" s="7">
        <v>1503.98</v>
      </c>
      <c r="P349" s="5" t="s">
        <v>45</v>
      </c>
      <c r="Q349" s="22"/>
      <c r="R349" s="8">
        <f t="shared" si="15"/>
        <v>1503.98</v>
      </c>
      <c r="S349" s="7">
        <v>1503.98</v>
      </c>
      <c r="T349" s="7"/>
      <c r="U349" s="7">
        <f t="shared" si="17"/>
        <v>1503.98</v>
      </c>
      <c r="V349" s="5" t="s">
        <v>45</v>
      </c>
      <c r="W349" s="7">
        <v>442.61</v>
      </c>
      <c r="X349" s="5" t="s">
        <v>46</v>
      </c>
      <c r="Z349" s="8">
        <f t="shared" si="16"/>
        <v>442.61</v>
      </c>
    </row>
    <row r="350" spans="1:26" x14ac:dyDescent="0.25">
      <c r="A350" s="5" t="s">
        <v>34</v>
      </c>
      <c r="B350" s="5" t="s">
        <v>165</v>
      </c>
      <c r="C350" s="5" t="s">
        <v>166</v>
      </c>
      <c r="D350" s="5" t="s">
        <v>37</v>
      </c>
      <c r="E350" s="5" t="s">
        <v>88</v>
      </c>
      <c r="F350" s="5" t="s">
        <v>89</v>
      </c>
      <c r="G350" s="5" t="s">
        <v>40</v>
      </c>
      <c r="H350" s="6">
        <v>45961</v>
      </c>
      <c r="I350" s="6">
        <v>45961</v>
      </c>
      <c r="J350" s="6">
        <v>45964</v>
      </c>
      <c r="K350" s="5" t="s">
        <v>167</v>
      </c>
      <c r="L350" s="5" t="s">
        <v>168</v>
      </c>
      <c r="M350" s="5" t="s">
        <v>43</v>
      </c>
      <c r="N350" s="5" t="s">
        <v>169</v>
      </c>
      <c r="O350" s="7">
        <v>657.47</v>
      </c>
      <c r="P350" s="5" t="s">
        <v>45</v>
      </c>
      <c r="Q350" s="22"/>
      <c r="R350" s="8">
        <f t="shared" si="15"/>
        <v>657.47</v>
      </c>
      <c r="S350" s="7">
        <v>657.47</v>
      </c>
      <c r="T350" s="7"/>
      <c r="U350" s="7">
        <f t="shared" si="17"/>
        <v>657.47</v>
      </c>
      <c r="V350" s="5" t="s">
        <v>45</v>
      </c>
      <c r="W350" s="7">
        <v>193.49</v>
      </c>
      <c r="X350" s="5" t="s">
        <v>46</v>
      </c>
      <c r="Z350" s="8">
        <f t="shared" si="16"/>
        <v>193.49</v>
      </c>
    </row>
    <row r="351" spans="1:26" x14ac:dyDescent="0.25">
      <c r="A351" s="5" t="s">
        <v>34</v>
      </c>
      <c r="B351" s="5" t="s">
        <v>165</v>
      </c>
      <c r="C351" s="5" t="s">
        <v>166</v>
      </c>
      <c r="D351" s="5" t="s">
        <v>37</v>
      </c>
      <c r="E351" s="5" t="s">
        <v>62</v>
      </c>
      <c r="F351" s="5" t="s">
        <v>63</v>
      </c>
      <c r="G351" s="5" t="s">
        <v>40</v>
      </c>
      <c r="H351" s="6">
        <v>45961</v>
      </c>
      <c r="I351" s="6">
        <v>45961</v>
      </c>
      <c r="J351" s="6">
        <v>45964</v>
      </c>
      <c r="K351" s="5" t="s">
        <v>167</v>
      </c>
      <c r="L351" s="5" t="s">
        <v>168</v>
      </c>
      <c r="M351" s="5" t="s">
        <v>43</v>
      </c>
      <c r="N351" s="5" t="s">
        <v>169</v>
      </c>
      <c r="O351" s="7">
        <v>581.89</v>
      </c>
      <c r="P351" s="5" t="s">
        <v>45</v>
      </c>
      <c r="Q351" s="22"/>
      <c r="R351" s="8">
        <f t="shared" si="15"/>
        <v>581.89</v>
      </c>
      <c r="S351" s="7">
        <v>581.89</v>
      </c>
      <c r="T351" s="7"/>
      <c r="U351" s="7">
        <f t="shared" si="17"/>
        <v>581.89</v>
      </c>
      <c r="V351" s="5" t="s">
        <v>45</v>
      </c>
      <c r="W351" s="7">
        <v>171.24</v>
      </c>
      <c r="X351" s="5" t="s">
        <v>46</v>
      </c>
      <c r="Z351" s="8">
        <f t="shared" si="16"/>
        <v>171.24</v>
      </c>
    </row>
    <row r="352" spans="1:26" x14ac:dyDescent="0.25">
      <c r="A352" s="5" t="s">
        <v>34</v>
      </c>
      <c r="B352" s="5" t="s">
        <v>165</v>
      </c>
      <c r="C352" s="5" t="s">
        <v>166</v>
      </c>
      <c r="D352" s="5" t="s">
        <v>37</v>
      </c>
      <c r="E352" s="5" t="s">
        <v>92</v>
      </c>
      <c r="F352" s="5" t="s">
        <v>93</v>
      </c>
      <c r="G352" s="5" t="s">
        <v>40</v>
      </c>
      <c r="H352" s="6">
        <v>45961</v>
      </c>
      <c r="I352" s="6">
        <v>45961</v>
      </c>
      <c r="J352" s="6">
        <v>45964</v>
      </c>
      <c r="K352" s="5" t="s">
        <v>167</v>
      </c>
      <c r="L352" s="5" t="s">
        <v>168</v>
      </c>
      <c r="M352" s="5" t="s">
        <v>43</v>
      </c>
      <c r="N352" s="5" t="s">
        <v>169</v>
      </c>
      <c r="O352" s="7">
        <v>1108.17</v>
      </c>
      <c r="P352" s="5" t="s">
        <v>45</v>
      </c>
      <c r="Q352" s="22"/>
      <c r="R352" s="8">
        <f t="shared" si="15"/>
        <v>1108.17</v>
      </c>
      <c r="S352" s="7">
        <v>1108.17</v>
      </c>
      <c r="T352" s="7"/>
      <c r="U352" s="7">
        <f t="shared" si="17"/>
        <v>1108.17</v>
      </c>
      <c r="V352" s="5" t="s">
        <v>45</v>
      </c>
      <c r="W352" s="7">
        <v>326.12</v>
      </c>
      <c r="X352" s="5" t="s">
        <v>46</v>
      </c>
      <c r="Z352" s="8">
        <f t="shared" si="16"/>
        <v>326.12</v>
      </c>
    </row>
    <row r="353" spans="1:26" x14ac:dyDescent="0.25">
      <c r="A353" s="5" t="s">
        <v>34</v>
      </c>
      <c r="B353" s="5" t="s">
        <v>165</v>
      </c>
      <c r="C353" s="5" t="s">
        <v>166</v>
      </c>
      <c r="D353" s="5" t="s">
        <v>37</v>
      </c>
      <c r="E353" s="5" t="s">
        <v>112</v>
      </c>
      <c r="F353" s="5" t="s">
        <v>113</v>
      </c>
      <c r="G353" s="5" t="s">
        <v>40</v>
      </c>
      <c r="H353" s="6">
        <v>45961</v>
      </c>
      <c r="I353" s="6">
        <v>45961</v>
      </c>
      <c r="J353" s="6">
        <v>45964</v>
      </c>
      <c r="K353" s="5" t="s">
        <v>167</v>
      </c>
      <c r="L353" s="5" t="s">
        <v>168</v>
      </c>
      <c r="M353" s="5" t="s">
        <v>43</v>
      </c>
      <c r="N353" s="5" t="s">
        <v>169</v>
      </c>
      <c r="O353" s="7">
        <v>421.68</v>
      </c>
      <c r="P353" s="5" t="s">
        <v>45</v>
      </c>
      <c r="Q353" s="22"/>
      <c r="R353" s="8">
        <f t="shared" si="15"/>
        <v>421.68</v>
      </c>
      <c r="S353" s="7">
        <v>421.68</v>
      </c>
      <c r="T353" s="7"/>
      <c r="U353" s="7">
        <f t="shared" si="17"/>
        <v>421.68</v>
      </c>
      <c r="V353" s="5" t="s">
        <v>45</v>
      </c>
      <c r="W353" s="7">
        <v>124.1</v>
      </c>
      <c r="X353" s="5" t="s">
        <v>46</v>
      </c>
      <c r="Z353" s="8">
        <f t="shared" si="16"/>
        <v>124.1</v>
      </c>
    </row>
    <row r="354" spans="1:26" x14ac:dyDescent="0.25">
      <c r="A354" s="5" t="s">
        <v>34</v>
      </c>
      <c r="B354" s="5" t="s">
        <v>165</v>
      </c>
      <c r="C354" s="5" t="s">
        <v>166</v>
      </c>
      <c r="D354" s="5" t="s">
        <v>37</v>
      </c>
      <c r="E354" s="5" t="s">
        <v>70</v>
      </c>
      <c r="F354" s="5" t="s">
        <v>71</v>
      </c>
      <c r="G354" s="5" t="s">
        <v>40</v>
      </c>
      <c r="H354" s="6">
        <v>45961</v>
      </c>
      <c r="I354" s="6">
        <v>45961</v>
      </c>
      <c r="J354" s="6">
        <v>45964</v>
      </c>
      <c r="K354" s="5" t="s">
        <v>167</v>
      </c>
      <c r="L354" s="5" t="s">
        <v>168</v>
      </c>
      <c r="M354" s="5" t="s">
        <v>43</v>
      </c>
      <c r="N354" s="5" t="s">
        <v>169</v>
      </c>
      <c r="O354" s="7">
        <v>1096.3599999999999</v>
      </c>
      <c r="P354" s="5" t="s">
        <v>45</v>
      </c>
      <c r="Q354" s="22"/>
      <c r="R354" s="8">
        <f t="shared" si="15"/>
        <v>1096.3599999999999</v>
      </c>
      <c r="S354" s="7">
        <v>1096.3599999999999</v>
      </c>
      <c r="T354" s="7"/>
      <c r="U354" s="7">
        <f t="shared" si="17"/>
        <v>1096.3599999999999</v>
      </c>
      <c r="V354" s="5" t="s">
        <v>45</v>
      </c>
      <c r="W354" s="7">
        <v>322.64999999999998</v>
      </c>
      <c r="X354" s="5" t="s">
        <v>46</v>
      </c>
      <c r="Z354" s="8">
        <f t="shared" si="16"/>
        <v>322.64999999999998</v>
      </c>
    </row>
    <row r="355" spans="1:26" x14ac:dyDescent="0.25">
      <c r="A355" s="5" t="s">
        <v>34</v>
      </c>
      <c r="B355" s="5" t="s">
        <v>165</v>
      </c>
      <c r="C355" s="5" t="s">
        <v>166</v>
      </c>
      <c r="D355" s="5" t="s">
        <v>37</v>
      </c>
      <c r="E355" s="5" t="s">
        <v>66</v>
      </c>
      <c r="F355" s="5" t="s">
        <v>67</v>
      </c>
      <c r="G355" s="5" t="s">
        <v>40</v>
      </c>
      <c r="H355" s="6">
        <v>45961</v>
      </c>
      <c r="I355" s="6">
        <v>45961</v>
      </c>
      <c r="J355" s="6">
        <v>45964</v>
      </c>
      <c r="K355" s="5" t="s">
        <v>167</v>
      </c>
      <c r="L355" s="5" t="s">
        <v>168</v>
      </c>
      <c r="M355" s="5" t="s">
        <v>43</v>
      </c>
      <c r="N355" s="5" t="s">
        <v>169</v>
      </c>
      <c r="O355" s="7">
        <v>2972.79</v>
      </c>
      <c r="P355" s="5" t="s">
        <v>45</v>
      </c>
      <c r="Q355" s="22"/>
      <c r="R355" s="8">
        <f t="shared" si="15"/>
        <v>2972.79</v>
      </c>
      <c r="S355" s="7">
        <v>2972.79</v>
      </c>
      <c r="T355" s="7"/>
      <c r="U355" s="7">
        <f t="shared" si="17"/>
        <v>2972.79</v>
      </c>
      <c r="V355" s="5" t="s">
        <v>45</v>
      </c>
      <c r="W355" s="7">
        <v>874.86</v>
      </c>
      <c r="X355" s="5" t="s">
        <v>46</v>
      </c>
      <c r="Z355" s="8">
        <f t="shared" si="16"/>
        <v>874.86</v>
      </c>
    </row>
    <row r="356" spans="1:26" x14ac:dyDescent="0.25">
      <c r="A356" s="5" t="s">
        <v>34</v>
      </c>
      <c r="B356" s="5" t="s">
        <v>165</v>
      </c>
      <c r="C356" s="5" t="s">
        <v>166</v>
      </c>
      <c r="D356" s="5" t="s">
        <v>37</v>
      </c>
      <c r="E356" s="5" t="s">
        <v>122</v>
      </c>
      <c r="F356" s="5" t="s">
        <v>123</v>
      </c>
      <c r="G356" s="5" t="s">
        <v>40</v>
      </c>
      <c r="H356" s="6">
        <v>45961</v>
      </c>
      <c r="I356" s="6">
        <v>45961</v>
      </c>
      <c r="J356" s="6">
        <v>45964</v>
      </c>
      <c r="K356" s="5" t="s">
        <v>167</v>
      </c>
      <c r="L356" s="5" t="s">
        <v>168</v>
      </c>
      <c r="M356" s="5" t="s">
        <v>43</v>
      </c>
      <c r="N356" s="5" t="s">
        <v>169</v>
      </c>
      <c r="O356" s="7">
        <v>558.41</v>
      </c>
      <c r="P356" s="5" t="s">
        <v>45</v>
      </c>
      <c r="Q356" s="22"/>
      <c r="R356" s="8">
        <f t="shared" si="15"/>
        <v>558.41</v>
      </c>
      <c r="S356" s="7">
        <v>558.41</v>
      </c>
      <c r="T356" s="7"/>
      <c r="U356" s="7">
        <f t="shared" si="17"/>
        <v>558.41</v>
      </c>
      <c r="V356" s="5" t="s">
        <v>45</v>
      </c>
      <c r="W356" s="7">
        <v>164.33</v>
      </c>
      <c r="X356" s="5" t="s">
        <v>46</v>
      </c>
      <c r="Z356" s="8">
        <f t="shared" si="16"/>
        <v>164.33</v>
      </c>
    </row>
    <row r="357" spans="1:26" x14ac:dyDescent="0.25">
      <c r="A357" s="5" t="s">
        <v>34</v>
      </c>
      <c r="B357" s="5" t="s">
        <v>165</v>
      </c>
      <c r="C357" s="5" t="s">
        <v>166</v>
      </c>
      <c r="D357" s="5" t="s">
        <v>37</v>
      </c>
      <c r="E357" s="5" t="s">
        <v>58</v>
      </c>
      <c r="F357" s="5" t="s">
        <v>59</v>
      </c>
      <c r="G357" s="5" t="s">
        <v>40</v>
      </c>
      <c r="H357" s="6">
        <v>45961</v>
      </c>
      <c r="I357" s="6">
        <v>45961</v>
      </c>
      <c r="J357" s="6">
        <v>45964</v>
      </c>
      <c r="K357" s="5" t="s">
        <v>167</v>
      </c>
      <c r="L357" s="5" t="s">
        <v>168</v>
      </c>
      <c r="M357" s="5" t="s">
        <v>43</v>
      </c>
      <c r="N357" s="5" t="s">
        <v>169</v>
      </c>
      <c r="O357" s="7">
        <v>4954.67</v>
      </c>
      <c r="P357" s="5" t="s">
        <v>45</v>
      </c>
      <c r="Q357" s="22"/>
      <c r="R357" s="8">
        <f t="shared" si="15"/>
        <v>4954.67</v>
      </c>
      <c r="S357" s="7">
        <v>4954.67</v>
      </c>
      <c r="T357" s="7"/>
      <c r="U357" s="7">
        <f t="shared" si="17"/>
        <v>4954.67</v>
      </c>
      <c r="V357" s="5" t="s">
        <v>45</v>
      </c>
      <c r="W357" s="7">
        <v>1458.11</v>
      </c>
      <c r="X357" s="5" t="s">
        <v>46</v>
      </c>
      <c r="Z357" s="8">
        <f t="shared" si="16"/>
        <v>1458.11</v>
      </c>
    </row>
    <row r="358" spans="1:26" x14ac:dyDescent="0.25">
      <c r="A358" s="5" t="s">
        <v>34</v>
      </c>
      <c r="B358" s="5" t="s">
        <v>165</v>
      </c>
      <c r="C358" s="5" t="s">
        <v>166</v>
      </c>
      <c r="D358" s="5" t="s">
        <v>37</v>
      </c>
      <c r="E358" s="5" t="s">
        <v>68</v>
      </c>
      <c r="F358" s="5" t="s">
        <v>69</v>
      </c>
      <c r="G358" s="5" t="s">
        <v>40</v>
      </c>
      <c r="H358" s="6">
        <v>45961</v>
      </c>
      <c r="I358" s="6">
        <v>45961</v>
      </c>
      <c r="J358" s="6">
        <v>45964</v>
      </c>
      <c r="K358" s="5" t="s">
        <v>167</v>
      </c>
      <c r="L358" s="5" t="s">
        <v>168</v>
      </c>
      <c r="M358" s="5" t="s">
        <v>43</v>
      </c>
      <c r="N358" s="5" t="s">
        <v>169</v>
      </c>
      <c r="O358" s="7">
        <v>604.23</v>
      </c>
      <c r="P358" s="5" t="s">
        <v>45</v>
      </c>
      <c r="Q358" s="22"/>
      <c r="R358" s="8">
        <f t="shared" si="15"/>
        <v>604.23</v>
      </c>
      <c r="S358" s="7">
        <v>604.23</v>
      </c>
      <c r="T358" s="7"/>
      <c r="U358" s="7">
        <f t="shared" si="17"/>
        <v>604.23</v>
      </c>
      <c r="V358" s="5" t="s">
        <v>45</v>
      </c>
      <c r="W358" s="7">
        <v>177.82</v>
      </c>
      <c r="X358" s="5" t="s">
        <v>46</v>
      </c>
      <c r="Z358" s="8">
        <f t="shared" si="16"/>
        <v>177.82</v>
      </c>
    </row>
    <row r="359" spans="1:26" x14ac:dyDescent="0.25">
      <c r="A359" s="5" t="s">
        <v>34</v>
      </c>
      <c r="B359" s="5" t="s">
        <v>165</v>
      </c>
      <c r="C359" s="5" t="s">
        <v>166</v>
      </c>
      <c r="D359" s="5" t="s">
        <v>37</v>
      </c>
      <c r="E359" s="5" t="s">
        <v>82</v>
      </c>
      <c r="F359" s="5" t="s">
        <v>83</v>
      </c>
      <c r="G359" s="5" t="s">
        <v>40</v>
      </c>
      <c r="H359" s="6">
        <v>45961</v>
      </c>
      <c r="I359" s="6">
        <v>45961</v>
      </c>
      <c r="J359" s="6">
        <v>45964</v>
      </c>
      <c r="K359" s="5" t="s">
        <v>167</v>
      </c>
      <c r="L359" s="5" t="s">
        <v>168</v>
      </c>
      <c r="M359" s="5" t="s">
        <v>43</v>
      </c>
      <c r="N359" s="5" t="s">
        <v>169</v>
      </c>
      <c r="O359" s="7">
        <v>1037.8599999999999</v>
      </c>
      <c r="P359" s="5" t="s">
        <v>45</v>
      </c>
      <c r="Q359" s="22"/>
      <c r="R359" s="8">
        <f t="shared" si="15"/>
        <v>1037.8599999999999</v>
      </c>
      <c r="S359" s="7">
        <v>1037.8599999999999</v>
      </c>
      <c r="T359" s="7"/>
      <c r="U359" s="7">
        <f t="shared" si="17"/>
        <v>1037.8599999999999</v>
      </c>
      <c r="V359" s="5" t="s">
        <v>45</v>
      </c>
      <c r="W359" s="7">
        <v>305.43</v>
      </c>
      <c r="X359" s="5" t="s">
        <v>46</v>
      </c>
      <c r="Z359" s="8">
        <f t="shared" si="16"/>
        <v>305.43</v>
      </c>
    </row>
    <row r="360" spans="1:26" x14ac:dyDescent="0.25">
      <c r="A360" s="5" t="s">
        <v>34</v>
      </c>
      <c r="B360" s="5" t="s">
        <v>165</v>
      </c>
      <c r="C360" s="5" t="s">
        <v>166</v>
      </c>
      <c r="D360" s="5" t="s">
        <v>37</v>
      </c>
      <c r="E360" s="5" t="s">
        <v>80</v>
      </c>
      <c r="F360" s="5" t="s">
        <v>81</v>
      </c>
      <c r="G360" s="5" t="s">
        <v>40</v>
      </c>
      <c r="H360" s="6">
        <v>45961</v>
      </c>
      <c r="I360" s="6">
        <v>45961</v>
      </c>
      <c r="J360" s="6">
        <v>45964</v>
      </c>
      <c r="K360" s="5" t="s">
        <v>167</v>
      </c>
      <c r="L360" s="5" t="s">
        <v>168</v>
      </c>
      <c r="M360" s="5" t="s">
        <v>43</v>
      </c>
      <c r="N360" s="5" t="s">
        <v>169</v>
      </c>
      <c r="O360" s="7">
        <v>1012.38</v>
      </c>
      <c r="P360" s="5" t="s">
        <v>45</v>
      </c>
      <c r="Q360" s="22"/>
      <c r="R360" s="8">
        <f t="shared" si="15"/>
        <v>1012.38</v>
      </c>
      <c r="S360" s="7">
        <v>1012.38</v>
      </c>
      <c r="T360" s="7"/>
      <c r="U360" s="7">
        <f t="shared" si="17"/>
        <v>1012.38</v>
      </c>
      <c r="V360" s="5" t="s">
        <v>45</v>
      </c>
      <c r="W360" s="7">
        <v>297.93</v>
      </c>
      <c r="X360" s="5" t="s">
        <v>46</v>
      </c>
      <c r="Z360" s="8">
        <f t="shared" si="16"/>
        <v>297.93</v>
      </c>
    </row>
    <row r="361" spans="1:26" x14ac:dyDescent="0.25">
      <c r="A361" s="5" t="s">
        <v>34</v>
      </c>
      <c r="B361" s="5" t="s">
        <v>165</v>
      </c>
      <c r="C361" s="5" t="s">
        <v>166</v>
      </c>
      <c r="D361" s="5" t="s">
        <v>37</v>
      </c>
      <c r="E361" s="5" t="s">
        <v>76</v>
      </c>
      <c r="F361" s="5" t="s">
        <v>77</v>
      </c>
      <c r="G361" s="5" t="s">
        <v>40</v>
      </c>
      <c r="H361" s="6">
        <v>45961</v>
      </c>
      <c r="I361" s="6">
        <v>45961</v>
      </c>
      <c r="J361" s="6">
        <v>45964</v>
      </c>
      <c r="K361" s="5" t="s">
        <v>167</v>
      </c>
      <c r="L361" s="5" t="s">
        <v>168</v>
      </c>
      <c r="M361" s="5" t="s">
        <v>43</v>
      </c>
      <c r="N361" s="5" t="s">
        <v>169</v>
      </c>
      <c r="O361" s="7">
        <v>453.93</v>
      </c>
      <c r="P361" s="5" t="s">
        <v>45</v>
      </c>
      <c r="Q361" s="22"/>
      <c r="R361" s="8">
        <f t="shared" si="15"/>
        <v>453.93</v>
      </c>
      <c r="S361" s="7">
        <v>453.93</v>
      </c>
      <c r="T361" s="7"/>
      <c r="U361" s="7">
        <f t="shared" si="17"/>
        <v>453.93</v>
      </c>
      <c r="V361" s="5" t="s">
        <v>45</v>
      </c>
      <c r="W361" s="7">
        <v>133.59</v>
      </c>
      <c r="X361" s="5" t="s">
        <v>46</v>
      </c>
      <c r="Z361" s="8">
        <f t="shared" si="16"/>
        <v>133.59</v>
      </c>
    </row>
    <row r="362" spans="1:26" x14ac:dyDescent="0.25">
      <c r="A362" s="5" t="s">
        <v>34</v>
      </c>
      <c r="B362" s="5" t="s">
        <v>165</v>
      </c>
      <c r="C362" s="5" t="s">
        <v>166</v>
      </c>
      <c r="D362" s="5" t="s">
        <v>37</v>
      </c>
      <c r="E362" s="5" t="s">
        <v>114</v>
      </c>
      <c r="F362" s="5" t="s">
        <v>115</v>
      </c>
      <c r="G362" s="5" t="s">
        <v>40</v>
      </c>
      <c r="H362" s="6">
        <v>45961</v>
      </c>
      <c r="I362" s="6">
        <v>45961</v>
      </c>
      <c r="J362" s="6">
        <v>45964</v>
      </c>
      <c r="K362" s="5" t="s">
        <v>167</v>
      </c>
      <c r="L362" s="5" t="s">
        <v>168</v>
      </c>
      <c r="M362" s="5" t="s">
        <v>43</v>
      </c>
      <c r="N362" s="5" t="s">
        <v>169</v>
      </c>
      <c r="O362" s="7">
        <v>3694.69</v>
      </c>
      <c r="P362" s="5" t="s">
        <v>45</v>
      </c>
      <c r="Q362" s="22"/>
      <c r="R362" s="8">
        <f t="shared" si="15"/>
        <v>3694.69</v>
      </c>
      <c r="S362" s="7">
        <v>3694.69</v>
      </c>
      <c r="T362" s="7"/>
      <c r="U362" s="7">
        <f t="shared" si="17"/>
        <v>3694.69</v>
      </c>
      <c r="V362" s="5" t="s">
        <v>45</v>
      </c>
      <c r="W362" s="7">
        <v>1087.31</v>
      </c>
      <c r="X362" s="5" t="s">
        <v>46</v>
      </c>
      <c r="Z362" s="8">
        <f t="shared" si="16"/>
        <v>1087.31</v>
      </c>
    </row>
    <row r="363" spans="1:26" x14ac:dyDescent="0.25">
      <c r="A363" s="5" t="s">
        <v>34</v>
      </c>
      <c r="B363" s="5" t="s">
        <v>165</v>
      </c>
      <c r="C363" s="5" t="s">
        <v>166</v>
      </c>
      <c r="D363" s="5" t="s">
        <v>37</v>
      </c>
      <c r="E363" s="5" t="s">
        <v>56</v>
      </c>
      <c r="F363" s="5" t="s">
        <v>57</v>
      </c>
      <c r="G363" s="5" t="s">
        <v>40</v>
      </c>
      <c r="H363" s="6">
        <v>45961</v>
      </c>
      <c r="I363" s="6">
        <v>45961</v>
      </c>
      <c r="J363" s="6">
        <v>45964</v>
      </c>
      <c r="K363" s="5" t="s">
        <v>167</v>
      </c>
      <c r="L363" s="5" t="s">
        <v>168</v>
      </c>
      <c r="M363" s="5" t="s">
        <v>43</v>
      </c>
      <c r="N363" s="5" t="s">
        <v>169</v>
      </c>
      <c r="O363" s="7">
        <v>5406.03</v>
      </c>
      <c r="P363" s="5" t="s">
        <v>45</v>
      </c>
      <c r="Q363" s="22"/>
      <c r="R363" s="8">
        <f t="shared" si="15"/>
        <v>5406.03</v>
      </c>
      <c r="S363" s="7">
        <v>5406.03</v>
      </c>
      <c r="T363" s="7"/>
      <c r="U363" s="7">
        <f t="shared" si="17"/>
        <v>5406.03</v>
      </c>
      <c r="V363" s="5" t="s">
        <v>45</v>
      </c>
      <c r="W363" s="7">
        <v>1590.94</v>
      </c>
      <c r="X363" s="5" t="s">
        <v>46</v>
      </c>
      <c r="Z363" s="8">
        <f t="shared" si="16"/>
        <v>1590.94</v>
      </c>
    </row>
    <row r="364" spans="1:26" x14ac:dyDescent="0.25">
      <c r="A364" s="5" t="s">
        <v>34</v>
      </c>
      <c r="B364" s="5" t="s">
        <v>165</v>
      </c>
      <c r="C364" s="5" t="s">
        <v>166</v>
      </c>
      <c r="D364" s="5" t="s">
        <v>37</v>
      </c>
      <c r="E364" s="5" t="s">
        <v>86</v>
      </c>
      <c r="F364" s="5" t="s">
        <v>87</v>
      </c>
      <c r="G364" s="5" t="s">
        <v>40</v>
      </c>
      <c r="H364" s="6">
        <v>45961</v>
      </c>
      <c r="I364" s="6">
        <v>45961</v>
      </c>
      <c r="J364" s="6">
        <v>45964</v>
      </c>
      <c r="K364" s="5" t="s">
        <v>167</v>
      </c>
      <c r="L364" s="5" t="s">
        <v>168</v>
      </c>
      <c r="M364" s="5" t="s">
        <v>43</v>
      </c>
      <c r="N364" s="5" t="s">
        <v>169</v>
      </c>
      <c r="O364" s="7">
        <v>1203.17</v>
      </c>
      <c r="P364" s="5" t="s">
        <v>45</v>
      </c>
      <c r="Q364" s="22"/>
      <c r="R364" s="8">
        <f t="shared" si="15"/>
        <v>1203.17</v>
      </c>
      <c r="S364" s="7">
        <v>1203.17</v>
      </c>
      <c r="T364" s="7"/>
      <c r="U364" s="7">
        <f t="shared" si="17"/>
        <v>1203.17</v>
      </c>
      <c r="V364" s="5" t="s">
        <v>45</v>
      </c>
      <c r="W364" s="7">
        <v>354.08</v>
      </c>
      <c r="X364" s="5" t="s">
        <v>46</v>
      </c>
      <c r="Z364" s="8">
        <f t="shared" si="16"/>
        <v>354.08</v>
      </c>
    </row>
    <row r="365" spans="1:26" x14ac:dyDescent="0.25">
      <c r="A365" s="5" t="s">
        <v>34</v>
      </c>
      <c r="B365" s="5" t="s">
        <v>165</v>
      </c>
      <c r="C365" s="5" t="s">
        <v>166</v>
      </c>
      <c r="D365" s="5" t="s">
        <v>37</v>
      </c>
      <c r="E365" s="5" t="s">
        <v>54</v>
      </c>
      <c r="F365" s="5" t="s">
        <v>55</v>
      </c>
      <c r="G365" s="5" t="s">
        <v>40</v>
      </c>
      <c r="H365" s="6">
        <v>45961</v>
      </c>
      <c r="I365" s="6">
        <v>45961</v>
      </c>
      <c r="J365" s="6">
        <v>45964</v>
      </c>
      <c r="K365" s="5" t="s">
        <v>167</v>
      </c>
      <c r="L365" s="5" t="s">
        <v>168</v>
      </c>
      <c r="M365" s="5" t="s">
        <v>43</v>
      </c>
      <c r="N365" s="5" t="s">
        <v>169</v>
      </c>
      <c r="O365" s="7">
        <v>699.91</v>
      </c>
      <c r="P365" s="5" t="s">
        <v>45</v>
      </c>
      <c r="Q365" s="22"/>
      <c r="R365" s="8">
        <f t="shared" si="15"/>
        <v>699.91</v>
      </c>
      <c r="S365" s="7">
        <v>699.91</v>
      </c>
      <c r="T365" s="7"/>
      <c r="U365" s="7">
        <f t="shared" si="17"/>
        <v>699.91</v>
      </c>
      <c r="V365" s="5" t="s">
        <v>45</v>
      </c>
      <c r="W365" s="7">
        <v>205.98</v>
      </c>
      <c r="X365" s="5" t="s">
        <v>46</v>
      </c>
      <c r="Z365" s="8">
        <f t="shared" si="16"/>
        <v>205.98</v>
      </c>
    </row>
    <row r="366" spans="1:26" x14ac:dyDescent="0.25">
      <c r="A366" s="5" t="s">
        <v>34</v>
      </c>
      <c r="B366" s="5" t="s">
        <v>170</v>
      </c>
      <c r="C366" s="5" t="s">
        <v>171</v>
      </c>
      <c r="D366" s="5" t="s">
        <v>37</v>
      </c>
      <c r="E366" s="5" t="s">
        <v>118</v>
      </c>
      <c r="F366" s="5" t="s">
        <v>119</v>
      </c>
      <c r="G366" s="5" t="s">
        <v>40</v>
      </c>
      <c r="H366" s="6">
        <v>45961</v>
      </c>
      <c r="I366" s="6">
        <v>45961</v>
      </c>
      <c r="J366" s="6">
        <v>45964</v>
      </c>
      <c r="K366" s="5" t="s">
        <v>172</v>
      </c>
      <c r="L366" s="5" t="s">
        <v>173</v>
      </c>
      <c r="M366" s="5" t="s">
        <v>43</v>
      </c>
      <c r="N366" s="5" t="s">
        <v>174</v>
      </c>
      <c r="O366" s="7">
        <v>11165.4</v>
      </c>
      <c r="P366" s="5" t="s">
        <v>45</v>
      </c>
      <c r="Q366" s="22"/>
      <c r="R366" s="8">
        <f t="shared" si="15"/>
        <v>11165.4</v>
      </c>
      <c r="S366" s="7">
        <v>11165.4</v>
      </c>
      <c r="T366" s="7"/>
      <c r="U366" s="7">
        <f t="shared" si="17"/>
        <v>11165.4</v>
      </c>
      <c r="V366" s="5" t="s">
        <v>45</v>
      </c>
      <c r="W366" s="7">
        <v>3285.87</v>
      </c>
      <c r="X366" s="5" t="s">
        <v>46</v>
      </c>
      <c r="Z366" s="8">
        <f t="shared" si="16"/>
        <v>3285.87</v>
      </c>
    </row>
    <row r="367" spans="1:26" x14ac:dyDescent="0.25">
      <c r="A367" s="5" t="s">
        <v>34</v>
      </c>
      <c r="B367" s="5" t="s">
        <v>170</v>
      </c>
      <c r="C367" s="5" t="s">
        <v>171</v>
      </c>
      <c r="D367" s="5" t="s">
        <v>37</v>
      </c>
      <c r="E367" s="5" t="s">
        <v>52</v>
      </c>
      <c r="F367" s="5" t="s">
        <v>53</v>
      </c>
      <c r="G367" s="5" t="s">
        <v>40</v>
      </c>
      <c r="H367" s="6">
        <v>45961</v>
      </c>
      <c r="I367" s="6">
        <v>45961</v>
      </c>
      <c r="J367" s="6">
        <v>45964</v>
      </c>
      <c r="K367" s="5" t="s">
        <v>172</v>
      </c>
      <c r="L367" s="5" t="s">
        <v>173</v>
      </c>
      <c r="M367" s="5" t="s">
        <v>43</v>
      </c>
      <c r="N367" s="5" t="s">
        <v>174</v>
      </c>
      <c r="O367" s="7">
        <v>918.4</v>
      </c>
      <c r="P367" s="5" t="s">
        <v>45</v>
      </c>
      <c r="Q367" s="22"/>
      <c r="R367" s="8">
        <f t="shared" si="15"/>
        <v>918.4</v>
      </c>
      <c r="S367" s="7">
        <v>918.4</v>
      </c>
      <c r="T367" s="7"/>
      <c r="U367" s="7">
        <f t="shared" si="17"/>
        <v>918.4</v>
      </c>
      <c r="V367" s="5" t="s">
        <v>45</v>
      </c>
      <c r="W367" s="7">
        <v>270.27999999999997</v>
      </c>
      <c r="X367" s="5" t="s">
        <v>46</v>
      </c>
      <c r="Z367" s="8">
        <f t="shared" si="16"/>
        <v>270.27999999999997</v>
      </c>
    </row>
    <row r="368" spans="1:26" x14ac:dyDescent="0.25">
      <c r="A368" s="5" t="s">
        <v>34</v>
      </c>
      <c r="B368" s="5" t="s">
        <v>170</v>
      </c>
      <c r="C368" s="5" t="s">
        <v>171</v>
      </c>
      <c r="D368" s="5" t="s">
        <v>37</v>
      </c>
      <c r="E368" s="5" t="s">
        <v>82</v>
      </c>
      <c r="F368" s="5" t="s">
        <v>83</v>
      </c>
      <c r="G368" s="5" t="s">
        <v>40</v>
      </c>
      <c r="H368" s="6">
        <v>45961</v>
      </c>
      <c r="I368" s="6">
        <v>45961</v>
      </c>
      <c r="J368" s="6">
        <v>45964</v>
      </c>
      <c r="K368" s="5" t="s">
        <v>172</v>
      </c>
      <c r="L368" s="5" t="s">
        <v>173</v>
      </c>
      <c r="M368" s="5" t="s">
        <v>43</v>
      </c>
      <c r="N368" s="5" t="s">
        <v>174</v>
      </c>
      <c r="O368" s="7">
        <v>16363.42</v>
      </c>
      <c r="P368" s="5" t="s">
        <v>45</v>
      </c>
      <c r="Q368" s="22"/>
      <c r="R368" s="8">
        <f t="shared" si="15"/>
        <v>16363.42</v>
      </c>
      <c r="S368" s="7">
        <v>16363.42</v>
      </c>
      <c r="T368" s="7"/>
      <c r="U368" s="7">
        <f t="shared" si="17"/>
        <v>16363.42</v>
      </c>
      <c r="V368" s="5" t="s">
        <v>45</v>
      </c>
      <c r="W368" s="7">
        <v>4815.6000000000004</v>
      </c>
      <c r="X368" s="5" t="s">
        <v>46</v>
      </c>
      <c r="Z368" s="8">
        <f t="shared" si="16"/>
        <v>4815.6000000000004</v>
      </c>
    </row>
    <row r="369" spans="1:26" x14ac:dyDescent="0.25">
      <c r="A369" s="5" t="s">
        <v>34</v>
      </c>
      <c r="B369" s="5" t="s">
        <v>170</v>
      </c>
      <c r="C369" s="5" t="s">
        <v>171</v>
      </c>
      <c r="D369" s="5" t="s">
        <v>37</v>
      </c>
      <c r="E369" s="5" t="s">
        <v>74</v>
      </c>
      <c r="F369" s="5" t="s">
        <v>75</v>
      </c>
      <c r="G369" s="5" t="s">
        <v>40</v>
      </c>
      <c r="H369" s="6">
        <v>45961</v>
      </c>
      <c r="I369" s="6">
        <v>45961</v>
      </c>
      <c r="J369" s="6">
        <v>45964</v>
      </c>
      <c r="K369" s="5" t="s">
        <v>172</v>
      </c>
      <c r="L369" s="5" t="s">
        <v>173</v>
      </c>
      <c r="M369" s="5" t="s">
        <v>43</v>
      </c>
      <c r="N369" s="5" t="s">
        <v>174</v>
      </c>
      <c r="O369" s="7">
        <v>107419.24</v>
      </c>
      <c r="P369" s="5" t="s">
        <v>45</v>
      </c>
      <c r="Q369" s="22"/>
      <c r="R369" s="8">
        <f t="shared" si="15"/>
        <v>107419.24</v>
      </c>
      <c r="S369" s="7">
        <v>107419.24</v>
      </c>
      <c r="T369" s="7"/>
      <c r="U369" s="7">
        <f t="shared" si="17"/>
        <v>107419.24</v>
      </c>
      <c r="V369" s="5" t="s">
        <v>45</v>
      </c>
      <c r="W369" s="7">
        <v>31612.49</v>
      </c>
      <c r="X369" s="5" t="s">
        <v>46</v>
      </c>
      <c r="Z369" s="8">
        <f t="shared" si="16"/>
        <v>31612.49</v>
      </c>
    </row>
    <row r="370" spans="1:26" x14ac:dyDescent="0.25">
      <c r="A370" s="5" t="s">
        <v>34</v>
      </c>
      <c r="B370" s="5" t="s">
        <v>170</v>
      </c>
      <c r="C370" s="5" t="s">
        <v>171</v>
      </c>
      <c r="D370" s="5" t="s">
        <v>37</v>
      </c>
      <c r="E370" s="5" t="s">
        <v>116</v>
      </c>
      <c r="F370" s="5" t="s">
        <v>117</v>
      </c>
      <c r="G370" s="5" t="s">
        <v>40</v>
      </c>
      <c r="H370" s="6">
        <v>45961</v>
      </c>
      <c r="I370" s="6">
        <v>45961</v>
      </c>
      <c r="J370" s="6">
        <v>45964</v>
      </c>
      <c r="K370" s="5" t="s">
        <v>172</v>
      </c>
      <c r="L370" s="5" t="s">
        <v>173</v>
      </c>
      <c r="M370" s="5" t="s">
        <v>43</v>
      </c>
      <c r="N370" s="5" t="s">
        <v>174</v>
      </c>
      <c r="O370" s="7">
        <v>8392.27</v>
      </c>
      <c r="P370" s="5" t="s">
        <v>45</v>
      </c>
      <c r="Q370" s="22"/>
      <c r="R370" s="8">
        <f t="shared" si="15"/>
        <v>8392.27</v>
      </c>
      <c r="S370" s="7">
        <v>8392.27</v>
      </c>
      <c r="T370" s="7"/>
      <c r="U370" s="7">
        <f t="shared" si="17"/>
        <v>8392.27</v>
      </c>
      <c r="V370" s="5" t="s">
        <v>45</v>
      </c>
      <c r="W370" s="7">
        <v>2469.77</v>
      </c>
      <c r="X370" s="5" t="s">
        <v>46</v>
      </c>
      <c r="Z370" s="8">
        <f t="shared" si="16"/>
        <v>2469.77</v>
      </c>
    </row>
    <row r="371" spans="1:26" x14ac:dyDescent="0.25">
      <c r="A371" s="5" t="s">
        <v>34</v>
      </c>
      <c r="B371" s="5" t="s">
        <v>170</v>
      </c>
      <c r="C371" s="5" t="s">
        <v>171</v>
      </c>
      <c r="D371" s="5" t="s">
        <v>37</v>
      </c>
      <c r="E371" s="5" t="s">
        <v>96</v>
      </c>
      <c r="F371" s="5" t="s">
        <v>97</v>
      </c>
      <c r="G371" s="5" t="s">
        <v>40</v>
      </c>
      <c r="H371" s="6">
        <v>45961</v>
      </c>
      <c r="I371" s="6">
        <v>45961</v>
      </c>
      <c r="J371" s="6">
        <v>45964</v>
      </c>
      <c r="K371" s="5" t="s">
        <v>147</v>
      </c>
      <c r="L371" s="5" t="s">
        <v>148</v>
      </c>
      <c r="M371" s="5" t="s">
        <v>43</v>
      </c>
      <c r="N371" s="5" t="s">
        <v>149</v>
      </c>
      <c r="O371" s="7">
        <v>240.43</v>
      </c>
      <c r="P371" s="5" t="s">
        <v>45</v>
      </c>
      <c r="Q371" s="22"/>
      <c r="R371" s="8">
        <f t="shared" si="15"/>
        <v>240.43</v>
      </c>
      <c r="S371" s="7">
        <v>240.43</v>
      </c>
      <c r="T371" s="7"/>
      <c r="U371" s="7">
        <f t="shared" si="17"/>
        <v>240.43</v>
      </c>
      <c r="V371" s="5" t="s">
        <v>45</v>
      </c>
      <c r="W371" s="7">
        <v>70.760000000000005</v>
      </c>
      <c r="X371" s="5" t="s">
        <v>46</v>
      </c>
      <c r="Z371" s="8">
        <f t="shared" si="16"/>
        <v>70.760000000000005</v>
      </c>
    </row>
    <row r="372" spans="1:26" x14ac:dyDescent="0.25">
      <c r="A372" s="5" t="s">
        <v>34</v>
      </c>
      <c r="B372" s="5" t="s">
        <v>170</v>
      </c>
      <c r="C372" s="5" t="s">
        <v>171</v>
      </c>
      <c r="D372" s="5" t="s">
        <v>37</v>
      </c>
      <c r="E372" s="5" t="s">
        <v>62</v>
      </c>
      <c r="F372" s="5" t="s">
        <v>63</v>
      </c>
      <c r="G372" s="5" t="s">
        <v>40</v>
      </c>
      <c r="H372" s="6">
        <v>45961</v>
      </c>
      <c r="I372" s="6">
        <v>45961</v>
      </c>
      <c r="J372" s="6">
        <v>45964</v>
      </c>
      <c r="K372" s="5" t="s">
        <v>172</v>
      </c>
      <c r="L372" s="5" t="s">
        <v>173</v>
      </c>
      <c r="M372" s="5" t="s">
        <v>43</v>
      </c>
      <c r="N372" s="5" t="s">
        <v>174</v>
      </c>
      <c r="O372" s="7">
        <v>12779.84</v>
      </c>
      <c r="P372" s="5" t="s">
        <v>45</v>
      </c>
      <c r="Q372" s="22"/>
      <c r="R372" s="8">
        <f t="shared" si="15"/>
        <v>12779.84</v>
      </c>
      <c r="S372" s="7">
        <v>12779.84</v>
      </c>
      <c r="T372" s="7"/>
      <c r="U372" s="7">
        <f t="shared" si="17"/>
        <v>12779.84</v>
      </c>
      <c r="V372" s="5" t="s">
        <v>45</v>
      </c>
      <c r="W372" s="7">
        <v>3760.99</v>
      </c>
      <c r="X372" s="5" t="s">
        <v>46</v>
      </c>
      <c r="Z372" s="8">
        <f t="shared" si="16"/>
        <v>3760.99</v>
      </c>
    </row>
    <row r="373" spans="1:26" x14ac:dyDescent="0.25">
      <c r="A373" s="5" t="s">
        <v>34</v>
      </c>
      <c r="B373" s="5" t="s">
        <v>170</v>
      </c>
      <c r="C373" s="5" t="s">
        <v>171</v>
      </c>
      <c r="D373" s="5" t="s">
        <v>37</v>
      </c>
      <c r="E373" s="5" t="s">
        <v>80</v>
      </c>
      <c r="F373" s="5" t="s">
        <v>81</v>
      </c>
      <c r="G373" s="5" t="s">
        <v>40</v>
      </c>
      <c r="H373" s="6">
        <v>45961</v>
      </c>
      <c r="I373" s="6">
        <v>45961</v>
      </c>
      <c r="J373" s="6">
        <v>45964</v>
      </c>
      <c r="K373" s="5" t="s">
        <v>172</v>
      </c>
      <c r="L373" s="5" t="s">
        <v>173</v>
      </c>
      <c r="M373" s="5" t="s">
        <v>43</v>
      </c>
      <c r="N373" s="5" t="s">
        <v>174</v>
      </c>
      <c r="O373" s="7">
        <v>4196.88</v>
      </c>
      <c r="P373" s="5" t="s">
        <v>45</v>
      </c>
      <c r="Q373" s="22"/>
      <c r="R373" s="8">
        <f t="shared" si="15"/>
        <v>4196.88</v>
      </c>
      <c r="S373" s="7">
        <v>4196.88</v>
      </c>
      <c r="T373" s="7"/>
      <c r="U373" s="7">
        <f t="shared" si="17"/>
        <v>4196.88</v>
      </c>
      <c r="V373" s="5" t="s">
        <v>45</v>
      </c>
      <c r="W373" s="7">
        <v>1235.0999999999999</v>
      </c>
      <c r="X373" s="5" t="s">
        <v>46</v>
      </c>
      <c r="Z373" s="8">
        <f t="shared" si="16"/>
        <v>1235.0999999999999</v>
      </c>
    </row>
    <row r="374" spans="1:26" x14ac:dyDescent="0.25">
      <c r="A374" s="5" t="s">
        <v>34</v>
      </c>
      <c r="B374" s="5" t="s">
        <v>170</v>
      </c>
      <c r="C374" s="5" t="s">
        <v>171</v>
      </c>
      <c r="D374" s="5" t="s">
        <v>37</v>
      </c>
      <c r="E374" s="5" t="s">
        <v>86</v>
      </c>
      <c r="F374" s="5" t="s">
        <v>87</v>
      </c>
      <c r="G374" s="5" t="s">
        <v>40</v>
      </c>
      <c r="H374" s="6">
        <v>45961</v>
      </c>
      <c r="I374" s="6">
        <v>45961</v>
      </c>
      <c r="J374" s="6">
        <v>45964</v>
      </c>
      <c r="K374" s="5" t="s">
        <v>172</v>
      </c>
      <c r="L374" s="5" t="s">
        <v>173</v>
      </c>
      <c r="M374" s="5" t="s">
        <v>43</v>
      </c>
      <c r="N374" s="5" t="s">
        <v>174</v>
      </c>
      <c r="O374" s="7">
        <v>25922.15</v>
      </c>
      <c r="P374" s="5" t="s">
        <v>45</v>
      </c>
      <c r="Q374" s="22"/>
      <c r="R374" s="8">
        <f t="shared" si="15"/>
        <v>25922.15</v>
      </c>
      <c r="S374" s="7">
        <v>25922.15</v>
      </c>
      <c r="T374" s="7"/>
      <c r="U374" s="7">
        <f t="shared" si="17"/>
        <v>25922.15</v>
      </c>
      <c r="V374" s="5" t="s">
        <v>45</v>
      </c>
      <c r="W374" s="7">
        <v>7628.65</v>
      </c>
      <c r="X374" s="5" t="s">
        <v>46</v>
      </c>
      <c r="Z374" s="8">
        <f t="shared" si="16"/>
        <v>7628.65</v>
      </c>
    </row>
    <row r="375" spans="1:26" x14ac:dyDescent="0.25">
      <c r="A375" s="5" t="s">
        <v>34</v>
      </c>
      <c r="B375" s="5" t="s">
        <v>170</v>
      </c>
      <c r="C375" s="5" t="s">
        <v>171</v>
      </c>
      <c r="D375" s="5" t="s">
        <v>37</v>
      </c>
      <c r="E375" s="5" t="s">
        <v>142</v>
      </c>
      <c r="F375" s="5" t="s">
        <v>143</v>
      </c>
      <c r="G375" s="5" t="s">
        <v>40</v>
      </c>
      <c r="H375" s="6">
        <v>45961</v>
      </c>
      <c r="I375" s="6">
        <v>45961</v>
      </c>
      <c r="J375" s="6">
        <v>45964</v>
      </c>
      <c r="K375" s="5" t="s">
        <v>172</v>
      </c>
      <c r="L375" s="5" t="s">
        <v>173</v>
      </c>
      <c r="M375" s="5" t="s">
        <v>43</v>
      </c>
      <c r="N375" s="5" t="s">
        <v>174</v>
      </c>
      <c r="O375" s="7">
        <v>351.64</v>
      </c>
      <c r="P375" s="5" t="s">
        <v>45</v>
      </c>
      <c r="Q375" s="22"/>
      <c r="R375" s="8">
        <f t="shared" si="15"/>
        <v>351.64</v>
      </c>
      <c r="S375" s="7">
        <v>351.64</v>
      </c>
      <c r="T375" s="7"/>
      <c r="U375" s="7">
        <f t="shared" si="17"/>
        <v>351.64</v>
      </c>
      <c r="V375" s="5" t="s">
        <v>45</v>
      </c>
      <c r="W375" s="7">
        <v>103.48</v>
      </c>
      <c r="X375" s="5" t="s">
        <v>46</v>
      </c>
      <c r="Z375" s="8">
        <f t="shared" si="16"/>
        <v>103.48</v>
      </c>
    </row>
    <row r="376" spans="1:26" x14ac:dyDescent="0.25">
      <c r="A376" s="5" t="s">
        <v>34</v>
      </c>
      <c r="B376" s="5" t="s">
        <v>170</v>
      </c>
      <c r="C376" s="5" t="s">
        <v>171</v>
      </c>
      <c r="D376" s="5" t="s">
        <v>37</v>
      </c>
      <c r="E376" s="5" t="s">
        <v>138</v>
      </c>
      <c r="F376" s="5" t="s">
        <v>139</v>
      </c>
      <c r="G376" s="5" t="s">
        <v>40</v>
      </c>
      <c r="H376" s="6">
        <v>45961</v>
      </c>
      <c r="I376" s="6">
        <v>45961</v>
      </c>
      <c r="J376" s="6">
        <v>45964</v>
      </c>
      <c r="K376" s="5" t="s">
        <v>172</v>
      </c>
      <c r="L376" s="5" t="s">
        <v>173</v>
      </c>
      <c r="M376" s="5" t="s">
        <v>43</v>
      </c>
      <c r="N376" s="5" t="s">
        <v>174</v>
      </c>
      <c r="O376" s="7">
        <v>5516.8</v>
      </c>
      <c r="P376" s="5" t="s">
        <v>45</v>
      </c>
      <c r="Q376" s="22"/>
      <c r="R376" s="8">
        <f t="shared" si="15"/>
        <v>5516.8</v>
      </c>
      <c r="S376" s="7">
        <v>5516.8</v>
      </c>
      <c r="T376" s="7"/>
      <c r="U376" s="7">
        <f t="shared" si="17"/>
        <v>5516.8</v>
      </c>
      <c r="V376" s="5" t="s">
        <v>45</v>
      </c>
      <c r="W376" s="7">
        <v>1623.54</v>
      </c>
      <c r="X376" s="5" t="s">
        <v>46</v>
      </c>
      <c r="Z376" s="8">
        <f t="shared" si="16"/>
        <v>1623.54</v>
      </c>
    </row>
    <row r="377" spans="1:26" x14ac:dyDescent="0.25">
      <c r="A377" s="5" t="s">
        <v>34</v>
      </c>
      <c r="B377" s="5" t="s">
        <v>170</v>
      </c>
      <c r="C377" s="5" t="s">
        <v>171</v>
      </c>
      <c r="D377" s="5" t="s">
        <v>37</v>
      </c>
      <c r="E377" s="5" t="s">
        <v>102</v>
      </c>
      <c r="F377" s="5" t="s">
        <v>103</v>
      </c>
      <c r="G377" s="5" t="s">
        <v>40</v>
      </c>
      <c r="H377" s="6">
        <v>45961</v>
      </c>
      <c r="I377" s="6">
        <v>45961</v>
      </c>
      <c r="J377" s="6">
        <v>45964</v>
      </c>
      <c r="K377" s="5" t="s">
        <v>172</v>
      </c>
      <c r="L377" s="5" t="s">
        <v>173</v>
      </c>
      <c r="M377" s="5" t="s">
        <v>43</v>
      </c>
      <c r="N377" s="5" t="s">
        <v>174</v>
      </c>
      <c r="O377" s="7">
        <v>27817.4</v>
      </c>
      <c r="P377" s="5" t="s">
        <v>45</v>
      </c>
      <c r="Q377" s="22"/>
      <c r="R377" s="8">
        <f t="shared" si="15"/>
        <v>27817.4</v>
      </c>
      <c r="S377" s="7">
        <v>27817.4</v>
      </c>
      <c r="T377" s="7"/>
      <c r="U377" s="7">
        <f t="shared" si="17"/>
        <v>27817.4</v>
      </c>
      <c r="V377" s="5" t="s">
        <v>45</v>
      </c>
      <c r="W377" s="7">
        <v>8186.4</v>
      </c>
      <c r="X377" s="5" t="s">
        <v>46</v>
      </c>
      <c r="Z377" s="8">
        <f t="shared" si="16"/>
        <v>8186.4</v>
      </c>
    </row>
    <row r="378" spans="1:26" x14ac:dyDescent="0.25">
      <c r="A378" s="5" t="s">
        <v>34</v>
      </c>
      <c r="B378" s="5" t="s">
        <v>170</v>
      </c>
      <c r="C378" s="5" t="s">
        <v>171</v>
      </c>
      <c r="D378" s="5" t="s">
        <v>37</v>
      </c>
      <c r="E378" s="5" t="s">
        <v>142</v>
      </c>
      <c r="F378" s="5" t="s">
        <v>143</v>
      </c>
      <c r="G378" s="5" t="s">
        <v>40</v>
      </c>
      <c r="H378" s="6">
        <v>45961</v>
      </c>
      <c r="I378" s="6">
        <v>45961</v>
      </c>
      <c r="J378" s="6">
        <v>45961</v>
      </c>
      <c r="K378" s="5" t="s">
        <v>144</v>
      </c>
      <c r="L378" s="5" t="s">
        <v>145</v>
      </c>
      <c r="M378" s="5" t="s">
        <v>43</v>
      </c>
      <c r="N378" s="5" t="s">
        <v>146</v>
      </c>
      <c r="O378" s="7">
        <v>338.83</v>
      </c>
      <c r="P378" s="5" t="s">
        <v>45</v>
      </c>
      <c r="Q378" s="22"/>
      <c r="R378" s="8">
        <f t="shared" si="15"/>
        <v>338.83</v>
      </c>
      <c r="S378" s="7">
        <v>338.83</v>
      </c>
      <c r="T378" s="7"/>
      <c r="U378" s="7">
        <f t="shared" si="17"/>
        <v>338.83</v>
      </c>
      <c r="V378" s="5" t="s">
        <v>45</v>
      </c>
      <c r="W378" s="7">
        <v>99.71</v>
      </c>
      <c r="X378" s="5" t="s">
        <v>46</v>
      </c>
      <c r="Z378" s="8">
        <f t="shared" si="16"/>
        <v>99.71</v>
      </c>
    </row>
    <row r="379" spans="1:26" x14ac:dyDescent="0.25">
      <c r="A379" s="5" t="s">
        <v>34</v>
      </c>
      <c r="B379" s="5" t="s">
        <v>170</v>
      </c>
      <c r="C379" s="5" t="s">
        <v>171</v>
      </c>
      <c r="D379" s="5" t="s">
        <v>37</v>
      </c>
      <c r="E379" s="5" t="s">
        <v>122</v>
      </c>
      <c r="F379" s="5" t="s">
        <v>123</v>
      </c>
      <c r="G379" s="5" t="s">
        <v>40</v>
      </c>
      <c r="H379" s="6">
        <v>45961</v>
      </c>
      <c r="I379" s="6">
        <v>45961</v>
      </c>
      <c r="J379" s="6">
        <v>45964</v>
      </c>
      <c r="K379" s="5" t="s">
        <v>172</v>
      </c>
      <c r="L379" s="5" t="s">
        <v>173</v>
      </c>
      <c r="M379" s="5" t="s">
        <v>43</v>
      </c>
      <c r="N379" s="5" t="s">
        <v>174</v>
      </c>
      <c r="O379" s="7">
        <v>196.18</v>
      </c>
      <c r="P379" s="5" t="s">
        <v>45</v>
      </c>
      <c r="Q379" s="22"/>
      <c r="R379" s="8">
        <f t="shared" si="15"/>
        <v>196.18</v>
      </c>
      <c r="S379" s="7">
        <v>196.18</v>
      </c>
      <c r="T379" s="7"/>
      <c r="U379" s="7">
        <f t="shared" si="17"/>
        <v>196.18</v>
      </c>
      <c r="V379" s="5" t="s">
        <v>45</v>
      </c>
      <c r="W379" s="7">
        <v>57.73</v>
      </c>
      <c r="X379" s="5" t="s">
        <v>46</v>
      </c>
      <c r="Z379" s="8">
        <f t="shared" si="16"/>
        <v>57.73</v>
      </c>
    </row>
    <row r="380" spans="1:26" x14ac:dyDescent="0.25">
      <c r="A380" s="5" t="s">
        <v>34</v>
      </c>
      <c r="B380" s="5" t="s">
        <v>170</v>
      </c>
      <c r="C380" s="5" t="s">
        <v>171</v>
      </c>
      <c r="D380" s="5" t="s">
        <v>37</v>
      </c>
      <c r="E380" s="5" t="s">
        <v>60</v>
      </c>
      <c r="F380" s="5" t="s">
        <v>61</v>
      </c>
      <c r="G380" s="5" t="s">
        <v>40</v>
      </c>
      <c r="H380" s="6">
        <v>45961</v>
      </c>
      <c r="I380" s="6">
        <v>45961</v>
      </c>
      <c r="J380" s="6">
        <v>45964</v>
      </c>
      <c r="K380" s="5" t="s">
        <v>172</v>
      </c>
      <c r="L380" s="5" t="s">
        <v>173</v>
      </c>
      <c r="M380" s="5" t="s">
        <v>43</v>
      </c>
      <c r="N380" s="5" t="s">
        <v>174</v>
      </c>
      <c r="O380" s="7">
        <v>22236.080000000002</v>
      </c>
      <c r="P380" s="5" t="s">
        <v>45</v>
      </c>
      <c r="Q380" s="22"/>
      <c r="R380" s="8">
        <f t="shared" si="15"/>
        <v>22236.080000000002</v>
      </c>
      <c r="S380" s="7">
        <v>22236.080000000002</v>
      </c>
      <c r="T380" s="7"/>
      <c r="U380" s="7">
        <f t="shared" si="17"/>
        <v>22236.080000000002</v>
      </c>
      <c r="V380" s="5" t="s">
        <v>45</v>
      </c>
      <c r="W380" s="7">
        <v>6543.87</v>
      </c>
      <c r="X380" s="5" t="s">
        <v>46</v>
      </c>
      <c r="Z380" s="8">
        <f t="shared" si="16"/>
        <v>6543.87</v>
      </c>
    </row>
    <row r="381" spans="1:26" x14ac:dyDescent="0.25">
      <c r="A381" s="5" t="s">
        <v>34</v>
      </c>
      <c r="B381" s="5" t="s">
        <v>170</v>
      </c>
      <c r="C381" s="5" t="s">
        <v>171</v>
      </c>
      <c r="D381" s="5" t="s">
        <v>37</v>
      </c>
      <c r="E381" s="5" t="s">
        <v>64</v>
      </c>
      <c r="F381" s="5" t="s">
        <v>65</v>
      </c>
      <c r="G381" s="5" t="s">
        <v>40</v>
      </c>
      <c r="H381" s="6">
        <v>45961</v>
      </c>
      <c r="I381" s="6">
        <v>45961</v>
      </c>
      <c r="J381" s="6">
        <v>45964</v>
      </c>
      <c r="K381" s="5" t="s">
        <v>172</v>
      </c>
      <c r="L381" s="5" t="s">
        <v>173</v>
      </c>
      <c r="M381" s="5" t="s">
        <v>43</v>
      </c>
      <c r="N381" s="5" t="s">
        <v>174</v>
      </c>
      <c r="O381" s="7">
        <v>9474.51</v>
      </c>
      <c r="P381" s="5" t="s">
        <v>45</v>
      </c>
      <c r="Q381" s="22"/>
      <c r="R381" s="8">
        <f t="shared" si="15"/>
        <v>9474.51</v>
      </c>
      <c r="S381" s="7">
        <v>9474.51</v>
      </c>
      <c r="T381" s="7"/>
      <c r="U381" s="7">
        <f t="shared" si="17"/>
        <v>9474.51</v>
      </c>
      <c r="V381" s="5" t="s">
        <v>45</v>
      </c>
      <c r="W381" s="7">
        <v>2788.26</v>
      </c>
      <c r="X381" s="5" t="s">
        <v>46</v>
      </c>
      <c r="Z381" s="8">
        <f t="shared" si="16"/>
        <v>2788.26</v>
      </c>
    </row>
    <row r="382" spans="1:26" x14ac:dyDescent="0.25">
      <c r="A382" s="5" t="s">
        <v>34</v>
      </c>
      <c r="B382" s="5" t="s">
        <v>170</v>
      </c>
      <c r="C382" s="5" t="s">
        <v>171</v>
      </c>
      <c r="D382" s="5" t="s">
        <v>37</v>
      </c>
      <c r="E382" s="5" t="s">
        <v>50</v>
      </c>
      <c r="F382" s="5" t="s">
        <v>51</v>
      </c>
      <c r="G382" s="5" t="s">
        <v>40</v>
      </c>
      <c r="H382" s="6">
        <v>45961</v>
      </c>
      <c r="I382" s="6">
        <v>45961</v>
      </c>
      <c r="J382" s="6">
        <v>45964</v>
      </c>
      <c r="K382" s="5" t="s">
        <v>172</v>
      </c>
      <c r="L382" s="5" t="s">
        <v>173</v>
      </c>
      <c r="M382" s="5" t="s">
        <v>43</v>
      </c>
      <c r="N382" s="5" t="s">
        <v>174</v>
      </c>
      <c r="O382" s="7">
        <v>14055.43</v>
      </c>
      <c r="P382" s="5" t="s">
        <v>45</v>
      </c>
      <c r="Q382" s="22"/>
      <c r="R382" s="8">
        <f t="shared" si="15"/>
        <v>14055.43</v>
      </c>
      <c r="S382" s="7">
        <v>14055.43</v>
      </c>
      <c r="T382" s="7"/>
      <c r="U382" s="7">
        <f t="shared" si="17"/>
        <v>14055.43</v>
      </c>
      <c r="V382" s="5" t="s">
        <v>45</v>
      </c>
      <c r="W382" s="7">
        <v>4136.38</v>
      </c>
      <c r="X382" s="5" t="s">
        <v>46</v>
      </c>
      <c r="Z382" s="8">
        <f t="shared" si="16"/>
        <v>4136.38</v>
      </c>
    </row>
    <row r="383" spans="1:26" x14ac:dyDescent="0.25">
      <c r="A383" s="5" t="s">
        <v>34</v>
      </c>
      <c r="B383" s="5" t="s">
        <v>170</v>
      </c>
      <c r="C383" s="5" t="s">
        <v>171</v>
      </c>
      <c r="D383" s="5" t="s">
        <v>37</v>
      </c>
      <c r="E383" s="5" t="s">
        <v>58</v>
      </c>
      <c r="F383" s="5" t="s">
        <v>59</v>
      </c>
      <c r="G383" s="5" t="s">
        <v>40</v>
      </c>
      <c r="H383" s="6">
        <v>45961</v>
      </c>
      <c r="I383" s="6">
        <v>45961</v>
      </c>
      <c r="J383" s="6">
        <v>45964</v>
      </c>
      <c r="K383" s="5" t="s">
        <v>172</v>
      </c>
      <c r="L383" s="5" t="s">
        <v>173</v>
      </c>
      <c r="M383" s="5" t="s">
        <v>43</v>
      </c>
      <c r="N383" s="5" t="s">
        <v>174</v>
      </c>
      <c r="O383" s="7">
        <v>842.35</v>
      </c>
      <c r="P383" s="5" t="s">
        <v>45</v>
      </c>
      <c r="Q383" s="22"/>
      <c r="R383" s="8">
        <f t="shared" si="15"/>
        <v>842.35</v>
      </c>
      <c r="S383" s="7">
        <v>842.35</v>
      </c>
      <c r="T383" s="7"/>
      <c r="U383" s="7">
        <f t="shared" si="17"/>
        <v>842.35</v>
      </c>
      <c r="V383" s="5" t="s">
        <v>45</v>
      </c>
      <c r="W383" s="7">
        <v>247.9</v>
      </c>
      <c r="X383" s="5" t="s">
        <v>46</v>
      </c>
      <c r="Z383" s="8">
        <f t="shared" si="16"/>
        <v>247.9</v>
      </c>
    </row>
    <row r="384" spans="1:26" x14ac:dyDescent="0.25">
      <c r="A384" s="5" t="s">
        <v>34</v>
      </c>
      <c r="B384" s="5" t="s">
        <v>170</v>
      </c>
      <c r="C384" s="5" t="s">
        <v>171</v>
      </c>
      <c r="D384" s="5" t="s">
        <v>37</v>
      </c>
      <c r="E384" s="5" t="s">
        <v>54</v>
      </c>
      <c r="F384" s="5" t="s">
        <v>55</v>
      </c>
      <c r="G384" s="5" t="s">
        <v>40</v>
      </c>
      <c r="H384" s="6">
        <v>45961</v>
      </c>
      <c r="I384" s="6">
        <v>45961</v>
      </c>
      <c r="J384" s="6">
        <v>45964</v>
      </c>
      <c r="K384" s="5" t="s">
        <v>172</v>
      </c>
      <c r="L384" s="5" t="s">
        <v>173</v>
      </c>
      <c r="M384" s="5" t="s">
        <v>43</v>
      </c>
      <c r="N384" s="5" t="s">
        <v>174</v>
      </c>
      <c r="O384" s="7">
        <v>2349.75</v>
      </c>
      <c r="P384" s="5" t="s">
        <v>45</v>
      </c>
      <c r="Q384" s="22"/>
      <c r="R384" s="8">
        <f t="shared" si="15"/>
        <v>2349.75</v>
      </c>
      <c r="S384" s="7">
        <v>2349.75</v>
      </c>
      <c r="T384" s="7"/>
      <c r="U384" s="7">
        <f t="shared" si="17"/>
        <v>2349.75</v>
      </c>
      <c r="V384" s="5" t="s">
        <v>45</v>
      </c>
      <c r="W384" s="7">
        <v>691.51</v>
      </c>
      <c r="X384" s="5" t="s">
        <v>46</v>
      </c>
      <c r="Z384" s="8">
        <f t="shared" si="16"/>
        <v>691.51</v>
      </c>
    </row>
    <row r="385" spans="1:26" x14ac:dyDescent="0.25">
      <c r="A385" s="5" t="s">
        <v>34</v>
      </c>
      <c r="B385" s="5" t="s">
        <v>170</v>
      </c>
      <c r="C385" s="5" t="s">
        <v>171</v>
      </c>
      <c r="D385" s="5" t="s">
        <v>37</v>
      </c>
      <c r="E385" s="5" t="s">
        <v>92</v>
      </c>
      <c r="F385" s="5" t="s">
        <v>93</v>
      </c>
      <c r="G385" s="5" t="s">
        <v>40</v>
      </c>
      <c r="H385" s="6">
        <v>45961</v>
      </c>
      <c r="I385" s="6">
        <v>45961</v>
      </c>
      <c r="J385" s="6">
        <v>45964</v>
      </c>
      <c r="K385" s="5" t="s">
        <v>172</v>
      </c>
      <c r="L385" s="5" t="s">
        <v>173</v>
      </c>
      <c r="M385" s="5" t="s">
        <v>43</v>
      </c>
      <c r="N385" s="5" t="s">
        <v>174</v>
      </c>
      <c r="O385" s="7">
        <v>1443.11</v>
      </c>
      <c r="P385" s="5" t="s">
        <v>45</v>
      </c>
      <c r="Q385" s="22"/>
      <c r="R385" s="8">
        <f t="shared" si="15"/>
        <v>1443.11</v>
      </c>
      <c r="S385" s="7">
        <v>1443.11</v>
      </c>
      <c r="T385" s="7"/>
      <c r="U385" s="7">
        <f t="shared" si="17"/>
        <v>1443.11</v>
      </c>
      <c r="V385" s="5" t="s">
        <v>45</v>
      </c>
      <c r="W385" s="7">
        <v>424.69</v>
      </c>
      <c r="X385" s="5" t="s">
        <v>46</v>
      </c>
      <c r="Z385" s="8">
        <f t="shared" si="16"/>
        <v>424.69</v>
      </c>
    </row>
    <row r="386" spans="1:26" x14ac:dyDescent="0.25">
      <c r="A386" s="5" t="s">
        <v>34</v>
      </c>
      <c r="B386" s="5" t="s">
        <v>170</v>
      </c>
      <c r="C386" s="5" t="s">
        <v>171</v>
      </c>
      <c r="D386" s="5" t="s">
        <v>37</v>
      </c>
      <c r="E386" s="5" t="s">
        <v>110</v>
      </c>
      <c r="F386" s="5" t="s">
        <v>111</v>
      </c>
      <c r="G386" s="5" t="s">
        <v>40</v>
      </c>
      <c r="H386" s="6">
        <v>45961</v>
      </c>
      <c r="I386" s="6">
        <v>45961</v>
      </c>
      <c r="J386" s="6">
        <v>45960</v>
      </c>
      <c r="K386" s="5" t="s">
        <v>150</v>
      </c>
      <c r="L386" s="5" t="s">
        <v>151</v>
      </c>
      <c r="M386" s="5" t="s">
        <v>43</v>
      </c>
      <c r="N386" s="5" t="s">
        <v>152</v>
      </c>
      <c r="O386" s="7">
        <v>375.69</v>
      </c>
      <c r="P386" s="5" t="s">
        <v>45</v>
      </c>
      <c r="Q386" s="22"/>
      <c r="R386" s="8">
        <f t="shared" ref="R386:R449" si="18">+O386+Q386</f>
        <v>375.69</v>
      </c>
      <c r="S386" s="7">
        <v>375.69</v>
      </c>
      <c r="T386" s="7"/>
      <c r="U386" s="7">
        <f t="shared" si="17"/>
        <v>375.69</v>
      </c>
      <c r="V386" s="5" t="s">
        <v>45</v>
      </c>
      <c r="W386" s="7">
        <v>110.69</v>
      </c>
      <c r="X386" s="5" t="s">
        <v>46</v>
      </c>
      <c r="Z386" s="8">
        <f t="shared" ref="Z386:Z449" si="19">+W386+Y386</f>
        <v>110.69</v>
      </c>
    </row>
    <row r="387" spans="1:26" x14ac:dyDescent="0.25">
      <c r="A387" s="5" t="s">
        <v>34</v>
      </c>
      <c r="B387" s="5" t="s">
        <v>170</v>
      </c>
      <c r="C387" s="5" t="s">
        <v>171</v>
      </c>
      <c r="D387" s="5" t="s">
        <v>37</v>
      </c>
      <c r="E387" s="5" t="s">
        <v>78</v>
      </c>
      <c r="F387" s="5" t="s">
        <v>79</v>
      </c>
      <c r="G387" s="5" t="s">
        <v>40</v>
      </c>
      <c r="H387" s="6">
        <v>45961</v>
      </c>
      <c r="I387" s="6">
        <v>45961</v>
      </c>
      <c r="J387" s="6">
        <v>45964</v>
      </c>
      <c r="K387" s="5" t="s">
        <v>172</v>
      </c>
      <c r="L387" s="5" t="s">
        <v>173</v>
      </c>
      <c r="M387" s="5" t="s">
        <v>43</v>
      </c>
      <c r="N387" s="5" t="s">
        <v>174</v>
      </c>
      <c r="O387" s="7">
        <v>28653</v>
      </c>
      <c r="P387" s="5" t="s">
        <v>45</v>
      </c>
      <c r="Q387" s="22"/>
      <c r="R387" s="8">
        <f t="shared" si="18"/>
        <v>28653</v>
      </c>
      <c r="S387" s="7">
        <v>28653</v>
      </c>
      <c r="T387" s="7"/>
      <c r="U387" s="7">
        <f t="shared" ref="U387:U450" si="20">+S387+T387</f>
        <v>28653</v>
      </c>
      <c r="V387" s="5" t="s">
        <v>45</v>
      </c>
      <c r="W387" s="7">
        <v>8432.31</v>
      </c>
      <c r="X387" s="5" t="s">
        <v>46</v>
      </c>
      <c r="Z387" s="8">
        <f t="shared" si="19"/>
        <v>8432.31</v>
      </c>
    </row>
    <row r="388" spans="1:26" x14ac:dyDescent="0.25">
      <c r="A388" s="5" t="s">
        <v>34</v>
      </c>
      <c r="B388" s="5" t="s">
        <v>170</v>
      </c>
      <c r="C388" s="5" t="s">
        <v>171</v>
      </c>
      <c r="D388" s="5" t="s">
        <v>37</v>
      </c>
      <c r="E388" s="5" t="s">
        <v>38</v>
      </c>
      <c r="F388" s="5" t="s">
        <v>39</v>
      </c>
      <c r="G388" s="5" t="s">
        <v>40</v>
      </c>
      <c r="H388" s="6">
        <v>45961</v>
      </c>
      <c r="I388" s="6">
        <v>45961</v>
      </c>
      <c r="J388" s="6">
        <v>45964</v>
      </c>
      <c r="K388" s="5" t="s">
        <v>172</v>
      </c>
      <c r="L388" s="5" t="s">
        <v>173</v>
      </c>
      <c r="M388" s="5" t="s">
        <v>43</v>
      </c>
      <c r="N388" s="5" t="s">
        <v>174</v>
      </c>
      <c r="O388" s="7">
        <v>8907.52</v>
      </c>
      <c r="P388" s="5" t="s">
        <v>45</v>
      </c>
      <c r="Q388" s="22"/>
      <c r="R388" s="8">
        <f t="shared" si="18"/>
        <v>8907.52</v>
      </c>
      <c r="S388" s="7">
        <v>8907.52</v>
      </c>
      <c r="T388" s="7"/>
      <c r="U388" s="7">
        <f t="shared" si="20"/>
        <v>8907.52</v>
      </c>
      <c r="V388" s="5" t="s">
        <v>45</v>
      </c>
      <c r="W388" s="7">
        <v>2621.4</v>
      </c>
      <c r="X388" s="5" t="s">
        <v>46</v>
      </c>
      <c r="Z388" s="8">
        <f t="shared" si="19"/>
        <v>2621.4</v>
      </c>
    </row>
    <row r="389" spans="1:26" x14ac:dyDescent="0.25">
      <c r="A389" s="5" t="s">
        <v>34</v>
      </c>
      <c r="B389" s="5" t="s">
        <v>170</v>
      </c>
      <c r="C389" s="5" t="s">
        <v>171</v>
      </c>
      <c r="D389" s="5" t="s">
        <v>37</v>
      </c>
      <c r="E389" s="5" t="s">
        <v>64</v>
      </c>
      <c r="F389" s="5" t="s">
        <v>65</v>
      </c>
      <c r="G389" s="5" t="s">
        <v>40</v>
      </c>
      <c r="H389" s="6">
        <v>45961</v>
      </c>
      <c r="I389" s="6">
        <v>45961</v>
      </c>
      <c r="J389" s="6">
        <v>45950</v>
      </c>
      <c r="K389" s="5" t="s">
        <v>132</v>
      </c>
      <c r="L389" s="5" t="s">
        <v>133</v>
      </c>
      <c r="M389" s="5" t="s">
        <v>43</v>
      </c>
      <c r="N389" s="5" t="s">
        <v>134</v>
      </c>
      <c r="O389" s="7">
        <v>-78.44</v>
      </c>
      <c r="P389" s="5" t="s">
        <v>45</v>
      </c>
      <c r="Q389" s="22"/>
      <c r="R389" s="8">
        <f t="shared" si="18"/>
        <v>-78.44</v>
      </c>
      <c r="S389" s="7">
        <v>-78.44</v>
      </c>
      <c r="T389" s="7"/>
      <c r="U389" s="7">
        <f t="shared" si="20"/>
        <v>-78.44</v>
      </c>
      <c r="V389" s="5" t="s">
        <v>45</v>
      </c>
      <c r="W389" s="7">
        <v>-23.14</v>
      </c>
      <c r="X389" s="5" t="s">
        <v>46</v>
      </c>
      <c r="Z389" s="8">
        <f t="shared" si="19"/>
        <v>-23.14</v>
      </c>
    </row>
    <row r="390" spans="1:26" x14ac:dyDescent="0.25">
      <c r="A390" s="5" t="s">
        <v>34</v>
      </c>
      <c r="B390" s="5" t="s">
        <v>170</v>
      </c>
      <c r="C390" s="5" t="s">
        <v>171</v>
      </c>
      <c r="D390" s="5" t="s">
        <v>37</v>
      </c>
      <c r="E390" s="5" t="s">
        <v>98</v>
      </c>
      <c r="F390" s="5" t="s">
        <v>99</v>
      </c>
      <c r="G390" s="5" t="s">
        <v>40</v>
      </c>
      <c r="H390" s="6">
        <v>45961</v>
      </c>
      <c r="I390" s="6">
        <v>45961</v>
      </c>
      <c r="J390" s="6">
        <v>45964</v>
      </c>
      <c r="K390" s="5" t="s">
        <v>172</v>
      </c>
      <c r="L390" s="5" t="s">
        <v>173</v>
      </c>
      <c r="M390" s="5" t="s">
        <v>43</v>
      </c>
      <c r="N390" s="5" t="s">
        <v>174</v>
      </c>
      <c r="O390" s="7">
        <v>884.46</v>
      </c>
      <c r="P390" s="5" t="s">
        <v>45</v>
      </c>
      <c r="Q390" s="22"/>
      <c r="R390" s="8">
        <f t="shared" si="18"/>
        <v>884.46</v>
      </c>
      <c r="S390" s="7">
        <v>884.46</v>
      </c>
      <c r="T390" s="7"/>
      <c r="U390" s="7">
        <f t="shared" si="20"/>
        <v>884.46</v>
      </c>
      <c r="V390" s="5" t="s">
        <v>45</v>
      </c>
      <c r="W390" s="7">
        <v>260.29000000000002</v>
      </c>
      <c r="X390" s="5" t="s">
        <v>46</v>
      </c>
      <c r="Z390" s="8">
        <f t="shared" si="19"/>
        <v>260.29000000000002</v>
      </c>
    </row>
    <row r="391" spans="1:26" x14ac:dyDescent="0.25">
      <c r="A391" s="5" t="s">
        <v>34</v>
      </c>
      <c r="B391" s="5" t="s">
        <v>170</v>
      </c>
      <c r="C391" s="5" t="s">
        <v>171</v>
      </c>
      <c r="D391" s="5" t="s">
        <v>37</v>
      </c>
      <c r="E391" s="5" t="s">
        <v>96</v>
      </c>
      <c r="F391" s="5" t="s">
        <v>97</v>
      </c>
      <c r="G391" s="5" t="s">
        <v>40</v>
      </c>
      <c r="H391" s="6">
        <v>45961</v>
      </c>
      <c r="I391" s="6">
        <v>45961</v>
      </c>
      <c r="J391" s="6">
        <v>45964</v>
      </c>
      <c r="K391" s="5" t="s">
        <v>172</v>
      </c>
      <c r="L391" s="5" t="s">
        <v>173</v>
      </c>
      <c r="M391" s="5" t="s">
        <v>43</v>
      </c>
      <c r="N391" s="5" t="s">
        <v>174</v>
      </c>
      <c r="O391" s="7">
        <v>67144.66</v>
      </c>
      <c r="P391" s="5" t="s">
        <v>45</v>
      </c>
      <c r="Q391" s="22"/>
      <c r="R391" s="8">
        <f t="shared" si="18"/>
        <v>67144.66</v>
      </c>
      <c r="S391" s="7">
        <v>67144.66</v>
      </c>
      <c r="T391" s="7"/>
      <c r="U391" s="7">
        <f t="shared" si="20"/>
        <v>67144.66</v>
      </c>
      <c r="V391" s="5" t="s">
        <v>45</v>
      </c>
      <c r="W391" s="7">
        <v>19760.05</v>
      </c>
      <c r="X391" s="5" t="s">
        <v>46</v>
      </c>
      <c r="Z391" s="8">
        <f t="shared" si="19"/>
        <v>19760.05</v>
      </c>
    </row>
    <row r="392" spans="1:26" x14ac:dyDescent="0.25">
      <c r="A392" s="5" t="s">
        <v>34</v>
      </c>
      <c r="B392" s="5" t="s">
        <v>170</v>
      </c>
      <c r="C392" s="5" t="s">
        <v>171</v>
      </c>
      <c r="D392" s="5" t="s">
        <v>37</v>
      </c>
      <c r="E392" s="5" t="s">
        <v>72</v>
      </c>
      <c r="F392" s="5" t="s">
        <v>73</v>
      </c>
      <c r="G392" s="5" t="s">
        <v>40</v>
      </c>
      <c r="H392" s="6">
        <v>45961</v>
      </c>
      <c r="I392" s="6">
        <v>45961</v>
      </c>
      <c r="J392" s="6">
        <v>45964</v>
      </c>
      <c r="K392" s="5" t="s">
        <v>172</v>
      </c>
      <c r="L392" s="5" t="s">
        <v>173</v>
      </c>
      <c r="M392" s="5" t="s">
        <v>43</v>
      </c>
      <c r="N392" s="5" t="s">
        <v>174</v>
      </c>
      <c r="O392" s="7">
        <v>1811.76</v>
      </c>
      <c r="P392" s="5" t="s">
        <v>45</v>
      </c>
      <c r="Q392" s="22"/>
      <c r="R392" s="8">
        <f t="shared" si="18"/>
        <v>1811.76</v>
      </c>
      <c r="S392" s="7">
        <v>1811.76</v>
      </c>
      <c r="T392" s="7"/>
      <c r="U392" s="7">
        <f t="shared" si="20"/>
        <v>1811.76</v>
      </c>
      <c r="V392" s="5" t="s">
        <v>45</v>
      </c>
      <c r="W392" s="7">
        <v>533.17999999999995</v>
      </c>
      <c r="X392" s="5" t="s">
        <v>46</v>
      </c>
      <c r="Z392" s="8">
        <f t="shared" si="19"/>
        <v>533.17999999999995</v>
      </c>
    </row>
    <row r="393" spans="1:26" x14ac:dyDescent="0.25">
      <c r="A393" s="5" t="s">
        <v>34</v>
      </c>
      <c r="B393" s="5" t="s">
        <v>170</v>
      </c>
      <c r="C393" s="5" t="s">
        <v>171</v>
      </c>
      <c r="D393" s="5" t="s">
        <v>37</v>
      </c>
      <c r="E393" s="5" t="s">
        <v>110</v>
      </c>
      <c r="F393" s="5" t="s">
        <v>111</v>
      </c>
      <c r="G393" s="5" t="s">
        <v>40</v>
      </c>
      <c r="H393" s="6">
        <v>45961</v>
      </c>
      <c r="I393" s="6">
        <v>45961</v>
      </c>
      <c r="J393" s="6">
        <v>45964</v>
      </c>
      <c r="K393" s="5" t="s">
        <v>172</v>
      </c>
      <c r="L393" s="5" t="s">
        <v>173</v>
      </c>
      <c r="M393" s="5" t="s">
        <v>43</v>
      </c>
      <c r="N393" s="5" t="s">
        <v>174</v>
      </c>
      <c r="O393" s="7">
        <v>20642.96</v>
      </c>
      <c r="P393" s="5" t="s">
        <v>45</v>
      </c>
      <c r="Q393" s="22"/>
      <c r="R393" s="8">
        <f t="shared" si="18"/>
        <v>20642.96</v>
      </c>
      <c r="S393" s="7">
        <v>20642.96</v>
      </c>
      <c r="T393" s="7"/>
      <c r="U393" s="7">
        <f t="shared" si="20"/>
        <v>20642.96</v>
      </c>
      <c r="V393" s="5" t="s">
        <v>45</v>
      </c>
      <c r="W393" s="7">
        <v>6075.03</v>
      </c>
      <c r="X393" s="5" t="s">
        <v>46</v>
      </c>
      <c r="Z393" s="8">
        <f t="shared" si="19"/>
        <v>6075.03</v>
      </c>
    </row>
    <row r="394" spans="1:26" x14ac:dyDescent="0.25">
      <c r="A394" s="5" t="s">
        <v>34</v>
      </c>
      <c r="B394" s="5" t="s">
        <v>170</v>
      </c>
      <c r="C394" s="5" t="s">
        <v>171</v>
      </c>
      <c r="D394" s="5" t="s">
        <v>37</v>
      </c>
      <c r="E394" s="5" t="s">
        <v>84</v>
      </c>
      <c r="F394" s="5" t="s">
        <v>85</v>
      </c>
      <c r="G394" s="5" t="s">
        <v>40</v>
      </c>
      <c r="H394" s="6">
        <v>45961</v>
      </c>
      <c r="I394" s="6">
        <v>45961</v>
      </c>
      <c r="J394" s="6">
        <v>45964</v>
      </c>
      <c r="K394" s="5" t="s">
        <v>172</v>
      </c>
      <c r="L394" s="5" t="s">
        <v>173</v>
      </c>
      <c r="M394" s="5" t="s">
        <v>43</v>
      </c>
      <c r="N394" s="5" t="s">
        <v>174</v>
      </c>
      <c r="O394" s="7">
        <v>3271.22</v>
      </c>
      <c r="P394" s="5" t="s">
        <v>45</v>
      </c>
      <c r="Q394" s="22"/>
      <c r="R394" s="8">
        <f t="shared" si="18"/>
        <v>3271.22</v>
      </c>
      <c r="S394" s="7">
        <v>3271.22</v>
      </c>
      <c r="T394" s="7"/>
      <c r="U394" s="7">
        <f t="shared" si="20"/>
        <v>3271.22</v>
      </c>
      <c r="V394" s="5" t="s">
        <v>45</v>
      </c>
      <c r="W394" s="7">
        <v>962.69</v>
      </c>
      <c r="X394" s="5" t="s">
        <v>46</v>
      </c>
      <c r="Z394" s="8">
        <f t="shared" si="19"/>
        <v>962.69</v>
      </c>
    </row>
    <row r="395" spans="1:26" x14ac:dyDescent="0.25">
      <c r="A395" s="5" t="s">
        <v>34</v>
      </c>
      <c r="B395" s="5" t="s">
        <v>170</v>
      </c>
      <c r="C395" s="5" t="s">
        <v>171</v>
      </c>
      <c r="D395" s="5" t="s">
        <v>37</v>
      </c>
      <c r="E395" s="5" t="s">
        <v>68</v>
      </c>
      <c r="F395" s="5" t="s">
        <v>69</v>
      </c>
      <c r="G395" s="5" t="s">
        <v>40</v>
      </c>
      <c r="H395" s="6">
        <v>45961</v>
      </c>
      <c r="I395" s="6">
        <v>45961</v>
      </c>
      <c r="J395" s="6">
        <v>45964</v>
      </c>
      <c r="K395" s="5" t="s">
        <v>172</v>
      </c>
      <c r="L395" s="5" t="s">
        <v>173</v>
      </c>
      <c r="M395" s="5" t="s">
        <v>43</v>
      </c>
      <c r="N395" s="5" t="s">
        <v>174</v>
      </c>
      <c r="O395" s="7">
        <v>7036.64</v>
      </c>
      <c r="P395" s="5" t="s">
        <v>45</v>
      </c>
      <c r="Q395" s="22"/>
      <c r="R395" s="8">
        <f t="shared" si="18"/>
        <v>7036.64</v>
      </c>
      <c r="S395" s="7">
        <v>7036.64</v>
      </c>
      <c r="T395" s="7"/>
      <c r="U395" s="7">
        <f t="shared" si="20"/>
        <v>7036.64</v>
      </c>
      <c r="V395" s="5" t="s">
        <v>45</v>
      </c>
      <c r="W395" s="7">
        <v>2070.8200000000002</v>
      </c>
      <c r="X395" s="5" t="s">
        <v>46</v>
      </c>
      <c r="Z395" s="8">
        <f t="shared" si="19"/>
        <v>2070.8200000000002</v>
      </c>
    </row>
    <row r="396" spans="1:26" x14ac:dyDescent="0.25">
      <c r="A396" s="5" t="s">
        <v>34</v>
      </c>
      <c r="B396" s="5" t="s">
        <v>170</v>
      </c>
      <c r="C396" s="5" t="s">
        <v>171</v>
      </c>
      <c r="D396" s="5" t="s">
        <v>37</v>
      </c>
      <c r="E396" s="5" t="s">
        <v>70</v>
      </c>
      <c r="F396" s="5" t="s">
        <v>71</v>
      </c>
      <c r="G396" s="5" t="s">
        <v>40</v>
      </c>
      <c r="H396" s="6">
        <v>45961</v>
      </c>
      <c r="I396" s="6">
        <v>45961</v>
      </c>
      <c r="J396" s="6">
        <v>45964</v>
      </c>
      <c r="K396" s="5" t="s">
        <v>172</v>
      </c>
      <c r="L396" s="5" t="s">
        <v>173</v>
      </c>
      <c r="M396" s="5" t="s">
        <v>43</v>
      </c>
      <c r="N396" s="5" t="s">
        <v>174</v>
      </c>
      <c r="O396" s="7">
        <v>2359.09</v>
      </c>
      <c r="P396" s="5" t="s">
        <v>45</v>
      </c>
      <c r="Q396" s="22"/>
      <c r="R396" s="8">
        <f t="shared" si="18"/>
        <v>2359.09</v>
      </c>
      <c r="S396" s="7">
        <v>2359.09</v>
      </c>
      <c r="T396" s="7"/>
      <c r="U396" s="7">
        <f t="shared" si="20"/>
        <v>2359.09</v>
      </c>
      <c r="V396" s="5" t="s">
        <v>45</v>
      </c>
      <c r="W396" s="7">
        <v>694.26</v>
      </c>
      <c r="X396" s="5" t="s">
        <v>46</v>
      </c>
      <c r="Z396" s="8">
        <f t="shared" si="19"/>
        <v>694.26</v>
      </c>
    </row>
    <row r="397" spans="1:26" x14ac:dyDescent="0.25">
      <c r="A397" s="5" t="s">
        <v>34</v>
      </c>
      <c r="B397" s="5" t="s">
        <v>170</v>
      </c>
      <c r="C397" s="5" t="s">
        <v>171</v>
      </c>
      <c r="D397" s="5" t="s">
        <v>37</v>
      </c>
      <c r="E397" s="5" t="s">
        <v>48</v>
      </c>
      <c r="F397" s="5" t="s">
        <v>49</v>
      </c>
      <c r="G397" s="5" t="s">
        <v>40</v>
      </c>
      <c r="H397" s="6">
        <v>45961</v>
      </c>
      <c r="I397" s="6">
        <v>45961</v>
      </c>
      <c r="J397" s="6">
        <v>45964</v>
      </c>
      <c r="K397" s="5" t="s">
        <v>172</v>
      </c>
      <c r="L397" s="5" t="s">
        <v>173</v>
      </c>
      <c r="M397" s="5" t="s">
        <v>43</v>
      </c>
      <c r="N397" s="5" t="s">
        <v>174</v>
      </c>
      <c r="O397" s="7">
        <v>18162.28</v>
      </c>
      <c r="P397" s="5" t="s">
        <v>45</v>
      </c>
      <c r="Q397" s="22"/>
      <c r="R397" s="8">
        <f t="shared" si="18"/>
        <v>18162.28</v>
      </c>
      <c r="S397" s="7">
        <v>18162.28</v>
      </c>
      <c r="T397" s="7"/>
      <c r="U397" s="7">
        <f t="shared" si="20"/>
        <v>18162.28</v>
      </c>
      <c r="V397" s="5" t="s">
        <v>45</v>
      </c>
      <c r="W397" s="7">
        <v>5344.99</v>
      </c>
      <c r="X397" s="5" t="s">
        <v>46</v>
      </c>
      <c r="Z397" s="8">
        <f t="shared" si="19"/>
        <v>5344.99</v>
      </c>
    </row>
    <row r="398" spans="1:26" x14ac:dyDescent="0.25">
      <c r="A398" s="5" t="s">
        <v>34</v>
      </c>
      <c r="B398" s="5" t="s">
        <v>170</v>
      </c>
      <c r="C398" s="5" t="s">
        <v>171</v>
      </c>
      <c r="D398" s="5" t="s">
        <v>37</v>
      </c>
      <c r="E398" s="5" t="s">
        <v>104</v>
      </c>
      <c r="F398" s="5" t="s">
        <v>105</v>
      </c>
      <c r="G398" s="5" t="s">
        <v>40</v>
      </c>
      <c r="H398" s="6">
        <v>45961</v>
      </c>
      <c r="I398" s="6">
        <v>45961</v>
      </c>
      <c r="J398" s="6">
        <v>45964</v>
      </c>
      <c r="K398" s="5" t="s">
        <v>172</v>
      </c>
      <c r="L398" s="5" t="s">
        <v>173</v>
      </c>
      <c r="M398" s="5" t="s">
        <v>43</v>
      </c>
      <c r="N398" s="5" t="s">
        <v>174</v>
      </c>
      <c r="O398" s="7">
        <v>9439.85</v>
      </c>
      <c r="P398" s="5" t="s">
        <v>45</v>
      </c>
      <c r="Q398" s="22"/>
      <c r="R398" s="8">
        <f t="shared" si="18"/>
        <v>9439.85</v>
      </c>
      <c r="S398" s="7">
        <v>9439.85</v>
      </c>
      <c r="T398" s="7"/>
      <c r="U398" s="7">
        <f t="shared" si="20"/>
        <v>9439.85</v>
      </c>
      <c r="V398" s="5" t="s">
        <v>45</v>
      </c>
      <c r="W398" s="7">
        <v>2778.06</v>
      </c>
      <c r="X398" s="5" t="s">
        <v>46</v>
      </c>
      <c r="Z398" s="8">
        <f t="shared" si="19"/>
        <v>2778.06</v>
      </c>
    </row>
    <row r="399" spans="1:26" x14ac:dyDescent="0.25">
      <c r="A399" s="5" t="s">
        <v>34</v>
      </c>
      <c r="B399" s="5" t="s">
        <v>170</v>
      </c>
      <c r="C399" s="5" t="s">
        <v>171</v>
      </c>
      <c r="D399" s="5" t="s">
        <v>37</v>
      </c>
      <c r="E399" s="5" t="s">
        <v>100</v>
      </c>
      <c r="F399" s="5" t="s">
        <v>101</v>
      </c>
      <c r="G399" s="5" t="s">
        <v>40</v>
      </c>
      <c r="H399" s="6">
        <v>45961</v>
      </c>
      <c r="I399" s="6">
        <v>45961</v>
      </c>
      <c r="J399" s="6">
        <v>45964</v>
      </c>
      <c r="K399" s="5" t="s">
        <v>172</v>
      </c>
      <c r="L399" s="5" t="s">
        <v>173</v>
      </c>
      <c r="M399" s="5" t="s">
        <v>43</v>
      </c>
      <c r="N399" s="5" t="s">
        <v>174</v>
      </c>
      <c r="O399" s="7">
        <v>7085.47</v>
      </c>
      <c r="P399" s="5" t="s">
        <v>45</v>
      </c>
      <c r="Q399" s="22"/>
      <c r="R399" s="8">
        <f t="shared" si="18"/>
        <v>7085.47</v>
      </c>
      <c r="S399" s="7">
        <v>7085.47</v>
      </c>
      <c r="T399" s="7"/>
      <c r="U399" s="7">
        <f t="shared" si="20"/>
        <v>7085.47</v>
      </c>
      <c r="V399" s="5" t="s">
        <v>45</v>
      </c>
      <c r="W399" s="7">
        <v>2085.19</v>
      </c>
      <c r="X399" s="5" t="s">
        <v>46</v>
      </c>
      <c r="Z399" s="8">
        <f t="shared" si="19"/>
        <v>2085.19</v>
      </c>
    </row>
    <row r="400" spans="1:26" x14ac:dyDescent="0.25">
      <c r="A400" s="5" t="s">
        <v>34</v>
      </c>
      <c r="B400" s="5" t="s">
        <v>170</v>
      </c>
      <c r="C400" s="5" t="s">
        <v>171</v>
      </c>
      <c r="D400" s="5" t="s">
        <v>37</v>
      </c>
      <c r="E400" s="5" t="s">
        <v>106</v>
      </c>
      <c r="F400" s="5" t="s">
        <v>107</v>
      </c>
      <c r="G400" s="5" t="s">
        <v>40</v>
      </c>
      <c r="H400" s="6">
        <v>45961</v>
      </c>
      <c r="I400" s="6">
        <v>45961</v>
      </c>
      <c r="J400" s="6">
        <v>45964</v>
      </c>
      <c r="K400" s="5" t="s">
        <v>172</v>
      </c>
      <c r="L400" s="5" t="s">
        <v>173</v>
      </c>
      <c r="M400" s="5" t="s">
        <v>43</v>
      </c>
      <c r="N400" s="5" t="s">
        <v>174</v>
      </c>
      <c r="O400" s="7">
        <v>2772.28</v>
      </c>
      <c r="P400" s="5" t="s">
        <v>45</v>
      </c>
      <c r="Q400" s="22"/>
      <c r="R400" s="8">
        <f t="shared" si="18"/>
        <v>2772.28</v>
      </c>
      <c r="S400" s="7">
        <v>2772.28</v>
      </c>
      <c r="T400" s="7"/>
      <c r="U400" s="7">
        <f t="shared" si="20"/>
        <v>2772.28</v>
      </c>
      <c r="V400" s="5" t="s">
        <v>45</v>
      </c>
      <c r="W400" s="7">
        <v>815.86</v>
      </c>
      <c r="X400" s="5" t="s">
        <v>46</v>
      </c>
      <c r="Z400" s="8">
        <f t="shared" si="19"/>
        <v>815.86</v>
      </c>
    </row>
    <row r="401" spans="1:26" x14ac:dyDescent="0.25">
      <c r="A401" s="5" t="s">
        <v>34</v>
      </c>
      <c r="B401" s="5" t="s">
        <v>175</v>
      </c>
      <c r="C401" s="5" t="s">
        <v>176</v>
      </c>
      <c r="D401" s="5" t="s">
        <v>37</v>
      </c>
      <c r="E401" s="5" t="s">
        <v>118</v>
      </c>
      <c r="F401" s="5" t="s">
        <v>119</v>
      </c>
      <c r="G401" s="5" t="s">
        <v>40</v>
      </c>
      <c r="H401" s="6">
        <v>45961</v>
      </c>
      <c r="I401" s="6">
        <v>45961</v>
      </c>
      <c r="J401" s="6">
        <v>45964</v>
      </c>
      <c r="K401" s="5" t="s">
        <v>167</v>
      </c>
      <c r="L401" s="5" t="s">
        <v>168</v>
      </c>
      <c r="M401" s="5" t="s">
        <v>43</v>
      </c>
      <c r="N401" s="5" t="s">
        <v>169</v>
      </c>
      <c r="O401" s="7">
        <v>199.56</v>
      </c>
      <c r="P401" s="5" t="s">
        <v>45</v>
      </c>
      <c r="Q401" s="22"/>
      <c r="R401" s="8">
        <f t="shared" si="18"/>
        <v>199.56</v>
      </c>
      <c r="S401" s="7">
        <v>199.56</v>
      </c>
      <c r="T401" s="7"/>
      <c r="U401" s="7">
        <f t="shared" si="20"/>
        <v>199.56</v>
      </c>
      <c r="V401" s="5" t="s">
        <v>45</v>
      </c>
      <c r="W401" s="7">
        <v>58.73</v>
      </c>
      <c r="X401" s="5" t="s">
        <v>46</v>
      </c>
      <c r="Z401" s="8">
        <f t="shared" si="19"/>
        <v>58.73</v>
      </c>
    </row>
    <row r="402" spans="1:26" x14ac:dyDescent="0.25">
      <c r="A402" s="5" t="s">
        <v>34</v>
      </c>
      <c r="B402" s="5" t="s">
        <v>175</v>
      </c>
      <c r="C402" s="5" t="s">
        <v>176</v>
      </c>
      <c r="D402" s="5" t="s">
        <v>37</v>
      </c>
      <c r="E402" s="5" t="s">
        <v>106</v>
      </c>
      <c r="F402" s="5" t="s">
        <v>107</v>
      </c>
      <c r="G402" s="5" t="s">
        <v>40</v>
      </c>
      <c r="H402" s="6">
        <v>45961</v>
      </c>
      <c r="I402" s="6">
        <v>45961</v>
      </c>
      <c r="J402" s="6">
        <v>45964</v>
      </c>
      <c r="K402" s="5" t="s">
        <v>167</v>
      </c>
      <c r="L402" s="5" t="s">
        <v>168</v>
      </c>
      <c r="M402" s="5" t="s">
        <v>43</v>
      </c>
      <c r="N402" s="5" t="s">
        <v>169</v>
      </c>
      <c r="O402" s="7">
        <v>486.05</v>
      </c>
      <c r="P402" s="5" t="s">
        <v>45</v>
      </c>
      <c r="Q402" s="22"/>
      <c r="R402" s="8">
        <f t="shared" si="18"/>
        <v>486.05</v>
      </c>
      <c r="S402" s="7">
        <v>486.05</v>
      </c>
      <c r="T402" s="7"/>
      <c r="U402" s="7">
        <f t="shared" si="20"/>
        <v>486.05</v>
      </c>
      <c r="V402" s="5" t="s">
        <v>45</v>
      </c>
      <c r="W402" s="7">
        <v>143.04</v>
      </c>
      <c r="X402" s="5" t="s">
        <v>46</v>
      </c>
      <c r="Z402" s="8">
        <f t="shared" si="19"/>
        <v>143.04</v>
      </c>
    </row>
    <row r="403" spans="1:26" x14ac:dyDescent="0.25">
      <c r="A403" s="5" t="s">
        <v>34</v>
      </c>
      <c r="B403" s="5" t="s">
        <v>175</v>
      </c>
      <c r="C403" s="5" t="s">
        <v>176</v>
      </c>
      <c r="D403" s="5" t="s">
        <v>37</v>
      </c>
      <c r="E403" s="5" t="s">
        <v>68</v>
      </c>
      <c r="F403" s="5" t="s">
        <v>69</v>
      </c>
      <c r="G403" s="5" t="s">
        <v>40</v>
      </c>
      <c r="H403" s="6">
        <v>45961</v>
      </c>
      <c r="I403" s="6">
        <v>45961</v>
      </c>
      <c r="J403" s="6">
        <v>45964</v>
      </c>
      <c r="K403" s="5" t="s">
        <v>167</v>
      </c>
      <c r="L403" s="5" t="s">
        <v>168</v>
      </c>
      <c r="M403" s="5" t="s">
        <v>43</v>
      </c>
      <c r="N403" s="5" t="s">
        <v>169</v>
      </c>
      <c r="O403" s="7">
        <v>150.61000000000001</v>
      </c>
      <c r="P403" s="5" t="s">
        <v>45</v>
      </c>
      <c r="Q403" s="22"/>
      <c r="R403" s="8">
        <f t="shared" si="18"/>
        <v>150.61000000000001</v>
      </c>
      <c r="S403" s="7">
        <v>150.61000000000001</v>
      </c>
      <c r="T403" s="7"/>
      <c r="U403" s="7">
        <f t="shared" si="20"/>
        <v>150.61000000000001</v>
      </c>
      <c r="V403" s="5" t="s">
        <v>45</v>
      </c>
      <c r="W403" s="7">
        <v>44.32</v>
      </c>
      <c r="X403" s="5" t="s">
        <v>46</v>
      </c>
      <c r="Z403" s="8">
        <f t="shared" si="19"/>
        <v>44.32</v>
      </c>
    </row>
    <row r="404" spans="1:26" x14ac:dyDescent="0.25">
      <c r="A404" s="5" t="s">
        <v>34</v>
      </c>
      <c r="B404" s="5" t="s">
        <v>175</v>
      </c>
      <c r="C404" s="5" t="s">
        <v>176</v>
      </c>
      <c r="D404" s="5" t="s">
        <v>37</v>
      </c>
      <c r="E404" s="5" t="s">
        <v>78</v>
      </c>
      <c r="F404" s="5" t="s">
        <v>79</v>
      </c>
      <c r="G404" s="5" t="s">
        <v>40</v>
      </c>
      <c r="H404" s="6">
        <v>45961</v>
      </c>
      <c r="I404" s="6">
        <v>45961</v>
      </c>
      <c r="J404" s="6">
        <v>45964</v>
      </c>
      <c r="K404" s="5" t="s">
        <v>167</v>
      </c>
      <c r="L404" s="5" t="s">
        <v>168</v>
      </c>
      <c r="M404" s="5" t="s">
        <v>43</v>
      </c>
      <c r="N404" s="5" t="s">
        <v>169</v>
      </c>
      <c r="O404" s="7">
        <v>55.11</v>
      </c>
      <c r="P404" s="5" t="s">
        <v>45</v>
      </c>
      <c r="Q404" s="22"/>
      <c r="R404" s="8">
        <f t="shared" si="18"/>
        <v>55.11</v>
      </c>
      <c r="S404" s="7">
        <v>55.11</v>
      </c>
      <c r="T404" s="7"/>
      <c r="U404" s="7">
        <f t="shared" si="20"/>
        <v>55.11</v>
      </c>
      <c r="V404" s="5" t="s">
        <v>45</v>
      </c>
      <c r="W404" s="7">
        <v>16.22</v>
      </c>
      <c r="X404" s="5" t="s">
        <v>46</v>
      </c>
      <c r="Z404" s="8">
        <f t="shared" si="19"/>
        <v>16.22</v>
      </c>
    </row>
    <row r="405" spans="1:26" x14ac:dyDescent="0.25">
      <c r="A405" s="5" t="s">
        <v>34</v>
      </c>
      <c r="B405" s="5" t="s">
        <v>175</v>
      </c>
      <c r="C405" s="5" t="s">
        <v>176</v>
      </c>
      <c r="D405" s="5" t="s">
        <v>37</v>
      </c>
      <c r="E405" s="5" t="s">
        <v>122</v>
      </c>
      <c r="F405" s="5" t="s">
        <v>123</v>
      </c>
      <c r="G405" s="5" t="s">
        <v>40</v>
      </c>
      <c r="H405" s="6">
        <v>45961</v>
      </c>
      <c r="I405" s="6">
        <v>45961</v>
      </c>
      <c r="J405" s="6">
        <v>45964</v>
      </c>
      <c r="K405" s="5" t="s">
        <v>167</v>
      </c>
      <c r="L405" s="5" t="s">
        <v>168</v>
      </c>
      <c r="M405" s="5" t="s">
        <v>43</v>
      </c>
      <c r="N405" s="5" t="s">
        <v>169</v>
      </c>
      <c r="O405" s="7">
        <v>254.95</v>
      </c>
      <c r="P405" s="5" t="s">
        <v>45</v>
      </c>
      <c r="Q405" s="22"/>
      <c r="R405" s="8">
        <f t="shared" si="18"/>
        <v>254.95</v>
      </c>
      <c r="S405" s="7">
        <v>254.95</v>
      </c>
      <c r="T405" s="7"/>
      <c r="U405" s="7">
        <f t="shared" si="20"/>
        <v>254.95</v>
      </c>
      <c r="V405" s="5" t="s">
        <v>45</v>
      </c>
      <c r="W405" s="7">
        <v>75.03</v>
      </c>
      <c r="X405" s="5" t="s">
        <v>46</v>
      </c>
      <c r="Z405" s="8">
        <f t="shared" si="19"/>
        <v>75.03</v>
      </c>
    </row>
    <row r="406" spans="1:26" x14ac:dyDescent="0.25">
      <c r="A406" s="5" t="s">
        <v>34</v>
      </c>
      <c r="B406" s="5" t="s">
        <v>175</v>
      </c>
      <c r="C406" s="5" t="s">
        <v>176</v>
      </c>
      <c r="D406" s="5" t="s">
        <v>37</v>
      </c>
      <c r="E406" s="5" t="s">
        <v>86</v>
      </c>
      <c r="F406" s="5" t="s">
        <v>87</v>
      </c>
      <c r="G406" s="5" t="s">
        <v>40</v>
      </c>
      <c r="H406" s="6">
        <v>45961</v>
      </c>
      <c r="I406" s="6">
        <v>45961</v>
      </c>
      <c r="J406" s="6">
        <v>45964</v>
      </c>
      <c r="K406" s="5" t="s">
        <v>167</v>
      </c>
      <c r="L406" s="5" t="s">
        <v>168</v>
      </c>
      <c r="M406" s="5" t="s">
        <v>43</v>
      </c>
      <c r="N406" s="5" t="s">
        <v>169</v>
      </c>
      <c r="O406" s="7">
        <v>576.05999999999995</v>
      </c>
      <c r="P406" s="5" t="s">
        <v>45</v>
      </c>
      <c r="Q406" s="22"/>
      <c r="R406" s="8">
        <f t="shared" si="18"/>
        <v>576.05999999999995</v>
      </c>
      <c r="S406" s="7">
        <v>576.05999999999995</v>
      </c>
      <c r="T406" s="7"/>
      <c r="U406" s="7">
        <f t="shared" si="20"/>
        <v>576.05999999999995</v>
      </c>
      <c r="V406" s="5" t="s">
        <v>45</v>
      </c>
      <c r="W406" s="7">
        <v>169.53</v>
      </c>
      <c r="X406" s="5" t="s">
        <v>46</v>
      </c>
      <c r="Z406" s="8">
        <f t="shared" si="19"/>
        <v>169.53</v>
      </c>
    </row>
    <row r="407" spans="1:26" x14ac:dyDescent="0.25">
      <c r="A407" s="5" t="s">
        <v>34</v>
      </c>
      <c r="B407" s="5" t="s">
        <v>175</v>
      </c>
      <c r="C407" s="5" t="s">
        <v>176</v>
      </c>
      <c r="D407" s="5" t="s">
        <v>37</v>
      </c>
      <c r="E407" s="5" t="s">
        <v>38</v>
      </c>
      <c r="F407" s="5" t="s">
        <v>39</v>
      </c>
      <c r="G407" s="5" t="s">
        <v>40</v>
      </c>
      <c r="H407" s="6">
        <v>45961</v>
      </c>
      <c r="I407" s="6">
        <v>45961</v>
      </c>
      <c r="J407" s="6">
        <v>45964</v>
      </c>
      <c r="K407" s="5" t="s">
        <v>167</v>
      </c>
      <c r="L407" s="5" t="s">
        <v>168</v>
      </c>
      <c r="M407" s="5" t="s">
        <v>43</v>
      </c>
      <c r="N407" s="5" t="s">
        <v>169</v>
      </c>
      <c r="O407" s="7">
        <v>308.23</v>
      </c>
      <c r="P407" s="5" t="s">
        <v>45</v>
      </c>
      <c r="Q407" s="22"/>
      <c r="R407" s="8">
        <f t="shared" si="18"/>
        <v>308.23</v>
      </c>
      <c r="S407" s="7">
        <v>308.23</v>
      </c>
      <c r="T407" s="7"/>
      <c r="U407" s="7">
        <f t="shared" si="20"/>
        <v>308.23</v>
      </c>
      <c r="V407" s="5" t="s">
        <v>45</v>
      </c>
      <c r="W407" s="7">
        <v>90.71</v>
      </c>
      <c r="X407" s="5" t="s">
        <v>46</v>
      </c>
      <c r="Z407" s="8">
        <f t="shared" si="19"/>
        <v>90.71</v>
      </c>
    </row>
    <row r="408" spans="1:26" x14ac:dyDescent="0.25">
      <c r="A408" s="5" t="s">
        <v>34</v>
      </c>
      <c r="B408" s="5" t="s">
        <v>175</v>
      </c>
      <c r="C408" s="5" t="s">
        <v>176</v>
      </c>
      <c r="D408" s="5" t="s">
        <v>37</v>
      </c>
      <c r="E408" s="5" t="s">
        <v>52</v>
      </c>
      <c r="F408" s="5" t="s">
        <v>53</v>
      </c>
      <c r="G408" s="5" t="s">
        <v>40</v>
      </c>
      <c r="H408" s="6">
        <v>45961</v>
      </c>
      <c r="I408" s="6">
        <v>45961</v>
      </c>
      <c r="J408" s="6">
        <v>45964</v>
      </c>
      <c r="K408" s="5" t="s">
        <v>167</v>
      </c>
      <c r="L408" s="5" t="s">
        <v>168</v>
      </c>
      <c r="M408" s="5" t="s">
        <v>43</v>
      </c>
      <c r="N408" s="5" t="s">
        <v>169</v>
      </c>
      <c r="O408" s="7">
        <v>150.34</v>
      </c>
      <c r="P408" s="5" t="s">
        <v>45</v>
      </c>
      <c r="Q408" s="22"/>
      <c r="R408" s="8">
        <f t="shared" si="18"/>
        <v>150.34</v>
      </c>
      <c r="S408" s="7">
        <v>150.34</v>
      </c>
      <c r="T408" s="7"/>
      <c r="U408" s="7">
        <f t="shared" si="20"/>
        <v>150.34</v>
      </c>
      <c r="V408" s="5" t="s">
        <v>45</v>
      </c>
      <c r="W408" s="7">
        <v>44.24</v>
      </c>
      <c r="X408" s="5" t="s">
        <v>46</v>
      </c>
      <c r="Z408" s="8">
        <f t="shared" si="19"/>
        <v>44.24</v>
      </c>
    </row>
    <row r="409" spans="1:26" x14ac:dyDescent="0.25">
      <c r="A409" s="5" t="s">
        <v>34</v>
      </c>
      <c r="B409" s="5" t="s">
        <v>175</v>
      </c>
      <c r="C409" s="5" t="s">
        <v>176</v>
      </c>
      <c r="D409" s="5" t="s">
        <v>37</v>
      </c>
      <c r="E409" s="5" t="s">
        <v>74</v>
      </c>
      <c r="F409" s="5" t="s">
        <v>75</v>
      </c>
      <c r="G409" s="5" t="s">
        <v>40</v>
      </c>
      <c r="H409" s="6">
        <v>45961</v>
      </c>
      <c r="I409" s="6">
        <v>45961</v>
      </c>
      <c r="J409" s="6">
        <v>45964</v>
      </c>
      <c r="K409" s="5" t="s">
        <v>167</v>
      </c>
      <c r="L409" s="5" t="s">
        <v>168</v>
      </c>
      <c r="M409" s="5" t="s">
        <v>43</v>
      </c>
      <c r="N409" s="5" t="s">
        <v>169</v>
      </c>
      <c r="O409" s="7">
        <v>2202.71</v>
      </c>
      <c r="P409" s="5" t="s">
        <v>45</v>
      </c>
      <c r="Q409" s="22"/>
      <c r="R409" s="8">
        <f t="shared" si="18"/>
        <v>2202.71</v>
      </c>
      <c r="S409" s="7">
        <v>2202.71</v>
      </c>
      <c r="T409" s="7"/>
      <c r="U409" s="7">
        <f t="shared" si="20"/>
        <v>2202.71</v>
      </c>
      <c r="V409" s="5" t="s">
        <v>45</v>
      </c>
      <c r="W409" s="7">
        <v>648.24</v>
      </c>
      <c r="X409" s="5" t="s">
        <v>46</v>
      </c>
      <c r="Z409" s="8">
        <f t="shared" si="19"/>
        <v>648.24</v>
      </c>
    </row>
    <row r="410" spans="1:26" x14ac:dyDescent="0.25">
      <c r="A410" s="5" t="s">
        <v>34</v>
      </c>
      <c r="B410" s="5" t="s">
        <v>175</v>
      </c>
      <c r="C410" s="5" t="s">
        <v>176</v>
      </c>
      <c r="D410" s="5" t="s">
        <v>37</v>
      </c>
      <c r="E410" s="5" t="s">
        <v>96</v>
      </c>
      <c r="F410" s="5" t="s">
        <v>97</v>
      </c>
      <c r="G410" s="5" t="s">
        <v>40</v>
      </c>
      <c r="H410" s="6">
        <v>45961</v>
      </c>
      <c r="I410" s="6">
        <v>45961</v>
      </c>
      <c r="J410" s="6">
        <v>45964</v>
      </c>
      <c r="K410" s="5" t="s">
        <v>167</v>
      </c>
      <c r="L410" s="5" t="s">
        <v>168</v>
      </c>
      <c r="M410" s="5" t="s">
        <v>43</v>
      </c>
      <c r="N410" s="5" t="s">
        <v>169</v>
      </c>
      <c r="O410" s="7">
        <v>2482.4499999999998</v>
      </c>
      <c r="P410" s="5" t="s">
        <v>45</v>
      </c>
      <c r="Q410" s="22"/>
      <c r="R410" s="8">
        <f t="shared" si="18"/>
        <v>2482.4499999999998</v>
      </c>
      <c r="S410" s="7">
        <v>2482.4499999999998</v>
      </c>
      <c r="T410" s="7"/>
      <c r="U410" s="7">
        <f t="shared" si="20"/>
        <v>2482.4499999999998</v>
      </c>
      <c r="V410" s="5" t="s">
        <v>45</v>
      </c>
      <c r="W410" s="7">
        <v>730.56</v>
      </c>
      <c r="X410" s="5" t="s">
        <v>46</v>
      </c>
      <c r="Z410" s="8">
        <f t="shared" si="19"/>
        <v>730.56</v>
      </c>
    </row>
    <row r="411" spans="1:26" x14ac:dyDescent="0.25">
      <c r="A411" s="5" t="s">
        <v>34</v>
      </c>
      <c r="B411" s="5" t="s">
        <v>175</v>
      </c>
      <c r="C411" s="5" t="s">
        <v>176</v>
      </c>
      <c r="D411" s="5" t="s">
        <v>37</v>
      </c>
      <c r="E411" s="5" t="s">
        <v>94</v>
      </c>
      <c r="F411" s="5" t="s">
        <v>95</v>
      </c>
      <c r="G411" s="5" t="s">
        <v>40</v>
      </c>
      <c r="H411" s="6">
        <v>45961</v>
      </c>
      <c r="I411" s="6">
        <v>45961</v>
      </c>
      <c r="J411" s="6">
        <v>45964</v>
      </c>
      <c r="K411" s="5" t="s">
        <v>167</v>
      </c>
      <c r="L411" s="5" t="s">
        <v>168</v>
      </c>
      <c r="M411" s="5" t="s">
        <v>43</v>
      </c>
      <c r="N411" s="5" t="s">
        <v>169</v>
      </c>
      <c r="O411" s="7">
        <v>3825.18</v>
      </c>
      <c r="P411" s="5" t="s">
        <v>45</v>
      </c>
      <c r="Q411" s="22"/>
      <c r="R411" s="8">
        <f t="shared" si="18"/>
        <v>3825.18</v>
      </c>
      <c r="S411" s="7">
        <v>3825.18</v>
      </c>
      <c r="T411" s="7"/>
      <c r="U411" s="7">
        <f t="shared" si="20"/>
        <v>3825.18</v>
      </c>
      <c r="V411" s="5" t="s">
        <v>45</v>
      </c>
      <c r="W411" s="7">
        <v>1125.72</v>
      </c>
      <c r="X411" s="5" t="s">
        <v>46</v>
      </c>
      <c r="Z411" s="8">
        <f t="shared" si="19"/>
        <v>1125.72</v>
      </c>
    </row>
    <row r="412" spans="1:26" x14ac:dyDescent="0.25">
      <c r="A412" s="5" t="s">
        <v>34</v>
      </c>
      <c r="B412" s="5" t="s">
        <v>175</v>
      </c>
      <c r="C412" s="5" t="s">
        <v>176</v>
      </c>
      <c r="D412" s="5" t="s">
        <v>37</v>
      </c>
      <c r="E412" s="5" t="s">
        <v>62</v>
      </c>
      <c r="F412" s="5" t="s">
        <v>63</v>
      </c>
      <c r="G412" s="5" t="s">
        <v>40</v>
      </c>
      <c r="H412" s="6">
        <v>45961</v>
      </c>
      <c r="I412" s="6">
        <v>45961</v>
      </c>
      <c r="J412" s="6">
        <v>45964</v>
      </c>
      <c r="K412" s="5" t="s">
        <v>167</v>
      </c>
      <c r="L412" s="5" t="s">
        <v>168</v>
      </c>
      <c r="M412" s="5" t="s">
        <v>43</v>
      </c>
      <c r="N412" s="5" t="s">
        <v>169</v>
      </c>
      <c r="O412" s="7">
        <v>275.3</v>
      </c>
      <c r="P412" s="5" t="s">
        <v>45</v>
      </c>
      <c r="Q412" s="22"/>
      <c r="R412" s="8">
        <f t="shared" si="18"/>
        <v>275.3</v>
      </c>
      <c r="S412" s="7">
        <v>275.3</v>
      </c>
      <c r="T412" s="7"/>
      <c r="U412" s="7">
        <f t="shared" si="20"/>
        <v>275.3</v>
      </c>
      <c r="V412" s="5" t="s">
        <v>45</v>
      </c>
      <c r="W412" s="7">
        <v>81.02</v>
      </c>
      <c r="X412" s="5" t="s">
        <v>46</v>
      </c>
      <c r="Z412" s="8">
        <f t="shared" si="19"/>
        <v>81.02</v>
      </c>
    </row>
    <row r="413" spans="1:26" x14ac:dyDescent="0.25">
      <c r="A413" s="5" t="s">
        <v>34</v>
      </c>
      <c r="B413" s="5" t="s">
        <v>175</v>
      </c>
      <c r="C413" s="5" t="s">
        <v>176</v>
      </c>
      <c r="D413" s="5" t="s">
        <v>37</v>
      </c>
      <c r="E413" s="5" t="s">
        <v>58</v>
      </c>
      <c r="F413" s="5" t="s">
        <v>59</v>
      </c>
      <c r="G413" s="5" t="s">
        <v>40</v>
      </c>
      <c r="H413" s="6">
        <v>45961</v>
      </c>
      <c r="I413" s="6">
        <v>45961</v>
      </c>
      <c r="J413" s="6">
        <v>45964</v>
      </c>
      <c r="K413" s="5" t="s">
        <v>167</v>
      </c>
      <c r="L413" s="5" t="s">
        <v>168</v>
      </c>
      <c r="M413" s="5" t="s">
        <v>43</v>
      </c>
      <c r="N413" s="5" t="s">
        <v>169</v>
      </c>
      <c r="O413" s="7">
        <v>2341.42</v>
      </c>
      <c r="P413" s="5" t="s">
        <v>45</v>
      </c>
      <c r="Q413" s="22"/>
      <c r="R413" s="8">
        <f t="shared" si="18"/>
        <v>2341.42</v>
      </c>
      <c r="S413" s="7">
        <v>2341.42</v>
      </c>
      <c r="T413" s="7"/>
      <c r="U413" s="7">
        <f t="shared" si="20"/>
        <v>2341.42</v>
      </c>
      <c r="V413" s="5" t="s">
        <v>45</v>
      </c>
      <c r="W413" s="7">
        <v>689.06</v>
      </c>
      <c r="X413" s="5" t="s">
        <v>46</v>
      </c>
      <c r="Z413" s="8">
        <f t="shared" si="19"/>
        <v>689.06</v>
      </c>
    </row>
    <row r="414" spans="1:26" x14ac:dyDescent="0.25">
      <c r="A414" s="5" t="s">
        <v>34</v>
      </c>
      <c r="B414" s="5" t="s">
        <v>175</v>
      </c>
      <c r="C414" s="5" t="s">
        <v>176</v>
      </c>
      <c r="D414" s="5" t="s">
        <v>37</v>
      </c>
      <c r="E414" s="5" t="s">
        <v>108</v>
      </c>
      <c r="F414" s="5" t="s">
        <v>109</v>
      </c>
      <c r="G414" s="5" t="s">
        <v>40</v>
      </c>
      <c r="H414" s="6">
        <v>45961</v>
      </c>
      <c r="I414" s="6">
        <v>45961</v>
      </c>
      <c r="J414" s="6">
        <v>45964</v>
      </c>
      <c r="K414" s="5" t="s">
        <v>167</v>
      </c>
      <c r="L414" s="5" t="s">
        <v>168</v>
      </c>
      <c r="M414" s="5" t="s">
        <v>43</v>
      </c>
      <c r="N414" s="5" t="s">
        <v>169</v>
      </c>
      <c r="O414" s="7">
        <v>512.04</v>
      </c>
      <c r="P414" s="5" t="s">
        <v>45</v>
      </c>
      <c r="Q414" s="22"/>
      <c r="R414" s="8">
        <f t="shared" si="18"/>
        <v>512.04</v>
      </c>
      <c r="S414" s="7">
        <v>512.04</v>
      </c>
      <c r="T414" s="7"/>
      <c r="U414" s="7">
        <f t="shared" si="20"/>
        <v>512.04</v>
      </c>
      <c r="V414" s="5" t="s">
        <v>45</v>
      </c>
      <c r="W414" s="7">
        <v>150.69</v>
      </c>
      <c r="X414" s="5" t="s">
        <v>46</v>
      </c>
      <c r="Z414" s="8">
        <f t="shared" si="19"/>
        <v>150.69</v>
      </c>
    </row>
    <row r="415" spans="1:26" x14ac:dyDescent="0.25">
      <c r="A415" s="5" t="s">
        <v>34</v>
      </c>
      <c r="B415" s="5" t="s">
        <v>175</v>
      </c>
      <c r="C415" s="5" t="s">
        <v>176</v>
      </c>
      <c r="D415" s="5" t="s">
        <v>37</v>
      </c>
      <c r="E415" s="5" t="s">
        <v>100</v>
      </c>
      <c r="F415" s="5" t="s">
        <v>101</v>
      </c>
      <c r="G415" s="5" t="s">
        <v>40</v>
      </c>
      <c r="H415" s="6">
        <v>45961</v>
      </c>
      <c r="I415" s="6">
        <v>45961</v>
      </c>
      <c r="J415" s="6">
        <v>45964</v>
      </c>
      <c r="K415" s="5" t="s">
        <v>167</v>
      </c>
      <c r="L415" s="5" t="s">
        <v>168</v>
      </c>
      <c r="M415" s="5" t="s">
        <v>43</v>
      </c>
      <c r="N415" s="5" t="s">
        <v>169</v>
      </c>
      <c r="O415" s="7">
        <v>648.98</v>
      </c>
      <c r="P415" s="5" t="s">
        <v>45</v>
      </c>
      <c r="Q415" s="22"/>
      <c r="R415" s="8">
        <f t="shared" si="18"/>
        <v>648.98</v>
      </c>
      <c r="S415" s="7">
        <v>648.98</v>
      </c>
      <c r="T415" s="7"/>
      <c r="U415" s="7">
        <f t="shared" si="20"/>
        <v>648.98</v>
      </c>
      <c r="V415" s="5" t="s">
        <v>45</v>
      </c>
      <c r="W415" s="7">
        <v>190.99</v>
      </c>
      <c r="X415" s="5" t="s">
        <v>46</v>
      </c>
      <c r="Z415" s="8">
        <f t="shared" si="19"/>
        <v>190.99</v>
      </c>
    </row>
    <row r="416" spans="1:26" x14ac:dyDescent="0.25">
      <c r="A416" s="5" t="s">
        <v>34</v>
      </c>
      <c r="B416" s="5" t="s">
        <v>175</v>
      </c>
      <c r="C416" s="5" t="s">
        <v>176</v>
      </c>
      <c r="D416" s="5" t="s">
        <v>37</v>
      </c>
      <c r="E416" s="5" t="s">
        <v>110</v>
      </c>
      <c r="F416" s="5" t="s">
        <v>111</v>
      </c>
      <c r="G416" s="5" t="s">
        <v>40</v>
      </c>
      <c r="H416" s="6">
        <v>45961</v>
      </c>
      <c r="I416" s="6">
        <v>45961</v>
      </c>
      <c r="J416" s="6">
        <v>45964</v>
      </c>
      <c r="K416" s="5" t="s">
        <v>167</v>
      </c>
      <c r="L416" s="5" t="s">
        <v>168</v>
      </c>
      <c r="M416" s="5" t="s">
        <v>43</v>
      </c>
      <c r="N416" s="5" t="s">
        <v>169</v>
      </c>
      <c r="O416" s="7">
        <v>220.71</v>
      </c>
      <c r="P416" s="5" t="s">
        <v>45</v>
      </c>
      <c r="Q416" s="22"/>
      <c r="R416" s="8">
        <f t="shared" si="18"/>
        <v>220.71</v>
      </c>
      <c r="S416" s="7">
        <v>220.71</v>
      </c>
      <c r="T416" s="7"/>
      <c r="U416" s="7">
        <f t="shared" si="20"/>
        <v>220.71</v>
      </c>
      <c r="V416" s="5" t="s">
        <v>45</v>
      </c>
      <c r="W416" s="7">
        <v>64.95</v>
      </c>
      <c r="X416" s="5" t="s">
        <v>46</v>
      </c>
      <c r="Z416" s="8">
        <f t="shared" si="19"/>
        <v>64.95</v>
      </c>
    </row>
    <row r="417" spans="1:26" x14ac:dyDescent="0.25">
      <c r="A417" s="5" t="s">
        <v>34</v>
      </c>
      <c r="B417" s="5" t="s">
        <v>175</v>
      </c>
      <c r="C417" s="5" t="s">
        <v>176</v>
      </c>
      <c r="D417" s="5" t="s">
        <v>37</v>
      </c>
      <c r="E417" s="5" t="s">
        <v>48</v>
      </c>
      <c r="F417" s="5" t="s">
        <v>49</v>
      </c>
      <c r="G417" s="5" t="s">
        <v>40</v>
      </c>
      <c r="H417" s="6">
        <v>45961</v>
      </c>
      <c r="I417" s="6">
        <v>45961</v>
      </c>
      <c r="J417" s="6">
        <v>45964</v>
      </c>
      <c r="K417" s="5" t="s">
        <v>167</v>
      </c>
      <c r="L417" s="5" t="s">
        <v>168</v>
      </c>
      <c r="M417" s="5" t="s">
        <v>43</v>
      </c>
      <c r="N417" s="5" t="s">
        <v>169</v>
      </c>
      <c r="O417" s="7">
        <v>833.33</v>
      </c>
      <c r="P417" s="5" t="s">
        <v>45</v>
      </c>
      <c r="Q417" s="22"/>
      <c r="R417" s="8">
        <f t="shared" si="18"/>
        <v>833.33</v>
      </c>
      <c r="S417" s="7">
        <v>833.33</v>
      </c>
      <c r="T417" s="7"/>
      <c r="U417" s="7">
        <f t="shared" si="20"/>
        <v>833.33</v>
      </c>
      <c r="V417" s="5" t="s">
        <v>45</v>
      </c>
      <c r="W417" s="7">
        <v>245.24</v>
      </c>
      <c r="X417" s="5" t="s">
        <v>46</v>
      </c>
      <c r="Z417" s="8">
        <f t="shared" si="19"/>
        <v>245.24</v>
      </c>
    </row>
    <row r="418" spans="1:26" x14ac:dyDescent="0.25">
      <c r="A418" s="5" t="s">
        <v>34</v>
      </c>
      <c r="B418" s="5" t="s">
        <v>175</v>
      </c>
      <c r="C418" s="5" t="s">
        <v>176</v>
      </c>
      <c r="D418" s="5" t="s">
        <v>37</v>
      </c>
      <c r="E418" s="5" t="s">
        <v>90</v>
      </c>
      <c r="F418" s="5" t="s">
        <v>91</v>
      </c>
      <c r="G418" s="5" t="s">
        <v>40</v>
      </c>
      <c r="H418" s="6">
        <v>45961</v>
      </c>
      <c r="I418" s="6">
        <v>45961</v>
      </c>
      <c r="J418" s="6">
        <v>45964</v>
      </c>
      <c r="K418" s="5" t="s">
        <v>167</v>
      </c>
      <c r="L418" s="5" t="s">
        <v>168</v>
      </c>
      <c r="M418" s="5" t="s">
        <v>43</v>
      </c>
      <c r="N418" s="5" t="s">
        <v>169</v>
      </c>
      <c r="O418" s="7">
        <v>392.77</v>
      </c>
      <c r="P418" s="5" t="s">
        <v>45</v>
      </c>
      <c r="Q418" s="22"/>
      <c r="R418" s="8">
        <f t="shared" si="18"/>
        <v>392.77</v>
      </c>
      <c r="S418" s="7">
        <v>392.77</v>
      </c>
      <c r="T418" s="7"/>
      <c r="U418" s="7">
        <f t="shared" si="20"/>
        <v>392.77</v>
      </c>
      <c r="V418" s="5" t="s">
        <v>45</v>
      </c>
      <c r="W418" s="7">
        <v>115.59</v>
      </c>
      <c r="X418" s="5" t="s">
        <v>46</v>
      </c>
      <c r="Z418" s="8">
        <f t="shared" si="19"/>
        <v>115.59</v>
      </c>
    </row>
    <row r="419" spans="1:26" x14ac:dyDescent="0.25">
      <c r="A419" s="5" t="s">
        <v>34</v>
      </c>
      <c r="B419" s="5" t="s">
        <v>175</v>
      </c>
      <c r="C419" s="5" t="s">
        <v>176</v>
      </c>
      <c r="D419" s="5" t="s">
        <v>37</v>
      </c>
      <c r="E419" s="5" t="s">
        <v>66</v>
      </c>
      <c r="F419" s="5" t="s">
        <v>67</v>
      </c>
      <c r="G419" s="5" t="s">
        <v>40</v>
      </c>
      <c r="H419" s="6">
        <v>45961</v>
      </c>
      <c r="I419" s="6">
        <v>45961</v>
      </c>
      <c r="J419" s="6">
        <v>45964</v>
      </c>
      <c r="K419" s="5" t="s">
        <v>167</v>
      </c>
      <c r="L419" s="5" t="s">
        <v>168</v>
      </c>
      <c r="M419" s="5" t="s">
        <v>43</v>
      </c>
      <c r="N419" s="5" t="s">
        <v>169</v>
      </c>
      <c r="O419" s="7">
        <v>1394.58</v>
      </c>
      <c r="P419" s="5" t="s">
        <v>45</v>
      </c>
      <c r="Q419" s="22"/>
      <c r="R419" s="8">
        <f t="shared" si="18"/>
        <v>1394.58</v>
      </c>
      <c r="S419" s="7">
        <v>1394.58</v>
      </c>
      <c r="T419" s="7"/>
      <c r="U419" s="7">
        <f t="shared" si="20"/>
        <v>1394.58</v>
      </c>
      <c r="V419" s="5" t="s">
        <v>45</v>
      </c>
      <c r="W419" s="7">
        <v>410.41</v>
      </c>
      <c r="X419" s="5" t="s">
        <v>46</v>
      </c>
      <c r="Z419" s="8">
        <f t="shared" si="19"/>
        <v>410.41</v>
      </c>
    </row>
    <row r="420" spans="1:26" x14ac:dyDescent="0.25">
      <c r="A420" s="5" t="s">
        <v>34</v>
      </c>
      <c r="B420" s="5" t="s">
        <v>175</v>
      </c>
      <c r="C420" s="5" t="s">
        <v>176</v>
      </c>
      <c r="D420" s="5" t="s">
        <v>37</v>
      </c>
      <c r="E420" s="5" t="s">
        <v>88</v>
      </c>
      <c r="F420" s="5" t="s">
        <v>89</v>
      </c>
      <c r="G420" s="5" t="s">
        <v>40</v>
      </c>
      <c r="H420" s="6">
        <v>45961</v>
      </c>
      <c r="I420" s="6">
        <v>45961</v>
      </c>
      <c r="J420" s="6">
        <v>45964</v>
      </c>
      <c r="K420" s="5" t="s">
        <v>167</v>
      </c>
      <c r="L420" s="5" t="s">
        <v>168</v>
      </c>
      <c r="M420" s="5" t="s">
        <v>43</v>
      </c>
      <c r="N420" s="5" t="s">
        <v>169</v>
      </c>
      <c r="O420" s="7">
        <v>577.83000000000004</v>
      </c>
      <c r="P420" s="5" t="s">
        <v>45</v>
      </c>
      <c r="Q420" s="22"/>
      <c r="R420" s="8">
        <f t="shared" si="18"/>
        <v>577.83000000000004</v>
      </c>
      <c r="S420" s="7">
        <v>577.83000000000004</v>
      </c>
      <c r="T420" s="7"/>
      <c r="U420" s="7">
        <f t="shared" si="20"/>
        <v>577.83000000000004</v>
      </c>
      <c r="V420" s="5" t="s">
        <v>45</v>
      </c>
      <c r="W420" s="7">
        <v>170.05</v>
      </c>
      <c r="X420" s="5" t="s">
        <v>46</v>
      </c>
      <c r="Z420" s="8">
        <f t="shared" si="19"/>
        <v>170.05</v>
      </c>
    </row>
    <row r="421" spans="1:26" x14ac:dyDescent="0.25">
      <c r="A421" s="5" t="s">
        <v>34</v>
      </c>
      <c r="B421" s="5" t="s">
        <v>175</v>
      </c>
      <c r="C421" s="5" t="s">
        <v>176</v>
      </c>
      <c r="D421" s="5" t="s">
        <v>37</v>
      </c>
      <c r="E421" s="5" t="s">
        <v>64</v>
      </c>
      <c r="F421" s="5" t="s">
        <v>65</v>
      </c>
      <c r="G421" s="5" t="s">
        <v>40</v>
      </c>
      <c r="H421" s="6">
        <v>45961</v>
      </c>
      <c r="I421" s="6">
        <v>45961</v>
      </c>
      <c r="J421" s="6">
        <v>45964</v>
      </c>
      <c r="K421" s="5" t="s">
        <v>167</v>
      </c>
      <c r="L421" s="5" t="s">
        <v>168</v>
      </c>
      <c r="M421" s="5" t="s">
        <v>43</v>
      </c>
      <c r="N421" s="5" t="s">
        <v>169</v>
      </c>
      <c r="O421" s="7">
        <v>263.95</v>
      </c>
      <c r="P421" s="5" t="s">
        <v>45</v>
      </c>
      <c r="Q421" s="22"/>
      <c r="R421" s="8">
        <f t="shared" si="18"/>
        <v>263.95</v>
      </c>
      <c r="S421" s="7">
        <v>263.95</v>
      </c>
      <c r="T421" s="7"/>
      <c r="U421" s="7">
        <f t="shared" si="20"/>
        <v>263.95</v>
      </c>
      <c r="V421" s="5" t="s">
        <v>45</v>
      </c>
      <c r="W421" s="7">
        <v>77.680000000000007</v>
      </c>
      <c r="X421" s="5" t="s">
        <v>46</v>
      </c>
      <c r="Z421" s="8">
        <f t="shared" si="19"/>
        <v>77.680000000000007</v>
      </c>
    </row>
    <row r="422" spans="1:26" x14ac:dyDescent="0.25">
      <c r="A422" s="5" t="s">
        <v>34</v>
      </c>
      <c r="B422" s="5" t="s">
        <v>175</v>
      </c>
      <c r="C422" s="5" t="s">
        <v>176</v>
      </c>
      <c r="D422" s="5" t="s">
        <v>37</v>
      </c>
      <c r="E422" s="5" t="s">
        <v>50</v>
      </c>
      <c r="F422" s="5" t="s">
        <v>51</v>
      </c>
      <c r="G422" s="5" t="s">
        <v>40</v>
      </c>
      <c r="H422" s="6">
        <v>45961</v>
      </c>
      <c r="I422" s="6">
        <v>45961</v>
      </c>
      <c r="J422" s="6">
        <v>45964</v>
      </c>
      <c r="K422" s="5" t="s">
        <v>167</v>
      </c>
      <c r="L422" s="5" t="s">
        <v>168</v>
      </c>
      <c r="M422" s="5" t="s">
        <v>43</v>
      </c>
      <c r="N422" s="5" t="s">
        <v>169</v>
      </c>
      <c r="O422" s="7">
        <v>-60.6</v>
      </c>
      <c r="P422" s="5" t="s">
        <v>45</v>
      </c>
      <c r="Q422" s="22"/>
      <c r="R422" s="8">
        <f t="shared" si="18"/>
        <v>-60.6</v>
      </c>
      <c r="S422" s="7">
        <v>-60.6</v>
      </c>
      <c r="T422" s="7"/>
      <c r="U422" s="7">
        <f t="shared" si="20"/>
        <v>-60.6</v>
      </c>
      <c r="V422" s="5" t="s">
        <v>45</v>
      </c>
      <c r="W422" s="7">
        <v>-17.829999999999998</v>
      </c>
      <c r="X422" s="5" t="s">
        <v>46</v>
      </c>
      <c r="Z422" s="8">
        <f t="shared" si="19"/>
        <v>-17.829999999999998</v>
      </c>
    </row>
    <row r="423" spans="1:26" x14ac:dyDescent="0.25">
      <c r="A423" s="5" t="s">
        <v>34</v>
      </c>
      <c r="B423" s="5" t="s">
        <v>175</v>
      </c>
      <c r="C423" s="5" t="s">
        <v>176</v>
      </c>
      <c r="D423" s="5" t="s">
        <v>37</v>
      </c>
      <c r="E423" s="5" t="s">
        <v>116</v>
      </c>
      <c r="F423" s="5" t="s">
        <v>117</v>
      </c>
      <c r="G423" s="5" t="s">
        <v>40</v>
      </c>
      <c r="H423" s="6">
        <v>45961</v>
      </c>
      <c r="I423" s="6">
        <v>45961</v>
      </c>
      <c r="J423" s="6">
        <v>45964</v>
      </c>
      <c r="K423" s="5" t="s">
        <v>167</v>
      </c>
      <c r="L423" s="5" t="s">
        <v>168</v>
      </c>
      <c r="M423" s="5" t="s">
        <v>43</v>
      </c>
      <c r="N423" s="5" t="s">
        <v>169</v>
      </c>
      <c r="O423" s="7">
        <v>837.1</v>
      </c>
      <c r="P423" s="5" t="s">
        <v>45</v>
      </c>
      <c r="Q423" s="22"/>
      <c r="R423" s="8">
        <f t="shared" si="18"/>
        <v>837.1</v>
      </c>
      <c r="S423" s="7">
        <v>837.1</v>
      </c>
      <c r="T423" s="7"/>
      <c r="U423" s="7">
        <f t="shared" si="20"/>
        <v>837.1</v>
      </c>
      <c r="V423" s="5" t="s">
        <v>45</v>
      </c>
      <c r="W423" s="7">
        <v>246.35</v>
      </c>
      <c r="X423" s="5" t="s">
        <v>46</v>
      </c>
      <c r="Z423" s="8">
        <f t="shared" si="19"/>
        <v>246.35</v>
      </c>
    </row>
    <row r="424" spans="1:26" x14ac:dyDescent="0.25">
      <c r="A424" s="5" t="s">
        <v>34</v>
      </c>
      <c r="B424" s="5" t="s">
        <v>175</v>
      </c>
      <c r="C424" s="5" t="s">
        <v>176</v>
      </c>
      <c r="D424" s="5" t="s">
        <v>37</v>
      </c>
      <c r="E424" s="5" t="s">
        <v>104</v>
      </c>
      <c r="F424" s="5" t="s">
        <v>105</v>
      </c>
      <c r="G424" s="5" t="s">
        <v>40</v>
      </c>
      <c r="H424" s="6">
        <v>45961</v>
      </c>
      <c r="I424" s="6">
        <v>45961</v>
      </c>
      <c r="J424" s="6">
        <v>45964</v>
      </c>
      <c r="K424" s="5" t="s">
        <v>167</v>
      </c>
      <c r="L424" s="5" t="s">
        <v>168</v>
      </c>
      <c r="M424" s="5" t="s">
        <v>43</v>
      </c>
      <c r="N424" s="5" t="s">
        <v>169</v>
      </c>
      <c r="O424" s="7">
        <v>404.06</v>
      </c>
      <c r="P424" s="5" t="s">
        <v>45</v>
      </c>
      <c r="Q424" s="22"/>
      <c r="R424" s="8">
        <f t="shared" si="18"/>
        <v>404.06</v>
      </c>
      <c r="S424" s="7">
        <v>404.06</v>
      </c>
      <c r="T424" s="7"/>
      <c r="U424" s="7">
        <f t="shared" si="20"/>
        <v>404.06</v>
      </c>
      <c r="V424" s="5" t="s">
        <v>45</v>
      </c>
      <c r="W424" s="7">
        <v>118.91</v>
      </c>
      <c r="X424" s="5" t="s">
        <v>46</v>
      </c>
      <c r="Z424" s="8">
        <f t="shared" si="19"/>
        <v>118.91</v>
      </c>
    </row>
    <row r="425" spans="1:26" x14ac:dyDescent="0.25">
      <c r="A425" s="5" t="s">
        <v>34</v>
      </c>
      <c r="B425" s="5" t="s">
        <v>175</v>
      </c>
      <c r="C425" s="5" t="s">
        <v>176</v>
      </c>
      <c r="D425" s="5" t="s">
        <v>37</v>
      </c>
      <c r="E425" s="5" t="s">
        <v>112</v>
      </c>
      <c r="F425" s="5" t="s">
        <v>113</v>
      </c>
      <c r="G425" s="5" t="s">
        <v>40</v>
      </c>
      <c r="H425" s="6">
        <v>45961</v>
      </c>
      <c r="I425" s="6">
        <v>45961</v>
      </c>
      <c r="J425" s="6">
        <v>45964</v>
      </c>
      <c r="K425" s="5" t="s">
        <v>167</v>
      </c>
      <c r="L425" s="5" t="s">
        <v>168</v>
      </c>
      <c r="M425" s="5" t="s">
        <v>43</v>
      </c>
      <c r="N425" s="5" t="s">
        <v>169</v>
      </c>
      <c r="O425" s="7">
        <v>251.1</v>
      </c>
      <c r="P425" s="5" t="s">
        <v>45</v>
      </c>
      <c r="Q425" s="22"/>
      <c r="R425" s="8">
        <f t="shared" si="18"/>
        <v>251.1</v>
      </c>
      <c r="S425" s="7">
        <v>251.1</v>
      </c>
      <c r="T425" s="7"/>
      <c r="U425" s="7">
        <f t="shared" si="20"/>
        <v>251.1</v>
      </c>
      <c r="V425" s="5" t="s">
        <v>45</v>
      </c>
      <c r="W425" s="7">
        <v>73.900000000000006</v>
      </c>
      <c r="X425" s="5" t="s">
        <v>46</v>
      </c>
      <c r="Z425" s="8">
        <f t="shared" si="19"/>
        <v>73.900000000000006</v>
      </c>
    </row>
    <row r="426" spans="1:26" x14ac:dyDescent="0.25">
      <c r="A426" s="5" t="s">
        <v>34</v>
      </c>
      <c r="B426" s="5" t="s">
        <v>175</v>
      </c>
      <c r="C426" s="5" t="s">
        <v>176</v>
      </c>
      <c r="D426" s="5" t="s">
        <v>37</v>
      </c>
      <c r="E426" s="5" t="s">
        <v>80</v>
      </c>
      <c r="F426" s="5" t="s">
        <v>81</v>
      </c>
      <c r="G426" s="5" t="s">
        <v>40</v>
      </c>
      <c r="H426" s="6">
        <v>45961</v>
      </c>
      <c r="I426" s="6">
        <v>45961</v>
      </c>
      <c r="J426" s="6">
        <v>45964</v>
      </c>
      <c r="K426" s="5" t="s">
        <v>167</v>
      </c>
      <c r="L426" s="5" t="s">
        <v>168</v>
      </c>
      <c r="M426" s="5" t="s">
        <v>43</v>
      </c>
      <c r="N426" s="5" t="s">
        <v>169</v>
      </c>
      <c r="O426" s="7">
        <v>785.77</v>
      </c>
      <c r="P426" s="5" t="s">
        <v>45</v>
      </c>
      <c r="Q426" s="22"/>
      <c r="R426" s="8">
        <f t="shared" si="18"/>
        <v>785.77</v>
      </c>
      <c r="S426" s="7">
        <v>785.77</v>
      </c>
      <c r="T426" s="7"/>
      <c r="U426" s="7">
        <f t="shared" si="20"/>
        <v>785.77</v>
      </c>
      <c r="V426" s="5" t="s">
        <v>45</v>
      </c>
      <c r="W426" s="7">
        <v>231.24</v>
      </c>
      <c r="X426" s="5" t="s">
        <v>46</v>
      </c>
      <c r="Z426" s="8">
        <f t="shared" si="19"/>
        <v>231.24</v>
      </c>
    </row>
    <row r="427" spans="1:26" x14ac:dyDescent="0.25">
      <c r="A427" s="5" t="s">
        <v>34</v>
      </c>
      <c r="B427" s="5" t="s">
        <v>175</v>
      </c>
      <c r="C427" s="5" t="s">
        <v>176</v>
      </c>
      <c r="D427" s="5" t="s">
        <v>37</v>
      </c>
      <c r="E427" s="5" t="s">
        <v>76</v>
      </c>
      <c r="F427" s="5" t="s">
        <v>77</v>
      </c>
      <c r="G427" s="5" t="s">
        <v>40</v>
      </c>
      <c r="H427" s="6">
        <v>45961</v>
      </c>
      <c r="I427" s="6">
        <v>45961</v>
      </c>
      <c r="J427" s="6">
        <v>45964</v>
      </c>
      <c r="K427" s="5" t="s">
        <v>167</v>
      </c>
      <c r="L427" s="5" t="s">
        <v>168</v>
      </c>
      <c r="M427" s="5" t="s">
        <v>43</v>
      </c>
      <c r="N427" s="5" t="s">
        <v>169</v>
      </c>
      <c r="O427" s="7">
        <v>404.03</v>
      </c>
      <c r="P427" s="5" t="s">
        <v>45</v>
      </c>
      <c r="Q427" s="22"/>
      <c r="R427" s="8">
        <f t="shared" si="18"/>
        <v>404.03</v>
      </c>
      <c r="S427" s="7">
        <v>404.03</v>
      </c>
      <c r="T427" s="7"/>
      <c r="U427" s="7">
        <f t="shared" si="20"/>
        <v>404.03</v>
      </c>
      <c r="V427" s="5" t="s">
        <v>45</v>
      </c>
      <c r="W427" s="7">
        <v>118.9</v>
      </c>
      <c r="X427" s="5" t="s">
        <v>46</v>
      </c>
      <c r="Z427" s="8">
        <f t="shared" si="19"/>
        <v>118.9</v>
      </c>
    </row>
    <row r="428" spans="1:26" x14ac:dyDescent="0.25">
      <c r="A428" s="5" t="s">
        <v>34</v>
      </c>
      <c r="B428" s="5" t="s">
        <v>175</v>
      </c>
      <c r="C428" s="5" t="s">
        <v>176</v>
      </c>
      <c r="D428" s="5" t="s">
        <v>37</v>
      </c>
      <c r="E428" s="5" t="s">
        <v>84</v>
      </c>
      <c r="F428" s="5" t="s">
        <v>85</v>
      </c>
      <c r="G428" s="5" t="s">
        <v>40</v>
      </c>
      <c r="H428" s="6">
        <v>45961</v>
      </c>
      <c r="I428" s="6">
        <v>45961</v>
      </c>
      <c r="J428" s="6">
        <v>45964</v>
      </c>
      <c r="K428" s="5" t="s">
        <v>167</v>
      </c>
      <c r="L428" s="5" t="s">
        <v>168</v>
      </c>
      <c r="M428" s="5" t="s">
        <v>43</v>
      </c>
      <c r="N428" s="5" t="s">
        <v>169</v>
      </c>
      <c r="O428" s="7">
        <v>676.35</v>
      </c>
      <c r="P428" s="5" t="s">
        <v>45</v>
      </c>
      <c r="Q428" s="22"/>
      <c r="R428" s="8">
        <f t="shared" si="18"/>
        <v>676.35</v>
      </c>
      <c r="S428" s="7">
        <v>676.35</v>
      </c>
      <c r="T428" s="7"/>
      <c r="U428" s="7">
        <f t="shared" si="20"/>
        <v>676.35</v>
      </c>
      <c r="V428" s="5" t="s">
        <v>45</v>
      </c>
      <c r="W428" s="7">
        <v>199.04</v>
      </c>
      <c r="X428" s="5" t="s">
        <v>46</v>
      </c>
      <c r="Z428" s="8">
        <f t="shared" si="19"/>
        <v>199.04</v>
      </c>
    </row>
    <row r="429" spans="1:26" x14ac:dyDescent="0.25">
      <c r="A429" s="5" t="s">
        <v>34</v>
      </c>
      <c r="B429" s="5" t="s">
        <v>175</v>
      </c>
      <c r="C429" s="5" t="s">
        <v>176</v>
      </c>
      <c r="D429" s="5" t="s">
        <v>37</v>
      </c>
      <c r="E429" s="5" t="s">
        <v>70</v>
      </c>
      <c r="F429" s="5" t="s">
        <v>71</v>
      </c>
      <c r="G429" s="5" t="s">
        <v>40</v>
      </c>
      <c r="H429" s="6">
        <v>45961</v>
      </c>
      <c r="I429" s="6">
        <v>45961</v>
      </c>
      <c r="J429" s="6">
        <v>45964</v>
      </c>
      <c r="K429" s="5" t="s">
        <v>167</v>
      </c>
      <c r="L429" s="5" t="s">
        <v>168</v>
      </c>
      <c r="M429" s="5" t="s">
        <v>43</v>
      </c>
      <c r="N429" s="5" t="s">
        <v>169</v>
      </c>
      <c r="O429" s="7">
        <v>521.02</v>
      </c>
      <c r="P429" s="5" t="s">
        <v>45</v>
      </c>
      <c r="Q429" s="22"/>
      <c r="R429" s="8">
        <f t="shared" si="18"/>
        <v>521.02</v>
      </c>
      <c r="S429" s="7">
        <v>521.02</v>
      </c>
      <c r="T429" s="7"/>
      <c r="U429" s="7">
        <f t="shared" si="20"/>
        <v>521.02</v>
      </c>
      <c r="V429" s="5" t="s">
        <v>45</v>
      </c>
      <c r="W429" s="7">
        <v>153.33000000000001</v>
      </c>
      <c r="X429" s="5" t="s">
        <v>46</v>
      </c>
      <c r="Z429" s="8">
        <f t="shared" si="19"/>
        <v>153.33000000000001</v>
      </c>
    </row>
    <row r="430" spans="1:26" x14ac:dyDescent="0.25">
      <c r="A430" s="5" t="s">
        <v>34</v>
      </c>
      <c r="B430" s="5" t="s">
        <v>175</v>
      </c>
      <c r="C430" s="5" t="s">
        <v>176</v>
      </c>
      <c r="D430" s="5" t="s">
        <v>37</v>
      </c>
      <c r="E430" s="5" t="s">
        <v>102</v>
      </c>
      <c r="F430" s="5" t="s">
        <v>103</v>
      </c>
      <c r="G430" s="5" t="s">
        <v>40</v>
      </c>
      <c r="H430" s="6">
        <v>45961</v>
      </c>
      <c r="I430" s="6">
        <v>45961</v>
      </c>
      <c r="J430" s="6">
        <v>45964</v>
      </c>
      <c r="K430" s="5" t="s">
        <v>167</v>
      </c>
      <c r="L430" s="5" t="s">
        <v>168</v>
      </c>
      <c r="M430" s="5" t="s">
        <v>43</v>
      </c>
      <c r="N430" s="5" t="s">
        <v>169</v>
      </c>
      <c r="O430" s="7">
        <v>242.98</v>
      </c>
      <c r="P430" s="5" t="s">
        <v>45</v>
      </c>
      <c r="Q430" s="22"/>
      <c r="R430" s="8">
        <f t="shared" si="18"/>
        <v>242.98</v>
      </c>
      <c r="S430" s="7">
        <v>242.98</v>
      </c>
      <c r="T430" s="7"/>
      <c r="U430" s="7">
        <f t="shared" si="20"/>
        <v>242.98</v>
      </c>
      <c r="V430" s="5" t="s">
        <v>45</v>
      </c>
      <c r="W430" s="7">
        <v>71.510000000000005</v>
      </c>
      <c r="X430" s="5" t="s">
        <v>46</v>
      </c>
      <c r="Z430" s="8">
        <f t="shared" si="19"/>
        <v>71.510000000000005</v>
      </c>
    </row>
    <row r="431" spans="1:26" x14ac:dyDescent="0.25">
      <c r="A431" s="5" t="s">
        <v>34</v>
      </c>
      <c r="B431" s="5" t="s">
        <v>175</v>
      </c>
      <c r="C431" s="5" t="s">
        <v>176</v>
      </c>
      <c r="D431" s="5" t="s">
        <v>37</v>
      </c>
      <c r="E431" s="5" t="s">
        <v>114</v>
      </c>
      <c r="F431" s="5" t="s">
        <v>115</v>
      </c>
      <c r="G431" s="5" t="s">
        <v>40</v>
      </c>
      <c r="H431" s="6">
        <v>45961</v>
      </c>
      <c r="I431" s="6">
        <v>45961</v>
      </c>
      <c r="J431" s="6">
        <v>45964</v>
      </c>
      <c r="K431" s="5" t="s">
        <v>167</v>
      </c>
      <c r="L431" s="5" t="s">
        <v>168</v>
      </c>
      <c r="M431" s="5" t="s">
        <v>43</v>
      </c>
      <c r="N431" s="5" t="s">
        <v>169</v>
      </c>
      <c r="O431" s="7">
        <v>1546.84</v>
      </c>
      <c r="P431" s="5" t="s">
        <v>45</v>
      </c>
      <c r="Q431" s="22"/>
      <c r="R431" s="8">
        <f t="shared" si="18"/>
        <v>1546.84</v>
      </c>
      <c r="S431" s="7">
        <v>1546.84</v>
      </c>
      <c r="T431" s="7"/>
      <c r="U431" s="7">
        <f t="shared" si="20"/>
        <v>1546.84</v>
      </c>
      <c r="V431" s="5" t="s">
        <v>45</v>
      </c>
      <c r="W431" s="7">
        <v>455.22</v>
      </c>
      <c r="X431" s="5" t="s">
        <v>46</v>
      </c>
      <c r="Z431" s="8">
        <f t="shared" si="19"/>
        <v>455.22</v>
      </c>
    </row>
    <row r="432" spans="1:26" x14ac:dyDescent="0.25">
      <c r="A432" s="5" t="s">
        <v>34</v>
      </c>
      <c r="B432" s="5" t="s">
        <v>175</v>
      </c>
      <c r="C432" s="5" t="s">
        <v>176</v>
      </c>
      <c r="D432" s="5" t="s">
        <v>37</v>
      </c>
      <c r="E432" s="5" t="s">
        <v>60</v>
      </c>
      <c r="F432" s="5" t="s">
        <v>61</v>
      </c>
      <c r="G432" s="5" t="s">
        <v>40</v>
      </c>
      <c r="H432" s="6">
        <v>45961</v>
      </c>
      <c r="I432" s="6">
        <v>45961</v>
      </c>
      <c r="J432" s="6">
        <v>45964</v>
      </c>
      <c r="K432" s="5" t="s">
        <v>167</v>
      </c>
      <c r="L432" s="5" t="s">
        <v>168</v>
      </c>
      <c r="M432" s="5" t="s">
        <v>43</v>
      </c>
      <c r="N432" s="5" t="s">
        <v>169</v>
      </c>
      <c r="O432" s="7">
        <v>4133.7299999999996</v>
      </c>
      <c r="P432" s="5" t="s">
        <v>45</v>
      </c>
      <c r="Q432" s="22"/>
      <c r="R432" s="8">
        <f t="shared" si="18"/>
        <v>4133.7299999999996</v>
      </c>
      <c r="S432" s="7">
        <v>4133.7299999999996</v>
      </c>
      <c r="T432" s="7"/>
      <c r="U432" s="7">
        <f t="shared" si="20"/>
        <v>4133.7299999999996</v>
      </c>
      <c r="V432" s="5" t="s">
        <v>45</v>
      </c>
      <c r="W432" s="7">
        <v>1216.52</v>
      </c>
      <c r="X432" s="5" t="s">
        <v>46</v>
      </c>
      <c r="Z432" s="8">
        <f t="shared" si="19"/>
        <v>1216.52</v>
      </c>
    </row>
    <row r="433" spans="1:26" x14ac:dyDescent="0.25">
      <c r="A433" s="5" t="s">
        <v>34</v>
      </c>
      <c r="B433" s="5" t="s">
        <v>175</v>
      </c>
      <c r="C433" s="5" t="s">
        <v>176</v>
      </c>
      <c r="D433" s="5" t="s">
        <v>37</v>
      </c>
      <c r="E433" s="5" t="s">
        <v>92</v>
      </c>
      <c r="F433" s="5" t="s">
        <v>93</v>
      </c>
      <c r="G433" s="5" t="s">
        <v>40</v>
      </c>
      <c r="H433" s="6">
        <v>45961</v>
      </c>
      <c r="I433" s="6">
        <v>45961</v>
      </c>
      <c r="J433" s="6">
        <v>45964</v>
      </c>
      <c r="K433" s="5" t="s">
        <v>167</v>
      </c>
      <c r="L433" s="5" t="s">
        <v>168</v>
      </c>
      <c r="M433" s="5" t="s">
        <v>43</v>
      </c>
      <c r="N433" s="5" t="s">
        <v>169</v>
      </c>
      <c r="O433" s="7">
        <v>526.64</v>
      </c>
      <c r="P433" s="5" t="s">
        <v>45</v>
      </c>
      <c r="Q433" s="22"/>
      <c r="R433" s="8">
        <f t="shared" si="18"/>
        <v>526.64</v>
      </c>
      <c r="S433" s="7">
        <v>526.64</v>
      </c>
      <c r="T433" s="7"/>
      <c r="U433" s="7">
        <f t="shared" si="20"/>
        <v>526.64</v>
      </c>
      <c r="V433" s="5" t="s">
        <v>45</v>
      </c>
      <c r="W433" s="7">
        <v>154.99</v>
      </c>
      <c r="X433" s="5" t="s">
        <v>46</v>
      </c>
      <c r="Z433" s="8">
        <f t="shared" si="19"/>
        <v>154.99</v>
      </c>
    </row>
    <row r="434" spans="1:26" x14ac:dyDescent="0.25">
      <c r="A434" s="5" t="s">
        <v>34</v>
      </c>
      <c r="B434" s="5" t="s">
        <v>175</v>
      </c>
      <c r="C434" s="5" t="s">
        <v>176</v>
      </c>
      <c r="D434" s="5" t="s">
        <v>37</v>
      </c>
      <c r="E434" s="5" t="s">
        <v>98</v>
      </c>
      <c r="F434" s="5" t="s">
        <v>99</v>
      </c>
      <c r="G434" s="5" t="s">
        <v>40</v>
      </c>
      <c r="H434" s="6">
        <v>45961</v>
      </c>
      <c r="I434" s="6">
        <v>45961</v>
      </c>
      <c r="J434" s="6">
        <v>45964</v>
      </c>
      <c r="K434" s="5" t="s">
        <v>167</v>
      </c>
      <c r="L434" s="5" t="s">
        <v>168</v>
      </c>
      <c r="M434" s="5" t="s">
        <v>43</v>
      </c>
      <c r="N434" s="5" t="s">
        <v>169</v>
      </c>
      <c r="O434" s="7">
        <v>1314.39</v>
      </c>
      <c r="P434" s="5" t="s">
        <v>45</v>
      </c>
      <c r="Q434" s="22"/>
      <c r="R434" s="8">
        <f t="shared" si="18"/>
        <v>1314.39</v>
      </c>
      <c r="S434" s="7">
        <v>1314.39</v>
      </c>
      <c r="T434" s="7"/>
      <c r="U434" s="7">
        <f t="shared" si="20"/>
        <v>1314.39</v>
      </c>
      <c r="V434" s="5" t="s">
        <v>45</v>
      </c>
      <c r="W434" s="7">
        <v>386.81</v>
      </c>
      <c r="X434" s="5" t="s">
        <v>46</v>
      </c>
      <c r="Z434" s="8">
        <f t="shared" si="19"/>
        <v>386.81</v>
      </c>
    </row>
    <row r="435" spans="1:26" x14ac:dyDescent="0.25">
      <c r="A435" s="5" t="s">
        <v>34</v>
      </c>
      <c r="B435" s="5" t="s">
        <v>175</v>
      </c>
      <c r="C435" s="5" t="s">
        <v>176</v>
      </c>
      <c r="D435" s="5" t="s">
        <v>37</v>
      </c>
      <c r="E435" s="5" t="s">
        <v>72</v>
      </c>
      <c r="F435" s="5" t="s">
        <v>73</v>
      </c>
      <c r="G435" s="5" t="s">
        <v>40</v>
      </c>
      <c r="H435" s="6">
        <v>45961</v>
      </c>
      <c r="I435" s="6">
        <v>45961</v>
      </c>
      <c r="J435" s="6">
        <v>45964</v>
      </c>
      <c r="K435" s="5" t="s">
        <v>167</v>
      </c>
      <c r="L435" s="5" t="s">
        <v>168</v>
      </c>
      <c r="M435" s="5" t="s">
        <v>43</v>
      </c>
      <c r="N435" s="5" t="s">
        <v>169</v>
      </c>
      <c r="O435" s="7">
        <v>360.01</v>
      </c>
      <c r="P435" s="5" t="s">
        <v>45</v>
      </c>
      <c r="Q435" s="22"/>
      <c r="R435" s="8">
        <f t="shared" si="18"/>
        <v>360.01</v>
      </c>
      <c r="S435" s="7">
        <v>360.01</v>
      </c>
      <c r="T435" s="7"/>
      <c r="U435" s="7">
        <f t="shared" si="20"/>
        <v>360.01</v>
      </c>
      <c r="V435" s="5" t="s">
        <v>45</v>
      </c>
      <c r="W435" s="7">
        <v>105.95</v>
      </c>
      <c r="X435" s="5" t="s">
        <v>46</v>
      </c>
      <c r="Z435" s="8">
        <f t="shared" si="19"/>
        <v>105.95</v>
      </c>
    </row>
    <row r="436" spans="1:26" x14ac:dyDescent="0.25">
      <c r="A436" s="5" t="s">
        <v>34</v>
      </c>
      <c r="B436" s="5" t="s">
        <v>175</v>
      </c>
      <c r="C436" s="5" t="s">
        <v>176</v>
      </c>
      <c r="D436" s="5" t="s">
        <v>37</v>
      </c>
      <c r="E436" s="5" t="s">
        <v>54</v>
      </c>
      <c r="F436" s="5" t="s">
        <v>55</v>
      </c>
      <c r="G436" s="5" t="s">
        <v>40</v>
      </c>
      <c r="H436" s="6">
        <v>45961</v>
      </c>
      <c r="I436" s="6">
        <v>45961</v>
      </c>
      <c r="J436" s="6">
        <v>45964</v>
      </c>
      <c r="K436" s="5" t="s">
        <v>167</v>
      </c>
      <c r="L436" s="5" t="s">
        <v>168</v>
      </c>
      <c r="M436" s="5" t="s">
        <v>43</v>
      </c>
      <c r="N436" s="5" t="s">
        <v>169</v>
      </c>
      <c r="O436" s="7">
        <v>455.44</v>
      </c>
      <c r="P436" s="5" t="s">
        <v>45</v>
      </c>
      <c r="Q436" s="22"/>
      <c r="R436" s="8">
        <f t="shared" si="18"/>
        <v>455.44</v>
      </c>
      <c r="S436" s="7">
        <v>455.44</v>
      </c>
      <c r="T436" s="7"/>
      <c r="U436" s="7">
        <f t="shared" si="20"/>
        <v>455.44</v>
      </c>
      <c r="V436" s="5" t="s">
        <v>45</v>
      </c>
      <c r="W436" s="7">
        <v>134.03</v>
      </c>
      <c r="X436" s="5" t="s">
        <v>46</v>
      </c>
      <c r="Z436" s="8">
        <f t="shared" si="19"/>
        <v>134.03</v>
      </c>
    </row>
    <row r="437" spans="1:26" x14ac:dyDescent="0.25">
      <c r="A437" s="5" t="s">
        <v>34</v>
      </c>
      <c r="B437" s="5" t="s">
        <v>175</v>
      </c>
      <c r="C437" s="5" t="s">
        <v>176</v>
      </c>
      <c r="D437" s="5" t="s">
        <v>37</v>
      </c>
      <c r="E437" s="5" t="s">
        <v>82</v>
      </c>
      <c r="F437" s="5" t="s">
        <v>83</v>
      </c>
      <c r="G437" s="5" t="s">
        <v>40</v>
      </c>
      <c r="H437" s="6">
        <v>45961</v>
      </c>
      <c r="I437" s="6">
        <v>45961</v>
      </c>
      <c r="J437" s="6">
        <v>45964</v>
      </c>
      <c r="K437" s="5" t="s">
        <v>167</v>
      </c>
      <c r="L437" s="5" t="s">
        <v>168</v>
      </c>
      <c r="M437" s="5" t="s">
        <v>43</v>
      </c>
      <c r="N437" s="5" t="s">
        <v>169</v>
      </c>
      <c r="O437" s="7">
        <v>493.22</v>
      </c>
      <c r="P437" s="5" t="s">
        <v>45</v>
      </c>
      <c r="Q437" s="22"/>
      <c r="R437" s="8">
        <f t="shared" si="18"/>
        <v>493.22</v>
      </c>
      <c r="S437" s="7">
        <v>493.22</v>
      </c>
      <c r="T437" s="7"/>
      <c r="U437" s="7">
        <f t="shared" si="20"/>
        <v>493.22</v>
      </c>
      <c r="V437" s="5" t="s">
        <v>45</v>
      </c>
      <c r="W437" s="7">
        <v>145.15</v>
      </c>
      <c r="X437" s="5" t="s">
        <v>46</v>
      </c>
      <c r="Z437" s="8">
        <f t="shared" si="19"/>
        <v>145.15</v>
      </c>
    </row>
    <row r="438" spans="1:26" x14ac:dyDescent="0.25">
      <c r="A438" s="5" t="s">
        <v>34</v>
      </c>
      <c r="B438" s="5" t="s">
        <v>175</v>
      </c>
      <c r="C438" s="5" t="s">
        <v>176</v>
      </c>
      <c r="D438" s="5" t="s">
        <v>37</v>
      </c>
      <c r="E438" s="5" t="s">
        <v>56</v>
      </c>
      <c r="F438" s="5" t="s">
        <v>57</v>
      </c>
      <c r="G438" s="5" t="s">
        <v>40</v>
      </c>
      <c r="H438" s="6">
        <v>45961</v>
      </c>
      <c r="I438" s="6">
        <v>45961</v>
      </c>
      <c r="J438" s="6">
        <v>45964</v>
      </c>
      <c r="K438" s="5" t="s">
        <v>167</v>
      </c>
      <c r="L438" s="5" t="s">
        <v>168</v>
      </c>
      <c r="M438" s="5" t="s">
        <v>43</v>
      </c>
      <c r="N438" s="5" t="s">
        <v>169</v>
      </c>
      <c r="O438" s="7">
        <v>3309.09</v>
      </c>
      <c r="P438" s="5" t="s">
        <v>45</v>
      </c>
      <c r="Q438" s="22"/>
      <c r="R438" s="8">
        <f t="shared" si="18"/>
        <v>3309.09</v>
      </c>
      <c r="S438" s="7">
        <v>3309.09</v>
      </c>
      <c r="T438" s="7"/>
      <c r="U438" s="7">
        <f t="shared" si="20"/>
        <v>3309.09</v>
      </c>
      <c r="V438" s="5" t="s">
        <v>45</v>
      </c>
      <c r="W438" s="7">
        <v>973.83</v>
      </c>
      <c r="X438" s="5" t="s">
        <v>46</v>
      </c>
      <c r="Z438" s="8">
        <f t="shared" si="19"/>
        <v>973.83</v>
      </c>
    </row>
    <row r="439" spans="1:26" x14ac:dyDescent="0.25">
      <c r="A439" s="5" t="s">
        <v>34</v>
      </c>
      <c r="B439" s="5" t="s">
        <v>177</v>
      </c>
      <c r="C439" s="5" t="s">
        <v>178</v>
      </c>
      <c r="D439" s="5" t="s">
        <v>37</v>
      </c>
      <c r="E439" s="5" t="s">
        <v>78</v>
      </c>
      <c r="F439" s="5" t="s">
        <v>79</v>
      </c>
      <c r="G439" s="5" t="s">
        <v>40</v>
      </c>
      <c r="H439" s="6">
        <v>45961</v>
      </c>
      <c r="I439" s="6">
        <v>45961</v>
      </c>
      <c r="J439" s="6">
        <v>45964</v>
      </c>
      <c r="K439" s="5" t="s">
        <v>172</v>
      </c>
      <c r="L439" s="5" t="s">
        <v>173</v>
      </c>
      <c r="M439" s="5" t="s">
        <v>43</v>
      </c>
      <c r="N439" s="5" t="s">
        <v>174</v>
      </c>
      <c r="O439" s="7">
        <v>4616.07</v>
      </c>
      <c r="P439" s="5" t="s">
        <v>45</v>
      </c>
      <c r="Q439" s="22"/>
      <c r="R439" s="8">
        <f t="shared" si="18"/>
        <v>4616.07</v>
      </c>
      <c r="S439" s="7">
        <v>4616.07</v>
      </c>
      <c r="T439" s="7"/>
      <c r="U439" s="7">
        <f t="shared" si="20"/>
        <v>4616.07</v>
      </c>
      <c r="V439" s="5" t="s">
        <v>45</v>
      </c>
      <c r="W439" s="7">
        <v>1358.47</v>
      </c>
      <c r="X439" s="5" t="s">
        <v>46</v>
      </c>
      <c r="Z439" s="8">
        <f t="shared" si="19"/>
        <v>1358.47</v>
      </c>
    </row>
    <row r="440" spans="1:26" x14ac:dyDescent="0.25">
      <c r="A440" s="5" t="s">
        <v>34</v>
      </c>
      <c r="B440" s="5" t="s">
        <v>177</v>
      </c>
      <c r="C440" s="5" t="s">
        <v>178</v>
      </c>
      <c r="D440" s="5" t="s">
        <v>37</v>
      </c>
      <c r="E440" s="5" t="s">
        <v>104</v>
      </c>
      <c r="F440" s="5" t="s">
        <v>105</v>
      </c>
      <c r="G440" s="5" t="s">
        <v>40</v>
      </c>
      <c r="H440" s="6">
        <v>45961</v>
      </c>
      <c r="I440" s="6">
        <v>45961</v>
      </c>
      <c r="J440" s="6">
        <v>45964</v>
      </c>
      <c r="K440" s="5" t="s">
        <v>172</v>
      </c>
      <c r="L440" s="5" t="s">
        <v>173</v>
      </c>
      <c r="M440" s="5" t="s">
        <v>43</v>
      </c>
      <c r="N440" s="5" t="s">
        <v>174</v>
      </c>
      <c r="O440" s="7">
        <v>4850.84</v>
      </c>
      <c r="P440" s="5" t="s">
        <v>45</v>
      </c>
      <c r="Q440" s="22"/>
      <c r="R440" s="8">
        <f t="shared" si="18"/>
        <v>4850.84</v>
      </c>
      <c r="S440" s="7">
        <v>4850.84</v>
      </c>
      <c r="T440" s="7"/>
      <c r="U440" s="7">
        <f t="shared" si="20"/>
        <v>4850.84</v>
      </c>
      <c r="V440" s="5" t="s">
        <v>45</v>
      </c>
      <c r="W440" s="7">
        <v>1427.56</v>
      </c>
      <c r="X440" s="5" t="s">
        <v>46</v>
      </c>
      <c r="Z440" s="8">
        <f t="shared" si="19"/>
        <v>1427.56</v>
      </c>
    </row>
    <row r="441" spans="1:26" x14ac:dyDescent="0.25">
      <c r="A441" s="5" t="s">
        <v>34</v>
      </c>
      <c r="B441" s="5" t="s">
        <v>177</v>
      </c>
      <c r="C441" s="5" t="s">
        <v>178</v>
      </c>
      <c r="D441" s="5" t="s">
        <v>37</v>
      </c>
      <c r="E441" s="5" t="s">
        <v>72</v>
      </c>
      <c r="F441" s="5" t="s">
        <v>73</v>
      </c>
      <c r="G441" s="5" t="s">
        <v>40</v>
      </c>
      <c r="H441" s="6">
        <v>45961</v>
      </c>
      <c r="I441" s="6">
        <v>45961</v>
      </c>
      <c r="J441" s="6">
        <v>45964</v>
      </c>
      <c r="K441" s="5" t="s">
        <v>172</v>
      </c>
      <c r="L441" s="5" t="s">
        <v>173</v>
      </c>
      <c r="M441" s="5" t="s">
        <v>43</v>
      </c>
      <c r="N441" s="5" t="s">
        <v>174</v>
      </c>
      <c r="O441" s="7">
        <v>859.25</v>
      </c>
      <c r="P441" s="5" t="s">
        <v>45</v>
      </c>
      <c r="Q441" s="22"/>
      <c r="R441" s="8">
        <f t="shared" si="18"/>
        <v>859.25</v>
      </c>
      <c r="S441" s="7">
        <v>859.25</v>
      </c>
      <c r="T441" s="7"/>
      <c r="U441" s="7">
        <f t="shared" si="20"/>
        <v>859.25</v>
      </c>
      <c r="V441" s="5" t="s">
        <v>45</v>
      </c>
      <c r="W441" s="7">
        <v>252.87</v>
      </c>
      <c r="X441" s="5" t="s">
        <v>46</v>
      </c>
      <c r="Z441" s="8">
        <f t="shared" si="19"/>
        <v>252.87</v>
      </c>
    </row>
    <row r="442" spans="1:26" x14ac:dyDescent="0.25">
      <c r="A442" s="5" t="s">
        <v>34</v>
      </c>
      <c r="B442" s="5" t="s">
        <v>177</v>
      </c>
      <c r="C442" s="5" t="s">
        <v>178</v>
      </c>
      <c r="D442" s="5" t="s">
        <v>37</v>
      </c>
      <c r="E442" s="5" t="s">
        <v>100</v>
      </c>
      <c r="F442" s="5" t="s">
        <v>101</v>
      </c>
      <c r="G442" s="5" t="s">
        <v>40</v>
      </c>
      <c r="H442" s="6">
        <v>45961</v>
      </c>
      <c r="I442" s="6">
        <v>45961</v>
      </c>
      <c r="J442" s="6">
        <v>45964</v>
      </c>
      <c r="K442" s="5" t="s">
        <v>172</v>
      </c>
      <c r="L442" s="5" t="s">
        <v>173</v>
      </c>
      <c r="M442" s="5" t="s">
        <v>43</v>
      </c>
      <c r="N442" s="5" t="s">
        <v>174</v>
      </c>
      <c r="O442" s="7">
        <v>794.53</v>
      </c>
      <c r="P442" s="5" t="s">
        <v>45</v>
      </c>
      <c r="Q442" s="22"/>
      <c r="R442" s="8">
        <f t="shared" si="18"/>
        <v>794.53</v>
      </c>
      <c r="S442" s="7">
        <v>794.53</v>
      </c>
      <c r="T442" s="7"/>
      <c r="U442" s="7">
        <f t="shared" si="20"/>
        <v>794.53</v>
      </c>
      <c r="V442" s="5" t="s">
        <v>45</v>
      </c>
      <c r="W442" s="7">
        <v>233.82</v>
      </c>
      <c r="X442" s="5" t="s">
        <v>46</v>
      </c>
      <c r="Z442" s="8">
        <f t="shared" si="19"/>
        <v>233.82</v>
      </c>
    </row>
    <row r="443" spans="1:26" x14ac:dyDescent="0.25">
      <c r="A443" s="5" t="s">
        <v>34</v>
      </c>
      <c r="B443" s="5" t="s">
        <v>177</v>
      </c>
      <c r="C443" s="5" t="s">
        <v>178</v>
      </c>
      <c r="D443" s="5" t="s">
        <v>37</v>
      </c>
      <c r="E443" s="5" t="s">
        <v>64</v>
      </c>
      <c r="F443" s="5" t="s">
        <v>65</v>
      </c>
      <c r="G443" s="5" t="s">
        <v>40</v>
      </c>
      <c r="H443" s="6">
        <v>45961</v>
      </c>
      <c r="I443" s="6">
        <v>45961</v>
      </c>
      <c r="J443" s="6">
        <v>45964</v>
      </c>
      <c r="K443" s="5" t="s">
        <v>172</v>
      </c>
      <c r="L443" s="5" t="s">
        <v>173</v>
      </c>
      <c r="M443" s="5" t="s">
        <v>43</v>
      </c>
      <c r="N443" s="5" t="s">
        <v>174</v>
      </c>
      <c r="O443" s="7">
        <v>6282.89</v>
      </c>
      <c r="P443" s="5" t="s">
        <v>45</v>
      </c>
      <c r="Q443" s="22"/>
      <c r="R443" s="8">
        <f t="shared" si="18"/>
        <v>6282.89</v>
      </c>
      <c r="S443" s="7">
        <v>6282.89</v>
      </c>
      <c r="T443" s="7"/>
      <c r="U443" s="7">
        <f t="shared" si="20"/>
        <v>6282.89</v>
      </c>
      <c r="V443" s="5" t="s">
        <v>45</v>
      </c>
      <c r="W443" s="7">
        <v>1849</v>
      </c>
      <c r="X443" s="5" t="s">
        <v>46</v>
      </c>
      <c r="Z443" s="8">
        <f t="shared" si="19"/>
        <v>1849</v>
      </c>
    </row>
    <row r="444" spans="1:26" x14ac:dyDescent="0.25">
      <c r="A444" s="5" t="s">
        <v>34</v>
      </c>
      <c r="B444" s="5" t="s">
        <v>177</v>
      </c>
      <c r="C444" s="5" t="s">
        <v>178</v>
      </c>
      <c r="D444" s="5" t="s">
        <v>37</v>
      </c>
      <c r="E444" s="5" t="s">
        <v>106</v>
      </c>
      <c r="F444" s="5" t="s">
        <v>107</v>
      </c>
      <c r="G444" s="5" t="s">
        <v>40</v>
      </c>
      <c r="H444" s="6">
        <v>45961</v>
      </c>
      <c r="I444" s="6">
        <v>45961</v>
      </c>
      <c r="J444" s="6">
        <v>45964</v>
      </c>
      <c r="K444" s="5" t="s">
        <v>172</v>
      </c>
      <c r="L444" s="5" t="s">
        <v>173</v>
      </c>
      <c r="M444" s="5" t="s">
        <v>43</v>
      </c>
      <c r="N444" s="5" t="s">
        <v>174</v>
      </c>
      <c r="O444" s="7">
        <v>1995.36</v>
      </c>
      <c r="P444" s="5" t="s">
        <v>45</v>
      </c>
      <c r="Q444" s="22"/>
      <c r="R444" s="8">
        <f t="shared" si="18"/>
        <v>1995.36</v>
      </c>
      <c r="S444" s="7">
        <v>1995.36</v>
      </c>
      <c r="T444" s="7"/>
      <c r="U444" s="7">
        <f t="shared" si="20"/>
        <v>1995.36</v>
      </c>
      <c r="V444" s="5" t="s">
        <v>45</v>
      </c>
      <c r="W444" s="7">
        <v>587.22</v>
      </c>
      <c r="X444" s="5" t="s">
        <v>46</v>
      </c>
      <c r="Z444" s="8">
        <f t="shared" si="19"/>
        <v>587.22</v>
      </c>
    </row>
    <row r="445" spans="1:26" x14ac:dyDescent="0.25">
      <c r="A445" s="5" t="s">
        <v>34</v>
      </c>
      <c r="B445" s="5" t="s">
        <v>177</v>
      </c>
      <c r="C445" s="5" t="s">
        <v>178</v>
      </c>
      <c r="D445" s="5" t="s">
        <v>37</v>
      </c>
      <c r="E445" s="5" t="s">
        <v>138</v>
      </c>
      <c r="F445" s="5" t="s">
        <v>139</v>
      </c>
      <c r="G445" s="5" t="s">
        <v>40</v>
      </c>
      <c r="H445" s="6">
        <v>45961</v>
      </c>
      <c r="I445" s="6">
        <v>45961</v>
      </c>
      <c r="J445" s="6">
        <v>45964</v>
      </c>
      <c r="K445" s="5" t="s">
        <v>172</v>
      </c>
      <c r="L445" s="5" t="s">
        <v>173</v>
      </c>
      <c r="M445" s="5" t="s">
        <v>43</v>
      </c>
      <c r="N445" s="5" t="s">
        <v>174</v>
      </c>
      <c r="O445" s="7">
        <v>3123.52</v>
      </c>
      <c r="P445" s="5" t="s">
        <v>45</v>
      </c>
      <c r="Q445" s="22"/>
      <c r="R445" s="8">
        <f t="shared" si="18"/>
        <v>3123.52</v>
      </c>
      <c r="S445" s="7">
        <v>3123.52</v>
      </c>
      <c r="T445" s="7"/>
      <c r="U445" s="7">
        <f t="shared" si="20"/>
        <v>3123.52</v>
      </c>
      <c r="V445" s="5" t="s">
        <v>45</v>
      </c>
      <c r="W445" s="7">
        <v>919.22</v>
      </c>
      <c r="X445" s="5" t="s">
        <v>46</v>
      </c>
      <c r="Z445" s="8">
        <f t="shared" si="19"/>
        <v>919.22</v>
      </c>
    </row>
    <row r="446" spans="1:26" x14ac:dyDescent="0.25">
      <c r="A446" s="5" t="s">
        <v>34</v>
      </c>
      <c r="B446" s="5" t="s">
        <v>177</v>
      </c>
      <c r="C446" s="5" t="s">
        <v>178</v>
      </c>
      <c r="D446" s="5" t="s">
        <v>37</v>
      </c>
      <c r="E446" s="5" t="s">
        <v>48</v>
      </c>
      <c r="F446" s="5" t="s">
        <v>49</v>
      </c>
      <c r="G446" s="5" t="s">
        <v>40</v>
      </c>
      <c r="H446" s="6">
        <v>45961</v>
      </c>
      <c r="I446" s="6">
        <v>45961</v>
      </c>
      <c r="J446" s="6">
        <v>45964</v>
      </c>
      <c r="K446" s="5" t="s">
        <v>172</v>
      </c>
      <c r="L446" s="5" t="s">
        <v>173</v>
      </c>
      <c r="M446" s="5" t="s">
        <v>43</v>
      </c>
      <c r="N446" s="5" t="s">
        <v>174</v>
      </c>
      <c r="O446" s="7">
        <v>10430.969999999999</v>
      </c>
      <c r="P446" s="5" t="s">
        <v>45</v>
      </c>
      <c r="Q446" s="22"/>
      <c r="R446" s="8">
        <f t="shared" si="18"/>
        <v>10430.969999999999</v>
      </c>
      <c r="S446" s="7">
        <v>10430.969999999999</v>
      </c>
      <c r="T446" s="7"/>
      <c r="U446" s="7">
        <f t="shared" si="20"/>
        <v>10430.969999999999</v>
      </c>
      <c r="V446" s="5" t="s">
        <v>45</v>
      </c>
      <c r="W446" s="7">
        <v>3069.74</v>
      </c>
      <c r="X446" s="5" t="s">
        <v>46</v>
      </c>
      <c r="Z446" s="8">
        <f t="shared" si="19"/>
        <v>3069.74</v>
      </c>
    </row>
    <row r="447" spans="1:26" x14ac:dyDescent="0.25">
      <c r="A447" s="5" t="s">
        <v>34</v>
      </c>
      <c r="B447" s="5" t="s">
        <v>177</v>
      </c>
      <c r="C447" s="5" t="s">
        <v>178</v>
      </c>
      <c r="D447" s="5" t="s">
        <v>37</v>
      </c>
      <c r="E447" s="5" t="s">
        <v>54</v>
      </c>
      <c r="F447" s="5" t="s">
        <v>55</v>
      </c>
      <c r="G447" s="5" t="s">
        <v>40</v>
      </c>
      <c r="H447" s="6">
        <v>45961</v>
      </c>
      <c r="I447" s="6">
        <v>45961</v>
      </c>
      <c r="J447" s="6">
        <v>45964</v>
      </c>
      <c r="K447" s="5" t="s">
        <v>172</v>
      </c>
      <c r="L447" s="5" t="s">
        <v>173</v>
      </c>
      <c r="M447" s="5" t="s">
        <v>43</v>
      </c>
      <c r="N447" s="5" t="s">
        <v>174</v>
      </c>
      <c r="O447" s="7">
        <v>1548.06</v>
      </c>
      <c r="P447" s="5" t="s">
        <v>45</v>
      </c>
      <c r="Q447" s="22"/>
      <c r="R447" s="8">
        <f t="shared" si="18"/>
        <v>1548.06</v>
      </c>
      <c r="S447" s="7">
        <v>1548.06</v>
      </c>
      <c r="T447" s="7"/>
      <c r="U447" s="7">
        <f t="shared" si="20"/>
        <v>1548.06</v>
      </c>
      <c r="V447" s="5" t="s">
        <v>45</v>
      </c>
      <c r="W447" s="7">
        <v>455.58</v>
      </c>
      <c r="X447" s="5" t="s">
        <v>46</v>
      </c>
      <c r="Z447" s="8">
        <f t="shared" si="19"/>
        <v>455.58</v>
      </c>
    </row>
    <row r="448" spans="1:26" x14ac:dyDescent="0.25">
      <c r="A448" s="5" t="s">
        <v>34</v>
      </c>
      <c r="B448" s="5" t="s">
        <v>177</v>
      </c>
      <c r="C448" s="5" t="s">
        <v>178</v>
      </c>
      <c r="D448" s="5" t="s">
        <v>37</v>
      </c>
      <c r="E448" s="5" t="s">
        <v>62</v>
      </c>
      <c r="F448" s="5" t="s">
        <v>63</v>
      </c>
      <c r="G448" s="5" t="s">
        <v>40</v>
      </c>
      <c r="H448" s="6">
        <v>45961</v>
      </c>
      <c r="I448" s="6">
        <v>45961</v>
      </c>
      <c r="J448" s="6">
        <v>45964</v>
      </c>
      <c r="K448" s="5" t="s">
        <v>172</v>
      </c>
      <c r="L448" s="5" t="s">
        <v>173</v>
      </c>
      <c r="M448" s="5" t="s">
        <v>43</v>
      </c>
      <c r="N448" s="5" t="s">
        <v>174</v>
      </c>
      <c r="O448" s="7">
        <v>-3233.09</v>
      </c>
      <c r="P448" s="5" t="s">
        <v>45</v>
      </c>
      <c r="Q448" s="22"/>
      <c r="R448" s="8">
        <f t="shared" si="18"/>
        <v>-3233.09</v>
      </c>
      <c r="S448" s="7">
        <v>-3233.09</v>
      </c>
      <c r="T448" s="7"/>
      <c r="U448" s="7">
        <f t="shared" si="20"/>
        <v>-3233.09</v>
      </c>
      <c r="V448" s="5" t="s">
        <v>45</v>
      </c>
      <c r="W448" s="7">
        <v>-951.47</v>
      </c>
      <c r="X448" s="5" t="s">
        <v>46</v>
      </c>
      <c r="Z448" s="8">
        <f t="shared" si="19"/>
        <v>-951.47</v>
      </c>
    </row>
    <row r="449" spans="1:26" x14ac:dyDescent="0.25">
      <c r="A449" s="5" t="s">
        <v>34</v>
      </c>
      <c r="B449" s="5" t="s">
        <v>177</v>
      </c>
      <c r="C449" s="5" t="s">
        <v>178</v>
      </c>
      <c r="D449" s="5" t="s">
        <v>37</v>
      </c>
      <c r="E449" s="5" t="s">
        <v>68</v>
      </c>
      <c r="F449" s="5" t="s">
        <v>69</v>
      </c>
      <c r="G449" s="5" t="s">
        <v>40</v>
      </c>
      <c r="H449" s="6">
        <v>45961</v>
      </c>
      <c r="I449" s="6">
        <v>45961</v>
      </c>
      <c r="J449" s="6">
        <v>45964</v>
      </c>
      <c r="K449" s="5" t="s">
        <v>172</v>
      </c>
      <c r="L449" s="5" t="s">
        <v>173</v>
      </c>
      <c r="M449" s="5" t="s">
        <v>43</v>
      </c>
      <c r="N449" s="5" t="s">
        <v>174</v>
      </c>
      <c r="O449" s="7">
        <v>3282.83</v>
      </c>
      <c r="P449" s="5" t="s">
        <v>45</v>
      </c>
      <c r="Q449" s="22"/>
      <c r="R449" s="8">
        <f t="shared" si="18"/>
        <v>3282.83</v>
      </c>
      <c r="S449" s="7">
        <v>3282.83</v>
      </c>
      <c r="T449" s="7"/>
      <c r="U449" s="7">
        <f t="shared" si="20"/>
        <v>3282.83</v>
      </c>
      <c r="V449" s="5" t="s">
        <v>45</v>
      </c>
      <c r="W449" s="7">
        <v>966.11</v>
      </c>
      <c r="X449" s="5" t="s">
        <v>46</v>
      </c>
      <c r="Z449" s="8">
        <f t="shared" si="19"/>
        <v>966.11</v>
      </c>
    </row>
    <row r="450" spans="1:26" x14ac:dyDescent="0.25">
      <c r="A450" s="5" t="s">
        <v>34</v>
      </c>
      <c r="B450" s="5" t="s">
        <v>177</v>
      </c>
      <c r="C450" s="5" t="s">
        <v>178</v>
      </c>
      <c r="D450" s="5" t="s">
        <v>37</v>
      </c>
      <c r="E450" s="5" t="s">
        <v>80</v>
      </c>
      <c r="F450" s="5" t="s">
        <v>81</v>
      </c>
      <c r="G450" s="5" t="s">
        <v>40</v>
      </c>
      <c r="H450" s="6">
        <v>45961</v>
      </c>
      <c r="I450" s="6">
        <v>45961</v>
      </c>
      <c r="J450" s="6">
        <v>45964</v>
      </c>
      <c r="K450" s="5" t="s">
        <v>172</v>
      </c>
      <c r="L450" s="5" t="s">
        <v>173</v>
      </c>
      <c r="M450" s="5" t="s">
        <v>43</v>
      </c>
      <c r="N450" s="5" t="s">
        <v>174</v>
      </c>
      <c r="O450" s="7">
        <v>2020.94</v>
      </c>
      <c r="P450" s="5" t="s">
        <v>45</v>
      </c>
      <c r="Q450" s="22"/>
      <c r="R450" s="8">
        <f t="shared" ref="R450:R513" si="21">+O450+Q450</f>
        <v>2020.94</v>
      </c>
      <c r="S450" s="7">
        <v>2020.94</v>
      </c>
      <c r="T450" s="7"/>
      <c r="U450" s="7">
        <f t="shared" si="20"/>
        <v>2020.94</v>
      </c>
      <c r="V450" s="5" t="s">
        <v>45</v>
      </c>
      <c r="W450" s="7">
        <v>594.74</v>
      </c>
      <c r="X450" s="5" t="s">
        <v>46</v>
      </c>
      <c r="Z450" s="8">
        <f t="shared" ref="Z450:Z513" si="22">+W450+Y450</f>
        <v>594.74</v>
      </c>
    </row>
    <row r="451" spans="1:26" x14ac:dyDescent="0.25">
      <c r="A451" s="5" t="s">
        <v>34</v>
      </c>
      <c r="B451" s="5" t="s">
        <v>177</v>
      </c>
      <c r="C451" s="5" t="s">
        <v>178</v>
      </c>
      <c r="D451" s="5" t="s">
        <v>37</v>
      </c>
      <c r="E451" s="5" t="s">
        <v>82</v>
      </c>
      <c r="F451" s="5" t="s">
        <v>83</v>
      </c>
      <c r="G451" s="5" t="s">
        <v>40</v>
      </c>
      <c r="H451" s="6">
        <v>45961</v>
      </c>
      <c r="I451" s="6">
        <v>45961</v>
      </c>
      <c r="J451" s="6">
        <v>45964</v>
      </c>
      <c r="K451" s="5" t="s">
        <v>172</v>
      </c>
      <c r="L451" s="5" t="s">
        <v>173</v>
      </c>
      <c r="M451" s="5" t="s">
        <v>43</v>
      </c>
      <c r="N451" s="5" t="s">
        <v>174</v>
      </c>
      <c r="O451" s="7">
        <v>8320.27</v>
      </c>
      <c r="P451" s="5" t="s">
        <v>45</v>
      </c>
      <c r="Q451" s="22"/>
      <c r="R451" s="8">
        <f t="shared" si="21"/>
        <v>8320.27</v>
      </c>
      <c r="S451" s="7">
        <v>8320.27</v>
      </c>
      <c r="T451" s="7"/>
      <c r="U451" s="7">
        <f t="shared" ref="U451:U514" si="23">+S451+T451</f>
        <v>8320.27</v>
      </c>
      <c r="V451" s="5" t="s">
        <v>45</v>
      </c>
      <c r="W451" s="7">
        <v>2448.58</v>
      </c>
      <c r="X451" s="5" t="s">
        <v>46</v>
      </c>
      <c r="Z451" s="8">
        <f t="shared" si="22"/>
        <v>2448.58</v>
      </c>
    </row>
    <row r="452" spans="1:26" x14ac:dyDescent="0.25">
      <c r="A452" s="5" t="s">
        <v>34</v>
      </c>
      <c r="B452" s="5" t="s">
        <v>177</v>
      </c>
      <c r="C452" s="5" t="s">
        <v>178</v>
      </c>
      <c r="D452" s="5" t="s">
        <v>37</v>
      </c>
      <c r="E452" s="5" t="s">
        <v>52</v>
      </c>
      <c r="F452" s="5" t="s">
        <v>53</v>
      </c>
      <c r="G452" s="5" t="s">
        <v>40</v>
      </c>
      <c r="H452" s="6">
        <v>45961</v>
      </c>
      <c r="I452" s="6">
        <v>45961</v>
      </c>
      <c r="J452" s="6">
        <v>45964</v>
      </c>
      <c r="K452" s="5" t="s">
        <v>172</v>
      </c>
      <c r="L452" s="5" t="s">
        <v>173</v>
      </c>
      <c r="M452" s="5" t="s">
        <v>43</v>
      </c>
      <c r="N452" s="5" t="s">
        <v>174</v>
      </c>
      <c r="O452" s="7">
        <v>461.66</v>
      </c>
      <c r="P452" s="5" t="s">
        <v>45</v>
      </c>
      <c r="Q452" s="22"/>
      <c r="R452" s="8">
        <f t="shared" si="21"/>
        <v>461.66</v>
      </c>
      <c r="S452" s="7">
        <v>461.66</v>
      </c>
      <c r="T452" s="7"/>
      <c r="U452" s="7">
        <f t="shared" si="23"/>
        <v>461.66</v>
      </c>
      <c r="V452" s="5" t="s">
        <v>45</v>
      </c>
      <c r="W452" s="7">
        <v>135.86000000000001</v>
      </c>
      <c r="X452" s="5" t="s">
        <v>46</v>
      </c>
      <c r="Z452" s="8">
        <f t="shared" si="22"/>
        <v>135.86000000000001</v>
      </c>
    </row>
    <row r="453" spans="1:26" x14ac:dyDescent="0.25">
      <c r="A453" s="5" t="s">
        <v>34</v>
      </c>
      <c r="B453" s="5" t="s">
        <v>177</v>
      </c>
      <c r="C453" s="5" t="s">
        <v>178</v>
      </c>
      <c r="D453" s="5" t="s">
        <v>37</v>
      </c>
      <c r="E453" s="5" t="s">
        <v>64</v>
      </c>
      <c r="F453" s="5" t="s">
        <v>65</v>
      </c>
      <c r="G453" s="5" t="s">
        <v>40</v>
      </c>
      <c r="H453" s="6">
        <v>45961</v>
      </c>
      <c r="I453" s="6">
        <v>45961</v>
      </c>
      <c r="J453" s="6">
        <v>45950</v>
      </c>
      <c r="K453" s="5" t="s">
        <v>132</v>
      </c>
      <c r="L453" s="5" t="s">
        <v>133</v>
      </c>
      <c r="M453" s="5" t="s">
        <v>43</v>
      </c>
      <c r="N453" s="5" t="s">
        <v>134</v>
      </c>
      <c r="O453" s="7">
        <v>-39.799999999999997</v>
      </c>
      <c r="P453" s="5" t="s">
        <v>45</v>
      </c>
      <c r="Q453" s="22"/>
      <c r="R453" s="8">
        <f t="shared" si="21"/>
        <v>-39.799999999999997</v>
      </c>
      <c r="S453" s="7">
        <v>-39.799999999999997</v>
      </c>
      <c r="T453" s="7"/>
      <c r="U453" s="7">
        <f t="shared" si="23"/>
        <v>-39.799999999999997</v>
      </c>
      <c r="V453" s="5" t="s">
        <v>45</v>
      </c>
      <c r="W453" s="7">
        <v>-11.74</v>
      </c>
      <c r="X453" s="5" t="s">
        <v>46</v>
      </c>
      <c r="Z453" s="8">
        <f t="shared" si="22"/>
        <v>-11.74</v>
      </c>
    </row>
    <row r="454" spans="1:26" x14ac:dyDescent="0.25">
      <c r="A454" s="5" t="s">
        <v>34</v>
      </c>
      <c r="B454" s="5" t="s">
        <v>177</v>
      </c>
      <c r="C454" s="5" t="s">
        <v>178</v>
      </c>
      <c r="D454" s="5" t="s">
        <v>37</v>
      </c>
      <c r="E454" s="5" t="s">
        <v>74</v>
      </c>
      <c r="F454" s="5" t="s">
        <v>75</v>
      </c>
      <c r="G454" s="5" t="s">
        <v>40</v>
      </c>
      <c r="H454" s="6">
        <v>45961</v>
      </c>
      <c r="I454" s="6">
        <v>45961</v>
      </c>
      <c r="J454" s="6">
        <v>45964</v>
      </c>
      <c r="K454" s="5" t="s">
        <v>172</v>
      </c>
      <c r="L454" s="5" t="s">
        <v>173</v>
      </c>
      <c r="M454" s="5" t="s">
        <v>43</v>
      </c>
      <c r="N454" s="5" t="s">
        <v>174</v>
      </c>
      <c r="O454" s="7">
        <v>80309.509999999995</v>
      </c>
      <c r="P454" s="5" t="s">
        <v>45</v>
      </c>
      <c r="Q454" s="22"/>
      <c r="R454" s="8">
        <f t="shared" si="21"/>
        <v>80309.509999999995</v>
      </c>
      <c r="S454" s="7">
        <v>80309.509999999995</v>
      </c>
      <c r="T454" s="7"/>
      <c r="U454" s="7">
        <f t="shared" si="23"/>
        <v>80309.509999999995</v>
      </c>
      <c r="V454" s="5" t="s">
        <v>45</v>
      </c>
      <c r="W454" s="7">
        <v>23634.35</v>
      </c>
      <c r="X454" s="5" t="s">
        <v>46</v>
      </c>
      <c r="Z454" s="8">
        <f t="shared" si="22"/>
        <v>23634.35</v>
      </c>
    </row>
    <row r="455" spans="1:26" x14ac:dyDescent="0.25">
      <c r="A455" s="5" t="s">
        <v>34</v>
      </c>
      <c r="B455" s="5" t="s">
        <v>177</v>
      </c>
      <c r="C455" s="5" t="s">
        <v>178</v>
      </c>
      <c r="D455" s="5" t="s">
        <v>37</v>
      </c>
      <c r="E455" s="5" t="s">
        <v>98</v>
      </c>
      <c r="F455" s="5" t="s">
        <v>99</v>
      </c>
      <c r="G455" s="5" t="s">
        <v>40</v>
      </c>
      <c r="H455" s="6">
        <v>45961</v>
      </c>
      <c r="I455" s="6">
        <v>45961</v>
      </c>
      <c r="J455" s="6">
        <v>45964</v>
      </c>
      <c r="K455" s="5" t="s">
        <v>172</v>
      </c>
      <c r="L455" s="5" t="s">
        <v>173</v>
      </c>
      <c r="M455" s="5" t="s">
        <v>43</v>
      </c>
      <c r="N455" s="5" t="s">
        <v>174</v>
      </c>
      <c r="O455" s="7">
        <v>382.17</v>
      </c>
      <c r="P455" s="5" t="s">
        <v>45</v>
      </c>
      <c r="Q455" s="22"/>
      <c r="R455" s="8">
        <f t="shared" si="21"/>
        <v>382.17</v>
      </c>
      <c r="S455" s="7">
        <v>382.17</v>
      </c>
      <c r="T455" s="7"/>
      <c r="U455" s="7">
        <f t="shared" si="23"/>
        <v>382.17</v>
      </c>
      <c r="V455" s="5" t="s">
        <v>45</v>
      </c>
      <c r="W455" s="7">
        <v>112.47</v>
      </c>
      <c r="X455" s="5" t="s">
        <v>46</v>
      </c>
      <c r="Z455" s="8">
        <f t="shared" si="22"/>
        <v>112.47</v>
      </c>
    </row>
    <row r="456" spans="1:26" x14ac:dyDescent="0.25">
      <c r="A456" s="5" t="s">
        <v>34</v>
      </c>
      <c r="B456" s="5" t="s">
        <v>177</v>
      </c>
      <c r="C456" s="5" t="s">
        <v>178</v>
      </c>
      <c r="D456" s="5" t="s">
        <v>37</v>
      </c>
      <c r="E456" s="5" t="s">
        <v>60</v>
      </c>
      <c r="F456" s="5" t="s">
        <v>61</v>
      </c>
      <c r="G456" s="5" t="s">
        <v>40</v>
      </c>
      <c r="H456" s="6">
        <v>45961</v>
      </c>
      <c r="I456" s="6">
        <v>45961</v>
      </c>
      <c r="J456" s="6">
        <v>45964</v>
      </c>
      <c r="K456" s="5" t="s">
        <v>172</v>
      </c>
      <c r="L456" s="5" t="s">
        <v>173</v>
      </c>
      <c r="M456" s="5" t="s">
        <v>43</v>
      </c>
      <c r="N456" s="5" t="s">
        <v>174</v>
      </c>
      <c r="O456" s="7">
        <v>13996.12</v>
      </c>
      <c r="P456" s="5" t="s">
        <v>45</v>
      </c>
      <c r="Q456" s="22"/>
      <c r="R456" s="8">
        <f t="shared" si="21"/>
        <v>13996.12</v>
      </c>
      <c r="S456" s="7">
        <v>13996.12</v>
      </c>
      <c r="T456" s="7"/>
      <c r="U456" s="7">
        <f t="shared" si="23"/>
        <v>13996.12</v>
      </c>
      <c r="V456" s="5" t="s">
        <v>45</v>
      </c>
      <c r="W456" s="7">
        <v>4118.93</v>
      </c>
      <c r="X456" s="5" t="s">
        <v>46</v>
      </c>
      <c r="Z456" s="8">
        <f t="shared" si="22"/>
        <v>4118.93</v>
      </c>
    </row>
    <row r="457" spans="1:26" x14ac:dyDescent="0.25">
      <c r="A457" s="5" t="s">
        <v>34</v>
      </c>
      <c r="B457" s="5" t="s">
        <v>177</v>
      </c>
      <c r="C457" s="5" t="s">
        <v>178</v>
      </c>
      <c r="D457" s="5" t="s">
        <v>37</v>
      </c>
      <c r="E457" s="5" t="s">
        <v>38</v>
      </c>
      <c r="F457" s="5" t="s">
        <v>39</v>
      </c>
      <c r="G457" s="5" t="s">
        <v>40</v>
      </c>
      <c r="H457" s="6">
        <v>45961</v>
      </c>
      <c r="I457" s="6">
        <v>45961</v>
      </c>
      <c r="J457" s="6">
        <v>45964</v>
      </c>
      <c r="K457" s="5" t="s">
        <v>172</v>
      </c>
      <c r="L457" s="5" t="s">
        <v>173</v>
      </c>
      <c r="M457" s="5" t="s">
        <v>43</v>
      </c>
      <c r="N457" s="5" t="s">
        <v>174</v>
      </c>
      <c r="O457" s="7">
        <v>3298.79</v>
      </c>
      <c r="P457" s="5" t="s">
        <v>45</v>
      </c>
      <c r="Q457" s="22"/>
      <c r="R457" s="8">
        <f t="shared" si="21"/>
        <v>3298.79</v>
      </c>
      <c r="S457" s="7">
        <v>3298.79</v>
      </c>
      <c r="T457" s="7"/>
      <c r="U457" s="7">
        <f t="shared" si="23"/>
        <v>3298.79</v>
      </c>
      <c r="V457" s="5" t="s">
        <v>45</v>
      </c>
      <c r="W457" s="7">
        <v>970.8</v>
      </c>
      <c r="X457" s="5" t="s">
        <v>46</v>
      </c>
      <c r="Z457" s="8">
        <f t="shared" si="22"/>
        <v>970.8</v>
      </c>
    </row>
    <row r="458" spans="1:26" x14ac:dyDescent="0.25">
      <c r="A458" s="5" t="s">
        <v>34</v>
      </c>
      <c r="B458" s="5" t="s">
        <v>177</v>
      </c>
      <c r="C458" s="5" t="s">
        <v>178</v>
      </c>
      <c r="D458" s="5" t="s">
        <v>37</v>
      </c>
      <c r="E458" s="5" t="s">
        <v>50</v>
      </c>
      <c r="F458" s="5" t="s">
        <v>51</v>
      </c>
      <c r="G458" s="5" t="s">
        <v>40</v>
      </c>
      <c r="H458" s="6">
        <v>45961</v>
      </c>
      <c r="I458" s="6">
        <v>45961</v>
      </c>
      <c r="J458" s="6">
        <v>45964</v>
      </c>
      <c r="K458" s="5" t="s">
        <v>172</v>
      </c>
      <c r="L458" s="5" t="s">
        <v>173</v>
      </c>
      <c r="M458" s="5" t="s">
        <v>43</v>
      </c>
      <c r="N458" s="5" t="s">
        <v>174</v>
      </c>
      <c r="O458" s="7">
        <v>-6931.39</v>
      </c>
      <c r="P458" s="5" t="s">
        <v>45</v>
      </c>
      <c r="Q458" s="22"/>
      <c r="R458" s="8">
        <f t="shared" si="21"/>
        <v>-6931.39</v>
      </c>
      <c r="S458" s="7">
        <v>-6931.39</v>
      </c>
      <c r="T458" s="7"/>
      <c r="U458" s="7">
        <f t="shared" si="23"/>
        <v>-6931.39</v>
      </c>
      <c r="V458" s="5" t="s">
        <v>45</v>
      </c>
      <c r="W458" s="7">
        <v>-2039.84</v>
      </c>
      <c r="X458" s="5" t="s">
        <v>46</v>
      </c>
      <c r="Z458" s="8">
        <f t="shared" si="22"/>
        <v>-2039.84</v>
      </c>
    </row>
    <row r="459" spans="1:26" x14ac:dyDescent="0.25">
      <c r="A459" s="5" t="s">
        <v>34</v>
      </c>
      <c r="B459" s="5" t="s">
        <v>177</v>
      </c>
      <c r="C459" s="5" t="s">
        <v>178</v>
      </c>
      <c r="D459" s="5" t="s">
        <v>37</v>
      </c>
      <c r="E459" s="5" t="s">
        <v>116</v>
      </c>
      <c r="F459" s="5" t="s">
        <v>117</v>
      </c>
      <c r="G459" s="5" t="s">
        <v>40</v>
      </c>
      <c r="H459" s="6">
        <v>45961</v>
      </c>
      <c r="I459" s="6">
        <v>45961</v>
      </c>
      <c r="J459" s="6">
        <v>45964</v>
      </c>
      <c r="K459" s="5" t="s">
        <v>172</v>
      </c>
      <c r="L459" s="5" t="s">
        <v>173</v>
      </c>
      <c r="M459" s="5" t="s">
        <v>43</v>
      </c>
      <c r="N459" s="5" t="s">
        <v>174</v>
      </c>
      <c r="O459" s="7">
        <v>-3060.29</v>
      </c>
      <c r="P459" s="5" t="s">
        <v>45</v>
      </c>
      <c r="Q459" s="22"/>
      <c r="R459" s="8">
        <f t="shared" si="21"/>
        <v>-3060.29</v>
      </c>
      <c r="S459" s="7">
        <v>-3060.29</v>
      </c>
      <c r="T459" s="7"/>
      <c r="U459" s="7">
        <f t="shared" si="23"/>
        <v>-3060.29</v>
      </c>
      <c r="V459" s="5" t="s">
        <v>45</v>
      </c>
      <c r="W459" s="7">
        <v>-900.62</v>
      </c>
      <c r="X459" s="5" t="s">
        <v>46</v>
      </c>
      <c r="Z459" s="8">
        <f t="shared" si="22"/>
        <v>-900.62</v>
      </c>
    </row>
    <row r="460" spans="1:26" x14ac:dyDescent="0.25">
      <c r="A460" s="5" t="s">
        <v>34</v>
      </c>
      <c r="B460" s="5" t="s">
        <v>177</v>
      </c>
      <c r="C460" s="5" t="s">
        <v>178</v>
      </c>
      <c r="D460" s="5" t="s">
        <v>37</v>
      </c>
      <c r="E460" s="5" t="s">
        <v>142</v>
      </c>
      <c r="F460" s="5" t="s">
        <v>143</v>
      </c>
      <c r="G460" s="5" t="s">
        <v>40</v>
      </c>
      <c r="H460" s="6">
        <v>45961</v>
      </c>
      <c r="I460" s="6">
        <v>45961</v>
      </c>
      <c r="J460" s="6">
        <v>45961</v>
      </c>
      <c r="K460" s="5" t="s">
        <v>144</v>
      </c>
      <c r="L460" s="5" t="s">
        <v>145</v>
      </c>
      <c r="M460" s="5" t="s">
        <v>43</v>
      </c>
      <c r="N460" s="5" t="s">
        <v>146</v>
      </c>
      <c r="O460" s="7">
        <v>85.42</v>
      </c>
      <c r="P460" s="5" t="s">
        <v>45</v>
      </c>
      <c r="Q460" s="22"/>
      <c r="R460" s="8">
        <f t="shared" si="21"/>
        <v>85.42</v>
      </c>
      <c r="S460" s="7">
        <v>85.42</v>
      </c>
      <c r="T460" s="7"/>
      <c r="U460" s="7">
        <f t="shared" si="23"/>
        <v>85.42</v>
      </c>
      <c r="V460" s="5" t="s">
        <v>45</v>
      </c>
      <c r="W460" s="7">
        <v>25.14</v>
      </c>
      <c r="X460" s="5" t="s">
        <v>46</v>
      </c>
      <c r="Z460" s="8">
        <f t="shared" si="22"/>
        <v>25.14</v>
      </c>
    </row>
    <row r="461" spans="1:26" x14ac:dyDescent="0.25">
      <c r="A461" s="5" t="s">
        <v>34</v>
      </c>
      <c r="B461" s="5" t="s">
        <v>177</v>
      </c>
      <c r="C461" s="5" t="s">
        <v>178</v>
      </c>
      <c r="D461" s="5" t="s">
        <v>37</v>
      </c>
      <c r="E461" s="5" t="s">
        <v>96</v>
      </c>
      <c r="F461" s="5" t="s">
        <v>97</v>
      </c>
      <c r="G461" s="5" t="s">
        <v>40</v>
      </c>
      <c r="H461" s="6">
        <v>45961</v>
      </c>
      <c r="I461" s="6">
        <v>45961</v>
      </c>
      <c r="J461" s="6">
        <v>45964</v>
      </c>
      <c r="K461" s="5" t="s">
        <v>147</v>
      </c>
      <c r="L461" s="5" t="s">
        <v>148</v>
      </c>
      <c r="M461" s="5" t="s">
        <v>43</v>
      </c>
      <c r="N461" s="5" t="s">
        <v>149</v>
      </c>
      <c r="O461" s="7">
        <v>-1473.98</v>
      </c>
      <c r="P461" s="5" t="s">
        <v>45</v>
      </c>
      <c r="Q461" s="22"/>
      <c r="R461" s="8">
        <f t="shared" si="21"/>
        <v>-1473.98</v>
      </c>
      <c r="S461" s="7">
        <v>-1473.98</v>
      </c>
      <c r="T461" s="7"/>
      <c r="U461" s="7">
        <f t="shared" si="23"/>
        <v>-1473.98</v>
      </c>
      <c r="V461" s="5" t="s">
        <v>45</v>
      </c>
      <c r="W461" s="7">
        <v>-433.78</v>
      </c>
      <c r="X461" s="5" t="s">
        <v>46</v>
      </c>
      <c r="Z461" s="8">
        <f t="shared" si="22"/>
        <v>-433.78</v>
      </c>
    </row>
    <row r="462" spans="1:26" x14ac:dyDescent="0.25">
      <c r="A462" s="5" t="s">
        <v>34</v>
      </c>
      <c r="B462" s="5" t="s">
        <v>177</v>
      </c>
      <c r="C462" s="5" t="s">
        <v>178</v>
      </c>
      <c r="D462" s="5" t="s">
        <v>37</v>
      </c>
      <c r="E462" s="5" t="s">
        <v>70</v>
      </c>
      <c r="F462" s="5" t="s">
        <v>71</v>
      </c>
      <c r="G462" s="5" t="s">
        <v>40</v>
      </c>
      <c r="H462" s="6">
        <v>45961</v>
      </c>
      <c r="I462" s="6">
        <v>45961</v>
      </c>
      <c r="J462" s="6">
        <v>45964</v>
      </c>
      <c r="K462" s="5" t="s">
        <v>172</v>
      </c>
      <c r="L462" s="5" t="s">
        <v>173</v>
      </c>
      <c r="M462" s="5" t="s">
        <v>43</v>
      </c>
      <c r="N462" s="5" t="s">
        <v>174</v>
      </c>
      <c r="O462" s="7">
        <v>958.25</v>
      </c>
      <c r="P462" s="5" t="s">
        <v>45</v>
      </c>
      <c r="Q462" s="22"/>
      <c r="R462" s="8">
        <f t="shared" si="21"/>
        <v>958.25</v>
      </c>
      <c r="S462" s="7">
        <v>958.25</v>
      </c>
      <c r="T462" s="7"/>
      <c r="U462" s="7">
        <f t="shared" si="23"/>
        <v>958.25</v>
      </c>
      <c r="V462" s="5" t="s">
        <v>45</v>
      </c>
      <c r="W462" s="7">
        <v>282</v>
      </c>
      <c r="X462" s="5" t="s">
        <v>46</v>
      </c>
      <c r="Z462" s="8">
        <f t="shared" si="22"/>
        <v>282</v>
      </c>
    </row>
    <row r="463" spans="1:26" x14ac:dyDescent="0.25">
      <c r="A463" s="5" t="s">
        <v>34</v>
      </c>
      <c r="B463" s="5" t="s">
        <v>177</v>
      </c>
      <c r="C463" s="5" t="s">
        <v>178</v>
      </c>
      <c r="D463" s="5" t="s">
        <v>37</v>
      </c>
      <c r="E463" s="5" t="s">
        <v>118</v>
      </c>
      <c r="F463" s="5" t="s">
        <v>119</v>
      </c>
      <c r="G463" s="5" t="s">
        <v>40</v>
      </c>
      <c r="H463" s="6">
        <v>45961</v>
      </c>
      <c r="I463" s="6">
        <v>45961</v>
      </c>
      <c r="J463" s="6">
        <v>45964</v>
      </c>
      <c r="K463" s="5" t="s">
        <v>172</v>
      </c>
      <c r="L463" s="5" t="s">
        <v>173</v>
      </c>
      <c r="M463" s="5" t="s">
        <v>43</v>
      </c>
      <c r="N463" s="5" t="s">
        <v>174</v>
      </c>
      <c r="O463" s="7">
        <v>7226.03</v>
      </c>
      <c r="P463" s="5" t="s">
        <v>45</v>
      </c>
      <c r="Q463" s="22"/>
      <c r="R463" s="8">
        <f t="shared" si="21"/>
        <v>7226.03</v>
      </c>
      <c r="S463" s="7">
        <v>7226.03</v>
      </c>
      <c r="T463" s="7"/>
      <c r="U463" s="7">
        <f t="shared" si="23"/>
        <v>7226.03</v>
      </c>
      <c r="V463" s="5" t="s">
        <v>45</v>
      </c>
      <c r="W463" s="7">
        <v>2126.5500000000002</v>
      </c>
      <c r="X463" s="5" t="s">
        <v>46</v>
      </c>
      <c r="Z463" s="8">
        <f t="shared" si="22"/>
        <v>2126.5500000000002</v>
      </c>
    </row>
    <row r="464" spans="1:26" x14ac:dyDescent="0.25">
      <c r="A464" s="5" t="s">
        <v>34</v>
      </c>
      <c r="B464" s="5" t="s">
        <v>177</v>
      </c>
      <c r="C464" s="5" t="s">
        <v>178</v>
      </c>
      <c r="D464" s="5" t="s">
        <v>37</v>
      </c>
      <c r="E464" s="5" t="s">
        <v>102</v>
      </c>
      <c r="F464" s="5" t="s">
        <v>103</v>
      </c>
      <c r="G464" s="5" t="s">
        <v>40</v>
      </c>
      <c r="H464" s="6">
        <v>45961</v>
      </c>
      <c r="I464" s="6">
        <v>45961</v>
      </c>
      <c r="J464" s="6">
        <v>45964</v>
      </c>
      <c r="K464" s="5" t="s">
        <v>172</v>
      </c>
      <c r="L464" s="5" t="s">
        <v>173</v>
      </c>
      <c r="M464" s="5" t="s">
        <v>43</v>
      </c>
      <c r="N464" s="5" t="s">
        <v>174</v>
      </c>
      <c r="O464" s="7">
        <v>11981.05</v>
      </c>
      <c r="P464" s="5" t="s">
        <v>45</v>
      </c>
      <c r="Q464" s="22"/>
      <c r="R464" s="8">
        <f t="shared" si="21"/>
        <v>11981.05</v>
      </c>
      <c r="S464" s="7">
        <v>11981.05</v>
      </c>
      <c r="T464" s="7"/>
      <c r="U464" s="7">
        <f t="shared" si="23"/>
        <v>11981.05</v>
      </c>
      <c r="V464" s="5" t="s">
        <v>45</v>
      </c>
      <c r="W464" s="7">
        <v>3525.91</v>
      </c>
      <c r="X464" s="5" t="s">
        <v>46</v>
      </c>
      <c r="Z464" s="8">
        <f t="shared" si="22"/>
        <v>3525.91</v>
      </c>
    </row>
    <row r="465" spans="1:26" x14ac:dyDescent="0.25">
      <c r="A465" s="5" t="s">
        <v>34</v>
      </c>
      <c r="B465" s="5" t="s">
        <v>177</v>
      </c>
      <c r="C465" s="5" t="s">
        <v>178</v>
      </c>
      <c r="D465" s="5" t="s">
        <v>37</v>
      </c>
      <c r="E465" s="5" t="s">
        <v>110</v>
      </c>
      <c r="F465" s="5" t="s">
        <v>111</v>
      </c>
      <c r="G465" s="5" t="s">
        <v>40</v>
      </c>
      <c r="H465" s="6">
        <v>45961</v>
      </c>
      <c r="I465" s="6">
        <v>45961</v>
      </c>
      <c r="J465" s="6">
        <v>45964</v>
      </c>
      <c r="K465" s="5" t="s">
        <v>172</v>
      </c>
      <c r="L465" s="5" t="s">
        <v>173</v>
      </c>
      <c r="M465" s="5" t="s">
        <v>43</v>
      </c>
      <c r="N465" s="5" t="s">
        <v>174</v>
      </c>
      <c r="O465" s="7">
        <v>-7222.63</v>
      </c>
      <c r="P465" s="5" t="s">
        <v>45</v>
      </c>
      <c r="Q465" s="22"/>
      <c r="R465" s="8">
        <f t="shared" si="21"/>
        <v>-7222.63</v>
      </c>
      <c r="S465" s="7">
        <v>-7222.63</v>
      </c>
      <c r="T465" s="7"/>
      <c r="U465" s="7">
        <f t="shared" si="23"/>
        <v>-7222.63</v>
      </c>
      <c r="V465" s="5" t="s">
        <v>45</v>
      </c>
      <c r="W465" s="7">
        <v>-2125.5500000000002</v>
      </c>
      <c r="X465" s="5" t="s">
        <v>46</v>
      </c>
      <c r="Z465" s="8">
        <f t="shared" si="22"/>
        <v>-2125.5500000000002</v>
      </c>
    </row>
    <row r="466" spans="1:26" x14ac:dyDescent="0.25">
      <c r="A466" s="5" t="s">
        <v>34</v>
      </c>
      <c r="B466" s="5" t="s">
        <v>177</v>
      </c>
      <c r="C466" s="5" t="s">
        <v>178</v>
      </c>
      <c r="D466" s="5" t="s">
        <v>37</v>
      </c>
      <c r="E466" s="5" t="s">
        <v>86</v>
      </c>
      <c r="F466" s="5" t="s">
        <v>87</v>
      </c>
      <c r="G466" s="5" t="s">
        <v>40</v>
      </c>
      <c r="H466" s="6">
        <v>45961</v>
      </c>
      <c r="I466" s="6">
        <v>45961</v>
      </c>
      <c r="J466" s="6">
        <v>45964</v>
      </c>
      <c r="K466" s="5" t="s">
        <v>172</v>
      </c>
      <c r="L466" s="5" t="s">
        <v>173</v>
      </c>
      <c r="M466" s="5" t="s">
        <v>43</v>
      </c>
      <c r="N466" s="5" t="s">
        <v>174</v>
      </c>
      <c r="O466" s="7">
        <v>8360.73</v>
      </c>
      <c r="P466" s="5" t="s">
        <v>45</v>
      </c>
      <c r="Q466" s="22"/>
      <c r="R466" s="8">
        <f t="shared" si="21"/>
        <v>8360.73</v>
      </c>
      <c r="S466" s="7">
        <v>8360.73</v>
      </c>
      <c r="T466" s="7"/>
      <c r="U466" s="7">
        <f t="shared" si="23"/>
        <v>8360.73</v>
      </c>
      <c r="V466" s="5" t="s">
        <v>45</v>
      </c>
      <c r="W466" s="7">
        <v>2460.4899999999998</v>
      </c>
      <c r="X466" s="5" t="s">
        <v>46</v>
      </c>
      <c r="Z466" s="8">
        <f t="shared" si="22"/>
        <v>2460.4899999999998</v>
      </c>
    </row>
    <row r="467" spans="1:26" x14ac:dyDescent="0.25">
      <c r="A467" s="5" t="s">
        <v>34</v>
      </c>
      <c r="B467" s="5" t="s">
        <v>177</v>
      </c>
      <c r="C467" s="5" t="s">
        <v>178</v>
      </c>
      <c r="D467" s="5" t="s">
        <v>37</v>
      </c>
      <c r="E467" s="5" t="s">
        <v>84</v>
      </c>
      <c r="F467" s="5" t="s">
        <v>85</v>
      </c>
      <c r="G467" s="5" t="s">
        <v>40</v>
      </c>
      <c r="H467" s="6">
        <v>45961</v>
      </c>
      <c r="I467" s="6">
        <v>45961</v>
      </c>
      <c r="J467" s="6">
        <v>45964</v>
      </c>
      <c r="K467" s="5" t="s">
        <v>172</v>
      </c>
      <c r="L467" s="5" t="s">
        <v>173</v>
      </c>
      <c r="M467" s="5" t="s">
        <v>43</v>
      </c>
      <c r="N467" s="5" t="s">
        <v>174</v>
      </c>
      <c r="O467" s="7">
        <v>1287.99</v>
      </c>
      <c r="P467" s="5" t="s">
        <v>45</v>
      </c>
      <c r="Q467" s="22"/>
      <c r="R467" s="8">
        <f t="shared" si="21"/>
        <v>1287.99</v>
      </c>
      <c r="S467" s="7">
        <v>1287.99</v>
      </c>
      <c r="T467" s="7"/>
      <c r="U467" s="7">
        <f t="shared" si="23"/>
        <v>1287.99</v>
      </c>
      <c r="V467" s="5" t="s">
        <v>45</v>
      </c>
      <c r="W467" s="7">
        <v>379.04</v>
      </c>
      <c r="X467" s="5" t="s">
        <v>46</v>
      </c>
      <c r="Z467" s="8">
        <f t="shared" si="22"/>
        <v>379.04</v>
      </c>
    </row>
    <row r="468" spans="1:26" x14ac:dyDescent="0.25">
      <c r="A468" s="5" t="s">
        <v>34</v>
      </c>
      <c r="B468" s="5" t="s">
        <v>177</v>
      </c>
      <c r="C468" s="5" t="s">
        <v>178</v>
      </c>
      <c r="D468" s="5" t="s">
        <v>37</v>
      </c>
      <c r="E468" s="5" t="s">
        <v>142</v>
      </c>
      <c r="F468" s="5" t="s">
        <v>143</v>
      </c>
      <c r="G468" s="5" t="s">
        <v>40</v>
      </c>
      <c r="H468" s="6">
        <v>45961</v>
      </c>
      <c r="I468" s="6">
        <v>45961</v>
      </c>
      <c r="J468" s="6">
        <v>45964</v>
      </c>
      <c r="K468" s="5" t="s">
        <v>172</v>
      </c>
      <c r="L468" s="5" t="s">
        <v>173</v>
      </c>
      <c r="M468" s="5" t="s">
        <v>43</v>
      </c>
      <c r="N468" s="5" t="s">
        <v>174</v>
      </c>
      <c r="O468" s="7">
        <v>372.58</v>
      </c>
      <c r="P468" s="5" t="s">
        <v>45</v>
      </c>
      <c r="Q468" s="22"/>
      <c r="R468" s="8">
        <f t="shared" si="21"/>
        <v>372.58</v>
      </c>
      <c r="S468" s="7">
        <v>372.58</v>
      </c>
      <c r="T468" s="7"/>
      <c r="U468" s="7">
        <f t="shared" si="23"/>
        <v>372.58</v>
      </c>
      <c r="V468" s="5" t="s">
        <v>45</v>
      </c>
      <c r="W468" s="7">
        <v>109.65</v>
      </c>
      <c r="X468" s="5" t="s">
        <v>46</v>
      </c>
      <c r="Z468" s="8">
        <f t="shared" si="22"/>
        <v>109.65</v>
      </c>
    </row>
    <row r="469" spans="1:26" x14ac:dyDescent="0.25">
      <c r="A469" s="5" t="s">
        <v>34</v>
      </c>
      <c r="B469" s="5" t="s">
        <v>177</v>
      </c>
      <c r="C469" s="5" t="s">
        <v>178</v>
      </c>
      <c r="D469" s="5" t="s">
        <v>37</v>
      </c>
      <c r="E469" s="5" t="s">
        <v>58</v>
      </c>
      <c r="F469" s="5" t="s">
        <v>59</v>
      </c>
      <c r="G469" s="5" t="s">
        <v>40</v>
      </c>
      <c r="H469" s="6">
        <v>45961</v>
      </c>
      <c r="I469" s="6">
        <v>45961</v>
      </c>
      <c r="J469" s="6">
        <v>45964</v>
      </c>
      <c r="K469" s="5" t="s">
        <v>172</v>
      </c>
      <c r="L469" s="5" t="s">
        <v>173</v>
      </c>
      <c r="M469" s="5" t="s">
        <v>43</v>
      </c>
      <c r="N469" s="5" t="s">
        <v>174</v>
      </c>
      <c r="O469" s="7">
        <v>250.26</v>
      </c>
      <c r="P469" s="5" t="s">
        <v>45</v>
      </c>
      <c r="Q469" s="22"/>
      <c r="R469" s="8">
        <f t="shared" si="21"/>
        <v>250.26</v>
      </c>
      <c r="S469" s="7">
        <v>250.26</v>
      </c>
      <c r="T469" s="7"/>
      <c r="U469" s="7">
        <f t="shared" si="23"/>
        <v>250.26</v>
      </c>
      <c r="V469" s="5" t="s">
        <v>45</v>
      </c>
      <c r="W469" s="7">
        <v>73.650000000000006</v>
      </c>
      <c r="X469" s="5" t="s">
        <v>46</v>
      </c>
      <c r="Z469" s="8">
        <f t="shared" si="22"/>
        <v>73.650000000000006</v>
      </c>
    </row>
    <row r="470" spans="1:26" x14ac:dyDescent="0.25">
      <c r="A470" s="5" t="s">
        <v>34</v>
      </c>
      <c r="B470" s="5" t="s">
        <v>177</v>
      </c>
      <c r="C470" s="5" t="s">
        <v>178</v>
      </c>
      <c r="D470" s="5" t="s">
        <v>37</v>
      </c>
      <c r="E470" s="5" t="s">
        <v>122</v>
      </c>
      <c r="F470" s="5" t="s">
        <v>123</v>
      </c>
      <c r="G470" s="5" t="s">
        <v>40</v>
      </c>
      <c r="H470" s="6">
        <v>45961</v>
      </c>
      <c r="I470" s="6">
        <v>45961</v>
      </c>
      <c r="J470" s="6">
        <v>45964</v>
      </c>
      <c r="K470" s="5" t="s">
        <v>172</v>
      </c>
      <c r="L470" s="5" t="s">
        <v>173</v>
      </c>
      <c r="M470" s="5" t="s">
        <v>43</v>
      </c>
      <c r="N470" s="5" t="s">
        <v>174</v>
      </c>
      <c r="O470" s="7">
        <v>-520.74</v>
      </c>
      <c r="P470" s="5" t="s">
        <v>45</v>
      </c>
      <c r="Q470" s="22"/>
      <c r="R470" s="8">
        <f t="shared" si="21"/>
        <v>-520.74</v>
      </c>
      <c r="S470" s="7">
        <v>-520.74</v>
      </c>
      <c r="T470" s="7"/>
      <c r="U470" s="7">
        <f t="shared" si="23"/>
        <v>-520.74</v>
      </c>
      <c r="V470" s="5" t="s">
        <v>45</v>
      </c>
      <c r="W470" s="7">
        <v>-153.25</v>
      </c>
      <c r="X470" s="5" t="s">
        <v>46</v>
      </c>
      <c r="Z470" s="8">
        <f t="shared" si="22"/>
        <v>-153.25</v>
      </c>
    </row>
    <row r="471" spans="1:26" x14ac:dyDescent="0.25">
      <c r="A471" s="5" t="s">
        <v>34</v>
      </c>
      <c r="B471" s="5" t="s">
        <v>177</v>
      </c>
      <c r="C471" s="5" t="s">
        <v>178</v>
      </c>
      <c r="D471" s="5" t="s">
        <v>37</v>
      </c>
      <c r="E471" s="5" t="s">
        <v>92</v>
      </c>
      <c r="F471" s="5" t="s">
        <v>93</v>
      </c>
      <c r="G471" s="5" t="s">
        <v>40</v>
      </c>
      <c r="H471" s="6">
        <v>45961</v>
      </c>
      <c r="I471" s="6">
        <v>45961</v>
      </c>
      <c r="J471" s="6">
        <v>45964</v>
      </c>
      <c r="K471" s="5" t="s">
        <v>172</v>
      </c>
      <c r="L471" s="5" t="s">
        <v>173</v>
      </c>
      <c r="M471" s="5" t="s">
        <v>43</v>
      </c>
      <c r="N471" s="5" t="s">
        <v>174</v>
      </c>
      <c r="O471" s="7">
        <v>994.82</v>
      </c>
      <c r="P471" s="5" t="s">
        <v>45</v>
      </c>
      <c r="Q471" s="22"/>
      <c r="R471" s="8">
        <f t="shared" si="21"/>
        <v>994.82</v>
      </c>
      <c r="S471" s="7">
        <v>994.82</v>
      </c>
      <c r="T471" s="7"/>
      <c r="U471" s="7">
        <f t="shared" si="23"/>
        <v>994.82</v>
      </c>
      <c r="V471" s="5" t="s">
        <v>45</v>
      </c>
      <c r="W471" s="7">
        <v>292.77</v>
      </c>
      <c r="X471" s="5" t="s">
        <v>46</v>
      </c>
      <c r="Z471" s="8">
        <f t="shared" si="22"/>
        <v>292.77</v>
      </c>
    </row>
    <row r="472" spans="1:26" x14ac:dyDescent="0.25">
      <c r="A472" s="5" t="s">
        <v>34</v>
      </c>
      <c r="B472" s="5" t="s">
        <v>177</v>
      </c>
      <c r="C472" s="5" t="s">
        <v>178</v>
      </c>
      <c r="D472" s="5" t="s">
        <v>37</v>
      </c>
      <c r="E472" s="5" t="s">
        <v>110</v>
      </c>
      <c r="F472" s="5" t="s">
        <v>111</v>
      </c>
      <c r="G472" s="5" t="s">
        <v>40</v>
      </c>
      <c r="H472" s="6">
        <v>45961</v>
      </c>
      <c r="I472" s="6">
        <v>45961</v>
      </c>
      <c r="J472" s="6">
        <v>45960</v>
      </c>
      <c r="K472" s="5" t="s">
        <v>150</v>
      </c>
      <c r="L472" s="5" t="s">
        <v>151</v>
      </c>
      <c r="M472" s="5" t="s">
        <v>43</v>
      </c>
      <c r="N472" s="5" t="s">
        <v>152</v>
      </c>
      <c r="O472" s="7">
        <v>188.19</v>
      </c>
      <c r="P472" s="5" t="s">
        <v>45</v>
      </c>
      <c r="Q472" s="22"/>
      <c r="R472" s="8">
        <f t="shared" si="21"/>
        <v>188.19</v>
      </c>
      <c r="S472" s="7">
        <v>188.19</v>
      </c>
      <c r="T472" s="7"/>
      <c r="U472" s="7">
        <f t="shared" si="23"/>
        <v>188.19</v>
      </c>
      <c r="V472" s="5" t="s">
        <v>45</v>
      </c>
      <c r="W472" s="7">
        <v>55.45</v>
      </c>
      <c r="X472" s="5" t="s">
        <v>46</v>
      </c>
      <c r="Z472" s="8">
        <f t="shared" si="22"/>
        <v>55.45</v>
      </c>
    </row>
    <row r="473" spans="1:26" x14ac:dyDescent="0.25">
      <c r="A473" s="5" t="s">
        <v>34</v>
      </c>
      <c r="B473" s="5" t="s">
        <v>177</v>
      </c>
      <c r="C473" s="5" t="s">
        <v>178</v>
      </c>
      <c r="D473" s="5" t="s">
        <v>37</v>
      </c>
      <c r="E473" s="5" t="s">
        <v>96</v>
      </c>
      <c r="F473" s="5" t="s">
        <v>97</v>
      </c>
      <c r="G473" s="5" t="s">
        <v>40</v>
      </c>
      <c r="H473" s="6">
        <v>45961</v>
      </c>
      <c r="I473" s="6">
        <v>45961</v>
      </c>
      <c r="J473" s="6">
        <v>45964</v>
      </c>
      <c r="K473" s="5" t="s">
        <v>172</v>
      </c>
      <c r="L473" s="5" t="s">
        <v>173</v>
      </c>
      <c r="M473" s="5" t="s">
        <v>43</v>
      </c>
      <c r="N473" s="5" t="s">
        <v>174</v>
      </c>
      <c r="O473" s="7">
        <v>-9118.2099999999991</v>
      </c>
      <c r="P473" s="5" t="s">
        <v>45</v>
      </c>
      <c r="Q473" s="22"/>
      <c r="R473" s="8">
        <f t="shared" si="21"/>
        <v>-9118.2099999999991</v>
      </c>
      <c r="S473" s="7">
        <v>-9118.2099999999991</v>
      </c>
      <c r="T473" s="7"/>
      <c r="U473" s="7">
        <f t="shared" si="23"/>
        <v>-9118.2099999999991</v>
      </c>
      <c r="V473" s="5" t="s">
        <v>45</v>
      </c>
      <c r="W473" s="7">
        <v>-2683.4</v>
      </c>
      <c r="X473" s="5" t="s">
        <v>46</v>
      </c>
      <c r="Z473" s="8">
        <f t="shared" si="22"/>
        <v>-2683.4</v>
      </c>
    </row>
    <row r="474" spans="1:26" x14ac:dyDescent="0.25">
      <c r="A474" s="5" t="s">
        <v>34</v>
      </c>
      <c r="B474" s="5" t="s">
        <v>179</v>
      </c>
      <c r="C474" s="5" t="s">
        <v>180</v>
      </c>
      <c r="D474" s="5" t="s">
        <v>37</v>
      </c>
      <c r="E474" s="5" t="s">
        <v>54</v>
      </c>
      <c r="F474" s="5" t="s">
        <v>55</v>
      </c>
      <c r="G474" s="5" t="s">
        <v>40</v>
      </c>
      <c r="H474" s="6">
        <v>45961</v>
      </c>
      <c r="I474" s="6">
        <v>45961</v>
      </c>
      <c r="J474" s="6">
        <v>45964</v>
      </c>
      <c r="K474" s="5" t="s">
        <v>41</v>
      </c>
      <c r="L474" s="5" t="s">
        <v>42</v>
      </c>
      <c r="M474" s="5" t="s">
        <v>43</v>
      </c>
      <c r="N474" s="5" t="s">
        <v>44</v>
      </c>
      <c r="O474" s="7">
        <v>146.07</v>
      </c>
      <c r="P474" s="5" t="s">
        <v>45</v>
      </c>
      <c r="Q474" s="22"/>
      <c r="R474" s="8">
        <f t="shared" si="21"/>
        <v>146.07</v>
      </c>
      <c r="S474" s="7">
        <v>146.07</v>
      </c>
      <c r="T474" s="7"/>
      <c r="U474" s="7">
        <f t="shared" si="23"/>
        <v>146.07</v>
      </c>
      <c r="V474" s="5" t="s">
        <v>45</v>
      </c>
      <c r="W474" s="7">
        <v>42.99</v>
      </c>
      <c r="X474" s="5" t="s">
        <v>46</v>
      </c>
      <c r="Z474" s="8">
        <f t="shared" si="22"/>
        <v>42.99</v>
      </c>
    </row>
    <row r="475" spans="1:26" x14ac:dyDescent="0.25">
      <c r="A475" s="5" t="s">
        <v>34</v>
      </c>
      <c r="B475" s="5" t="s">
        <v>179</v>
      </c>
      <c r="C475" s="5" t="s">
        <v>180</v>
      </c>
      <c r="D475" s="5" t="s">
        <v>37</v>
      </c>
      <c r="E475" s="5" t="s">
        <v>110</v>
      </c>
      <c r="F475" s="5" t="s">
        <v>111</v>
      </c>
      <c r="G475" s="5" t="s">
        <v>40</v>
      </c>
      <c r="H475" s="6">
        <v>45961</v>
      </c>
      <c r="I475" s="6">
        <v>45961</v>
      </c>
      <c r="J475" s="6">
        <v>45964</v>
      </c>
      <c r="K475" s="5" t="s">
        <v>41</v>
      </c>
      <c r="L475" s="5" t="s">
        <v>42</v>
      </c>
      <c r="M475" s="5" t="s">
        <v>43</v>
      </c>
      <c r="N475" s="5" t="s">
        <v>44</v>
      </c>
      <c r="O475" s="7">
        <v>198.07</v>
      </c>
      <c r="P475" s="5" t="s">
        <v>45</v>
      </c>
      <c r="Q475" s="22"/>
      <c r="R475" s="8">
        <f t="shared" si="21"/>
        <v>198.07</v>
      </c>
      <c r="S475" s="7">
        <v>198.07</v>
      </c>
      <c r="T475" s="7"/>
      <c r="U475" s="7">
        <f t="shared" si="23"/>
        <v>198.07</v>
      </c>
      <c r="V475" s="5" t="s">
        <v>45</v>
      </c>
      <c r="W475" s="7">
        <v>58.29</v>
      </c>
      <c r="X475" s="5" t="s">
        <v>46</v>
      </c>
      <c r="Z475" s="8">
        <f t="shared" si="22"/>
        <v>58.29</v>
      </c>
    </row>
    <row r="476" spans="1:26" x14ac:dyDescent="0.25">
      <c r="A476" s="5" t="s">
        <v>34</v>
      </c>
      <c r="B476" s="5" t="s">
        <v>179</v>
      </c>
      <c r="C476" s="5" t="s">
        <v>180</v>
      </c>
      <c r="D476" s="5" t="s">
        <v>37</v>
      </c>
      <c r="E476" s="5" t="s">
        <v>96</v>
      </c>
      <c r="F476" s="5" t="s">
        <v>97</v>
      </c>
      <c r="G476" s="5" t="s">
        <v>40</v>
      </c>
      <c r="H476" s="6">
        <v>45961</v>
      </c>
      <c r="I476" s="6">
        <v>45961</v>
      </c>
      <c r="J476" s="6">
        <v>45964</v>
      </c>
      <c r="K476" s="5" t="s">
        <v>41</v>
      </c>
      <c r="L476" s="5" t="s">
        <v>42</v>
      </c>
      <c r="M476" s="5" t="s">
        <v>43</v>
      </c>
      <c r="N476" s="5" t="s">
        <v>44</v>
      </c>
      <c r="O476" s="7">
        <v>198.35</v>
      </c>
      <c r="P476" s="5" t="s">
        <v>45</v>
      </c>
      <c r="Q476" s="22"/>
      <c r="R476" s="8">
        <f t="shared" si="21"/>
        <v>198.35</v>
      </c>
      <c r="S476" s="7">
        <v>198.35</v>
      </c>
      <c r="T476" s="7"/>
      <c r="U476" s="7">
        <f t="shared" si="23"/>
        <v>198.35</v>
      </c>
      <c r="V476" s="5" t="s">
        <v>45</v>
      </c>
      <c r="W476" s="7">
        <v>58.37</v>
      </c>
      <c r="X476" s="5" t="s">
        <v>46</v>
      </c>
      <c r="Z476" s="8">
        <f t="shared" si="22"/>
        <v>58.37</v>
      </c>
    </row>
    <row r="477" spans="1:26" x14ac:dyDescent="0.25">
      <c r="A477" s="5" t="s">
        <v>34</v>
      </c>
      <c r="B477" s="5" t="s">
        <v>179</v>
      </c>
      <c r="C477" s="5" t="s">
        <v>180</v>
      </c>
      <c r="D477" s="5" t="s">
        <v>37</v>
      </c>
      <c r="E477" s="5" t="s">
        <v>74</v>
      </c>
      <c r="F477" s="5" t="s">
        <v>75</v>
      </c>
      <c r="G477" s="5" t="s">
        <v>40</v>
      </c>
      <c r="H477" s="6">
        <v>45961</v>
      </c>
      <c r="I477" s="6">
        <v>45961</v>
      </c>
      <c r="J477" s="6">
        <v>45964</v>
      </c>
      <c r="K477" s="5" t="s">
        <v>41</v>
      </c>
      <c r="L477" s="5" t="s">
        <v>42</v>
      </c>
      <c r="M477" s="5" t="s">
        <v>43</v>
      </c>
      <c r="N477" s="5" t="s">
        <v>44</v>
      </c>
      <c r="O477" s="7">
        <v>241.65</v>
      </c>
      <c r="P477" s="5" t="s">
        <v>45</v>
      </c>
      <c r="Q477" s="22"/>
      <c r="R477" s="8">
        <f t="shared" si="21"/>
        <v>241.65</v>
      </c>
      <c r="S477" s="7">
        <v>241.65</v>
      </c>
      <c r="T477" s="7"/>
      <c r="U477" s="7">
        <f t="shared" si="23"/>
        <v>241.65</v>
      </c>
      <c r="V477" s="5" t="s">
        <v>45</v>
      </c>
      <c r="W477" s="7">
        <v>71.12</v>
      </c>
      <c r="X477" s="5" t="s">
        <v>46</v>
      </c>
      <c r="Z477" s="8">
        <f t="shared" si="22"/>
        <v>71.12</v>
      </c>
    </row>
    <row r="478" spans="1:26" x14ac:dyDescent="0.25">
      <c r="A478" s="5" t="s">
        <v>34</v>
      </c>
      <c r="B478" s="5" t="s">
        <v>179</v>
      </c>
      <c r="C478" s="5" t="s">
        <v>180</v>
      </c>
      <c r="D478" s="5" t="s">
        <v>37</v>
      </c>
      <c r="E478" s="5" t="s">
        <v>88</v>
      </c>
      <c r="F478" s="5" t="s">
        <v>89</v>
      </c>
      <c r="G478" s="5" t="s">
        <v>40</v>
      </c>
      <c r="H478" s="6">
        <v>45961</v>
      </c>
      <c r="I478" s="6">
        <v>45961</v>
      </c>
      <c r="J478" s="6">
        <v>45964</v>
      </c>
      <c r="K478" s="5" t="s">
        <v>41</v>
      </c>
      <c r="L478" s="5" t="s">
        <v>42</v>
      </c>
      <c r="M478" s="5" t="s">
        <v>43</v>
      </c>
      <c r="N478" s="5" t="s">
        <v>44</v>
      </c>
      <c r="O478" s="7">
        <v>198.35</v>
      </c>
      <c r="P478" s="5" t="s">
        <v>45</v>
      </c>
      <c r="Q478" s="22"/>
      <c r="R478" s="8">
        <f t="shared" si="21"/>
        <v>198.35</v>
      </c>
      <c r="S478" s="7">
        <v>198.35</v>
      </c>
      <c r="T478" s="7"/>
      <c r="U478" s="7">
        <f t="shared" si="23"/>
        <v>198.35</v>
      </c>
      <c r="V478" s="5" t="s">
        <v>45</v>
      </c>
      <c r="W478" s="7">
        <v>58.37</v>
      </c>
      <c r="X478" s="5" t="s">
        <v>46</v>
      </c>
      <c r="Z478" s="8">
        <f t="shared" si="22"/>
        <v>58.37</v>
      </c>
    </row>
    <row r="479" spans="1:26" x14ac:dyDescent="0.25">
      <c r="A479" s="5" t="s">
        <v>34</v>
      </c>
      <c r="B479" s="5" t="s">
        <v>179</v>
      </c>
      <c r="C479" s="5" t="s">
        <v>180</v>
      </c>
      <c r="D479" s="5" t="s">
        <v>37</v>
      </c>
      <c r="E479" s="5" t="s">
        <v>102</v>
      </c>
      <c r="F479" s="5" t="s">
        <v>103</v>
      </c>
      <c r="G479" s="5" t="s">
        <v>40</v>
      </c>
      <c r="H479" s="6">
        <v>45961</v>
      </c>
      <c r="I479" s="6">
        <v>45961</v>
      </c>
      <c r="J479" s="6">
        <v>45964</v>
      </c>
      <c r="K479" s="5" t="s">
        <v>41</v>
      </c>
      <c r="L479" s="5" t="s">
        <v>42</v>
      </c>
      <c r="M479" s="5" t="s">
        <v>43</v>
      </c>
      <c r="N479" s="5" t="s">
        <v>44</v>
      </c>
      <c r="O479" s="7">
        <v>249.63</v>
      </c>
      <c r="P479" s="5" t="s">
        <v>45</v>
      </c>
      <c r="Q479" s="22"/>
      <c r="R479" s="8">
        <f t="shared" si="21"/>
        <v>249.63</v>
      </c>
      <c r="S479" s="7">
        <v>249.63</v>
      </c>
      <c r="T479" s="7"/>
      <c r="U479" s="7">
        <f t="shared" si="23"/>
        <v>249.63</v>
      </c>
      <c r="V479" s="5" t="s">
        <v>45</v>
      </c>
      <c r="W479" s="7">
        <v>73.459999999999994</v>
      </c>
      <c r="X479" s="5" t="s">
        <v>46</v>
      </c>
      <c r="Z479" s="8">
        <f t="shared" si="22"/>
        <v>73.459999999999994</v>
      </c>
    </row>
    <row r="480" spans="1:26" x14ac:dyDescent="0.25">
      <c r="A480" s="5" t="s">
        <v>34</v>
      </c>
      <c r="B480" s="5" t="s">
        <v>179</v>
      </c>
      <c r="C480" s="5" t="s">
        <v>180</v>
      </c>
      <c r="D480" s="5" t="s">
        <v>37</v>
      </c>
      <c r="E480" s="5" t="s">
        <v>100</v>
      </c>
      <c r="F480" s="5" t="s">
        <v>101</v>
      </c>
      <c r="G480" s="5" t="s">
        <v>40</v>
      </c>
      <c r="H480" s="6">
        <v>45961</v>
      </c>
      <c r="I480" s="6">
        <v>45961</v>
      </c>
      <c r="J480" s="6">
        <v>45964</v>
      </c>
      <c r="K480" s="5" t="s">
        <v>41</v>
      </c>
      <c r="L480" s="5" t="s">
        <v>42</v>
      </c>
      <c r="M480" s="5" t="s">
        <v>43</v>
      </c>
      <c r="N480" s="5" t="s">
        <v>44</v>
      </c>
      <c r="O480" s="7">
        <v>183.67</v>
      </c>
      <c r="P480" s="5" t="s">
        <v>45</v>
      </c>
      <c r="Q480" s="22"/>
      <c r="R480" s="8">
        <f t="shared" si="21"/>
        <v>183.67</v>
      </c>
      <c r="S480" s="7">
        <v>183.67</v>
      </c>
      <c r="T480" s="7"/>
      <c r="U480" s="7">
        <f t="shared" si="23"/>
        <v>183.67</v>
      </c>
      <c r="V480" s="5" t="s">
        <v>45</v>
      </c>
      <c r="W480" s="7">
        <v>54.05</v>
      </c>
      <c r="X480" s="5" t="s">
        <v>46</v>
      </c>
      <c r="Z480" s="8">
        <f t="shared" si="22"/>
        <v>54.05</v>
      </c>
    </row>
    <row r="481" spans="1:26" x14ac:dyDescent="0.25">
      <c r="A481" s="5" t="s">
        <v>34</v>
      </c>
      <c r="B481" s="5" t="s">
        <v>179</v>
      </c>
      <c r="C481" s="5" t="s">
        <v>180</v>
      </c>
      <c r="D481" s="5" t="s">
        <v>37</v>
      </c>
      <c r="E481" s="5" t="s">
        <v>62</v>
      </c>
      <c r="F481" s="5" t="s">
        <v>63</v>
      </c>
      <c r="G481" s="5" t="s">
        <v>40</v>
      </c>
      <c r="H481" s="6">
        <v>45961</v>
      </c>
      <c r="I481" s="6">
        <v>45961</v>
      </c>
      <c r="J481" s="6">
        <v>45964</v>
      </c>
      <c r="K481" s="5" t="s">
        <v>41</v>
      </c>
      <c r="L481" s="5" t="s">
        <v>42</v>
      </c>
      <c r="M481" s="5" t="s">
        <v>43</v>
      </c>
      <c r="N481" s="5" t="s">
        <v>44</v>
      </c>
      <c r="O481" s="7">
        <v>310.95</v>
      </c>
      <c r="P481" s="5" t="s">
        <v>45</v>
      </c>
      <c r="Q481" s="22"/>
      <c r="R481" s="8">
        <f t="shared" si="21"/>
        <v>310.95</v>
      </c>
      <c r="S481" s="7">
        <v>310.95</v>
      </c>
      <c r="T481" s="7"/>
      <c r="U481" s="7">
        <f t="shared" si="23"/>
        <v>310.95</v>
      </c>
      <c r="V481" s="5" t="s">
        <v>45</v>
      </c>
      <c r="W481" s="7">
        <v>91.51</v>
      </c>
      <c r="X481" s="5" t="s">
        <v>46</v>
      </c>
      <c r="Z481" s="8">
        <f t="shared" si="22"/>
        <v>91.51</v>
      </c>
    </row>
    <row r="482" spans="1:26" x14ac:dyDescent="0.25">
      <c r="A482" s="5" t="s">
        <v>34</v>
      </c>
      <c r="B482" s="5" t="s">
        <v>179</v>
      </c>
      <c r="C482" s="5" t="s">
        <v>180</v>
      </c>
      <c r="D482" s="5" t="s">
        <v>37</v>
      </c>
      <c r="E482" s="5" t="s">
        <v>68</v>
      </c>
      <c r="F482" s="5" t="s">
        <v>69</v>
      </c>
      <c r="G482" s="5" t="s">
        <v>40</v>
      </c>
      <c r="H482" s="6">
        <v>45961</v>
      </c>
      <c r="I482" s="6">
        <v>45961</v>
      </c>
      <c r="J482" s="6">
        <v>45964</v>
      </c>
      <c r="K482" s="5" t="s">
        <v>41</v>
      </c>
      <c r="L482" s="5" t="s">
        <v>42</v>
      </c>
      <c r="M482" s="5" t="s">
        <v>43</v>
      </c>
      <c r="N482" s="5" t="s">
        <v>44</v>
      </c>
      <c r="O482" s="7">
        <v>99.17</v>
      </c>
      <c r="P482" s="5" t="s">
        <v>45</v>
      </c>
      <c r="Q482" s="22"/>
      <c r="R482" s="8">
        <f t="shared" si="21"/>
        <v>99.17</v>
      </c>
      <c r="S482" s="7">
        <v>99.17</v>
      </c>
      <c r="T482" s="7"/>
      <c r="U482" s="7">
        <f t="shared" si="23"/>
        <v>99.17</v>
      </c>
      <c r="V482" s="5" t="s">
        <v>45</v>
      </c>
      <c r="W482" s="7">
        <v>29.18</v>
      </c>
      <c r="X482" s="5" t="s">
        <v>46</v>
      </c>
      <c r="Z482" s="8">
        <f t="shared" si="22"/>
        <v>29.18</v>
      </c>
    </row>
    <row r="483" spans="1:26" x14ac:dyDescent="0.25">
      <c r="A483" s="5" t="s">
        <v>34</v>
      </c>
      <c r="B483" s="5" t="s">
        <v>179</v>
      </c>
      <c r="C483" s="5" t="s">
        <v>180</v>
      </c>
      <c r="D483" s="5" t="s">
        <v>37</v>
      </c>
      <c r="E483" s="5" t="s">
        <v>58</v>
      </c>
      <c r="F483" s="5" t="s">
        <v>59</v>
      </c>
      <c r="G483" s="5" t="s">
        <v>40</v>
      </c>
      <c r="H483" s="6">
        <v>45961</v>
      </c>
      <c r="I483" s="6">
        <v>45961</v>
      </c>
      <c r="J483" s="6">
        <v>45964</v>
      </c>
      <c r="K483" s="5" t="s">
        <v>41</v>
      </c>
      <c r="L483" s="5" t="s">
        <v>42</v>
      </c>
      <c r="M483" s="5" t="s">
        <v>43</v>
      </c>
      <c r="N483" s="5" t="s">
        <v>44</v>
      </c>
      <c r="O483" s="7">
        <v>300.74</v>
      </c>
      <c r="P483" s="5" t="s">
        <v>45</v>
      </c>
      <c r="Q483" s="22"/>
      <c r="R483" s="8">
        <f t="shared" si="21"/>
        <v>300.74</v>
      </c>
      <c r="S483" s="7">
        <v>300.74</v>
      </c>
      <c r="T483" s="7"/>
      <c r="U483" s="7">
        <f t="shared" si="23"/>
        <v>300.74</v>
      </c>
      <c r="V483" s="5" t="s">
        <v>45</v>
      </c>
      <c r="W483" s="7">
        <v>88.51</v>
      </c>
      <c r="X483" s="5" t="s">
        <v>46</v>
      </c>
      <c r="Z483" s="8">
        <f t="shared" si="22"/>
        <v>88.51</v>
      </c>
    </row>
    <row r="484" spans="1:26" x14ac:dyDescent="0.25">
      <c r="A484" s="5" t="s">
        <v>34</v>
      </c>
      <c r="B484" s="5" t="s">
        <v>181</v>
      </c>
      <c r="C484" s="5" t="s">
        <v>182</v>
      </c>
      <c r="D484" s="5" t="s">
        <v>37</v>
      </c>
      <c r="E484" s="5" t="s">
        <v>68</v>
      </c>
      <c r="F484" s="5" t="s">
        <v>69</v>
      </c>
      <c r="G484" s="5" t="s">
        <v>40</v>
      </c>
      <c r="H484" s="6">
        <v>45961</v>
      </c>
      <c r="I484" s="6">
        <v>45961</v>
      </c>
      <c r="J484" s="6">
        <v>45964</v>
      </c>
      <c r="K484" s="5" t="s">
        <v>135</v>
      </c>
      <c r="L484" s="5" t="s">
        <v>136</v>
      </c>
      <c r="M484" s="5" t="s">
        <v>43</v>
      </c>
      <c r="N484" s="5" t="s">
        <v>137</v>
      </c>
      <c r="O484" s="7">
        <v>305.47000000000003</v>
      </c>
      <c r="P484" s="5" t="s">
        <v>45</v>
      </c>
      <c r="Q484" s="22"/>
      <c r="R484" s="8">
        <f t="shared" si="21"/>
        <v>305.47000000000003</v>
      </c>
      <c r="S484" s="7">
        <v>305.47000000000003</v>
      </c>
      <c r="T484" s="7"/>
      <c r="U484" s="7">
        <f t="shared" si="23"/>
        <v>305.47000000000003</v>
      </c>
      <c r="V484" s="5" t="s">
        <v>45</v>
      </c>
      <c r="W484" s="7">
        <v>89.9</v>
      </c>
      <c r="X484" s="5" t="s">
        <v>46</v>
      </c>
      <c r="Z484" s="8">
        <f t="shared" si="22"/>
        <v>89.9</v>
      </c>
    </row>
    <row r="485" spans="1:26" x14ac:dyDescent="0.25">
      <c r="A485" s="5" t="s">
        <v>34</v>
      </c>
      <c r="B485" s="5" t="s">
        <v>181</v>
      </c>
      <c r="C485" s="5" t="s">
        <v>182</v>
      </c>
      <c r="D485" s="5" t="s">
        <v>37</v>
      </c>
      <c r="E485" s="5" t="s">
        <v>142</v>
      </c>
      <c r="F485" s="5" t="s">
        <v>143</v>
      </c>
      <c r="G485" s="5" t="s">
        <v>40</v>
      </c>
      <c r="H485" s="6">
        <v>45961</v>
      </c>
      <c r="I485" s="6">
        <v>45961</v>
      </c>
      <c r="J485" s="6">
        <v>45961</v>
      </c>
      <c r="K485" s="5" t="s">
        <v>144</v>
      </c>
      <c r="L485" s="5" t="s">
        <v>145</v>
      </c>
      <c r="M485" s="5" t="s">
        <v>43</v>
      </c>
      <c r="N485" s="5" t="s">
        <v>146</v>
      </c>
      <c r="O485" s="7">
        <v>216.59</v>
      </c>
      <c r="P485" s="5" t="s">
        <v>45</v>
      </c>
      <c r="Q485" s="22"/>
      <c r="R485" s="8">
        <f t="shared" si="21"/>
        <v>216.59</v>
      </c>
      <c r="S485" s="7">
        <v>216.59</v>
      </c>
      <c r="T485" s="7"/>
      <c r="U485" s="7">
        <f t="shared" si="23"/>
        <v>216.59</v>
      </c>
      <c r="V485" s="5" t="s">
        <v>45</v>
      </c>
      <c r="W485" s="7">
        <v>63.74</v>
      </c>
      <c r="X485" s="5" t="s">
        <v>46</v>
      </c>
      <c r="Z485" s="8">
        <f t="shared" si="22"/>
        <v>63.74</v>
      </c>
    </row>
    <row r="486" spans="1:26" x14ac:dyDescent="0.25">
      <c r="A486" s="5" t="s">
        <v>34</v>
      </c>
      <c r="B486" s="5" t="s">
        <v>181</v>
      </c>
      <c r="C486" s="5" t="s">
        <v>182</v>
      </c>
      <c r="D486" s="5" t="s">
        <v>37</v>
      </c>
      <c r="E486" s="5" t="s">
        <v>74</v>
      </c>
      <c r="F486" s="5" t="s">
        <v>75</v>
      </c>
      <c r="G486" s="5" t="s">
        <v>40</v>
      </c>
      <c r="H486" s="6">
        <v>45961</v>
      </c>
      <c r="I486" s="6">
        <v>45961</v>
      </c>
      <c r="J486" s="6">
        <v>45964</v>
      </c>
      <c r="K486" s="5" t="s">
        <v>135</v>
      </c>
      <c r="L486" s="5" t="s">
        <v>136</v>
      </c>
      <c r="M486" s="5" t="s">
        <v>43</v>
      </c>
      <c r="N486" s="5" t="s">
        <v>137</v>
      </c>
      <c r="O486" s="7">
        <v>2648.75</v>
      </c>
      <c r="P486" s="5" t="s">
        <v>45</v>
      </c>
      <c r="Q486" s="22"/>
      <c r="R486" s="8">
        <f t="shared" si="21"/>
        <v>2648.75</v>
      </c>
      <c r="S486" s="7">
        <v>2648.75</v>
      </c>
      <c r="T486" s="7"/>
      <c r="U486" s="7">
        <f t="shared" si="23"/>
        <v>2648.75</v>
      </c>
      <c r="V486" s="5" t="s">
        <v>45</v>
      </c>
      <c r="W486" s="7">
        <v>779.5</v>
      </c>
      <c r="X486" s="5" t="s">
        <v>46</v>
      </c>
      <c r="Z486" s="8">
        <f t="shared" si="22"/>
        <v>779.5</v>
      </c>
    </row>
    <row r="487" spans="1:26" x14ac:dyDescent="0.25">
      <c r="A487" s="5" t="s">
        <v>34</v>
      </c>
      <c r="B487" s="5" t="s">
        <v>181</v>
      </c>
      <c r="C487" s="5" t="s">
        <v>182</v>
      </c>
      <c r="D487" s="5" t="s">
        <v>37</v>
      </c>
      <c r="E487" s="5" t="s">
        <v>116</v>
      </c>
      <c r="F487" s="5" t="s">
        <v>117</v>
      </c>
      <c r="G487" s="5" t="s">
        <v>40</v>
      </c>
      <c r="H487" s="6">
        <v>45961</v>
      </c>
      <c r="I487" s="6">
        <v>45961</v>
      </c>
      <c r="J487" s="6">
        <v>45964</v>
      </c>
      <c r="K487" s="5" t="s">
        <v>135</v>
      </c>
      <c r="L487" s="5" t="s">
        <v>136</v>
      </c>
      <c r="M487" s="5" t="s">
        <v>43</v>
      </c>
      <c r="N487" s="5" t="s">
        <v>137</v>
      </c>
      <c r="O487" s="7">
        <v>589.73</v>
      </c>
      <c r="P487" s="5" t="s">
        <v>45</v>
      </c>
      <c r="Q487" s="22"/>
      <c r="R487" s="8">
        <f t="shared" si="21"/>
        <v>589.73</v>
      </c>
      <c r="S487" s="7">
        <v>589.73</v>
      </c>
      <c r="T487" s="7"/>
      <c r="U487" s="7">
        <f t="shared" si="23"/>
        <v>589.73</v>
      </c>
      <c r="V487" s="5" t="s">
        <v>45</v>
      </c>
      <c r="W487" s="7">
        <v>173.55</v>
      </c>
      <c r="X487" s="5" t="s">
        <v>46</v>
      </c>
      <c r="Z487" s="8">
        <f t="shared" si="22"/>
        <v>173.55</v>
      </c>
    </row>
    <row r="488" spans="1:26" x14ac:dyDescent="0.25">
      <c r="A488" s="5" t="s">
        <v>34</v>
      </c>
      <c r="B488" s="5" t="s">
        <v>181</v>
      </c>
      <c r="C488" s="5" t="s">
        <v>182</v>
      </c>
      <c r="D488" s="5" t="s">
        <v>37</v>
      </c>
      <c r="E488" s="5" t="s">
        <v>64</v>
      </c>
      <c r="F488" s="5" t="s">
        <v>65</v>
      </c>
      <c r="G488" s="5" t="s">
        <v>40</v>
      </c>
      <c r="H488" s="6">
        <v>45961</v>
      </c>
      <c r="I488" s="6">
        <v>45961</v>
      </c>
      <c r="J488" s="6">
        <v>45964</v>
      </c>
      <c r="K488" s="5" t="s">
        <v>135</v>
      </c>
      <c r="L488" s="5" t="s">
        <v>136</v>
      </c>
      <c r="M488" s="5" t="s">
        <v>43</v>
      </c>
      <c r="N488" s="5" t="s">
        <v>137</v>
      </c>
      <c r="O488" s="7">
        <v>782.6</v>
      </c>
      <c r="P488" s="5" t="s">
        <v>45</v>
      </c>
      <c r="Q488" s="22"/>
      <c r="R488" s="8">
        <f t="shared" si="21"/>
        <v>782.6</v>
      </c>
      <c r="S488" s="7">
        <v>782.6</v>
      </c>
      <c r="T488" s="7"/>
      <c r="U488" s="7">
        <f t="shared" si="23"/>
        <v>782.6</v>
      </c>
      <c r="V488" s="5" t="s">
        <v>45</v>
      </c>
      <c r="W488" s="7">
        <v>230.31</v>
      </c>
      <c r="X488" s="5" t="s">
        <v>46</v>
      </c>
      <c r="Z488" s="8">
        <f t="shared" si="22"/>
        <v>230.31</v>
      </c>
    </row>
    <row r="489" spans="1:26" x14ac:dyDescent="0.25">
      <c r="A489" s="5" t="s">
        <v>34</v>
      </c>
      <c r="B489" s="5" t="s">
        <v>181</v>
      </c>
      <c r="C489" s="5" t="s">
        <v>182</v>
      </c>
      <c r="D489" s="5" t="s">
        <v>37</v>
      </c>
      <c r="E489" s="5" t="s">
        <v>38</v>
      </c>
      <c r="F489" s="5" t="s">
        <v>39</v>
      </c>
      <c r="G489" s="5" t="s">
        <v>40</v>
      </c>
      <c r="H489" s="6">
        <v>45961</v>
      </c>
      <c r="I489" s="6">
        <v>45961</v>
      </c>
      <c r="J489" s="6">
        <v>45964</v>
      </c>
      <c r="K489" s="5" t="s">
        <v>135</v>
      </c>
      <c r="L489" s="5" t="s">
        <v>136</v>
      </c>
      <c r="M489" s="5" t="s">
        <v>43</v>
      </c>
      <c r="N489" s="5" t="s">
        <v>137</v>
      </c>
      <c r="O489" s="7">
        <v>1874.33</v>
      </c>
      <c r="P489" s="5" t="s">
        <v>45</v>
      </c>
      <c r="Q489" s="22"/>
      <c r="R489" s="8">
        <f t="shared" si="21"/>
        <v>1874.33</v>
      </c>
      <c r="S489" s="7">
        <v>1874.33</v>
      </c>
      <c r="T489" s="7"/>
      <c r="U489" s="7">
        <f t="shared" si="23"/>
        <v>1874.33</v>
      </c>
      <c r="V489" s="5" t="s">
        <v>45</v>
      </c>
      <c r="W489" s="7">
        <v>551.6</v>
      </c>
      <c r="X489" s="5" t="s">
        <v>46</v>
      </c>
      <c r="Z489" s="8">
        <f t="shared" si="22"/>
        <v>551.6</v>
      </c>
    </row>
    <row r="490" spans="1:26" x14ac:dyDescent="0.25">
      <c r="A490" s="5" t="s">
        <v>34</v>
      </c>
      <c r="B490" s="5" t="s">
        <v>181</v>
      </c>
      <c r="C490" s="5" t="s">
        <v>182</v>
      </c>
      <c r="D490" s="5" t="s">
        <v>37</v>
      </c>
      <c r="E490" s="5" t="s">
        <v>48</v>
      </c>
      <c r="F490" s="5" t="s">
        <v>49</v>
      </c>
      <c r="G490" s="5" t="s">
        <v>40</v>
      </c>
      <c r="H490" s="6">
        <v>45961</v>
      </c>
      <c r="I490" s="6">
        <v>45961</v>
      </c>
      <c r="J490" s="6">
        <v>45964</v>
      </c>
      <c r="K490" s="5" t="s">
        <v>135</v>
      </c>
      <c r="L490" s="5" t="s">
        <v>136</v>
      </c>
      <c r="M490" s="5" t="s">
        <v>43</v>
      </c>
      <c r="N490" s="5" t="s">
        <v>137</v>
      </c>
      <c r="O490" s="7">
        <v>305</v>
      </c>
      <c r="P490" s="5" t="s">
        <v>45</v>
      </c>
      <c r="Q490" s="22"/>
      <c r="R490" s="8">
        <f t="shared" si="21"/>
        <v>305</v>
      </c>
      <c r="S490" s="7">
        <v>305</v>
      </c>
      <c r="T490" s="7"/>
      <c r="U490" s="7">
        <f t="shared" si="23"/>
        <v>305</v>
      </c>
      <c r="V490" s="5" t="s">
        <v>45</v>
      </c>
      <c r="W490" s="7">
        <v>89.76</v>
      </c>
      <c r="X490" s="5" t="s">
        <v>46</v>
      </c>
      <c r="Z490" s="8">
        <f t="shared" si="22"/>
        <v>89.76</v>
      </c>
    </row>
    <row r="491" spans="1:26" x14ac:dyDescent="0.25">
      <c r="A491" s="5" t="s">
        <v>34</v>
      </c>
      <c r="B491" s="5" t="s">
        <v>181</v>
      </c>
      <c r="C491" s="5" t="s">
        <v>182</v>
      </c>
      <c r="D491" s="5" t="s">
        <v>37</v>
      </c>
      <c r="E491" s="5" t="s">
        <v>50</v>
      </c>
      <c r="F491" s="5" t="s">
        <v>51</v>
      </c>
      <c r="G491" s="5" t="s">
        <v>40</v>
      </c>
      <c r="H491" s="6">
        <v>45961</v>
      </c>
      <c r="I491" s="6">
        <v>45961</v>
      </c>
      <c r="J491" s="6">
        <v>45964</v>
      </c>
      <c r="K491" s="5" t="s">
        <v>135</v>
      </c>
      <c r="L491" s="5" t="s">
        <v>136</v>
      </c>
      <c r="M491" s="5" t="s">
        <v>43</v>
      </c>
      <c r="N491" s="5" t="s">
        <v>137</v>
      </c>
      <c r="O491" s="7">
        <v>1897</v>
      </c>
      <c r="P491" s="5" t="s">
        <v>45</v>
      </c>
      <c r="Q491" s="22"/>
      <c r="R491" s="8">
        <f t="shared" si="21"/>
        <v>1897</v>
      </c>
      <c r="S491" s="7">
        <v>1897</v>
      </c>
      <c r="T491" s="7"/>
      <c r="U491" s="7">
        <f t="shared" si="23"/>
        <v>1897</v>
      </c>
      <c r="V491" s="5" t="s">
        <v>45</v>
      </c>
      <c r="W491" s="7">
        <v>558.27</v>
      </c>
      <c r="X491" s="5" t="s">
        <v>46</v>
      </c>
      <c r="Z491" s="8">
        <f t="shared" si="22"/>
        <v>558.27</v>
      </c>
    </row>
    <row r="492" spans="1:26" x14ac:dyDescent="0.25">
      <c r="A492" s="5" t="s">
        <v>34</v>
      </c>
      <c r="B492" s="5" t="s">
        <v>181</v>
      </c>
      <c r="C492" s="5" t="s">
        <v>182</v>
      </c>
      <c r="D492" s="5" t="s">
        <v>37</v>
      </c>
      <c r="E492" s="5" t="s">
        <v>80</v>
      </c>
      <c r="F492" s="5" t="s">
        <v>81</v>
      </c>
      <c r="G492" s="5" t="s">
        <v>40</v>
      </c>
      <c r="H492" s="6">
        <v>45961</v>
      </c>
      <c r="I492" s="6">
        <v>45961</v>
      </c>
      <c r="J492" s="6">
        <v>45964</v>
      </c>
      <c r="K492" s="5" t="s">
        <v>135</v>
      </c>
      <c r="L492" s="5" t="s">
        <v>136</v>
      </c>
      <c r="M492" s="5" t="s">
        <v>43</v>
      </c>
      <c r="N492" s="5" t="s">
        <v>137</v>
      </c>
      <c r="O492" s="7">
        <v>689.99</v>
      </c>
      <c r="P492" s="5" t="s">
        <v>45</v>
      </c>
      <c r="Q492" s="22"/>
      <c r="R492" s="8">
        <f t="shared" si="21"/>
        <v>689.99</v>
      </c>
      <c r="S492" s="7">
        <v>689.99</v>
      </c>
      <c r="T492" s="7"/>
      <c r="U492" s="7">
        <f t="shared" si="23"/>
        <v>689.99</v>
      </c>
      <c r="V492" s="5" t="s">
        <v>45</v>
      </c>
      <c r="W492" s="7">
        <v>203.06</v>
      </c>
      <c r="X492" s="5" t="s">
        <v>46</v>
      </c>
      <c r="Z492" s="8">
        <f t="shared" si="22"/>
        <v>203.06</v>
      </c>
    </row>
    <row r="493" spans="1:26" x14ac:dyDescent="0.25">
      <c r="A493" s="5" t="s">
        <v>34</v>
      </c>
      <c r="B493" s="5" t="s">
        <v>181</v>
      </c>
      <c r="C493" s="5" t="s">
        <v>182</v>
      </c>
      <c r="D493" s="5" t="s">
        <v>37</v>
      </c>
      <c r="E493" s="5" t="s">
        <v>60</v>
      </c>
      <c r="F493" s="5" t="s">
        <v>61</v>
      </c>
      <c r="G493" s="5" t="s">
        <v>40</v>
      </c>
      <c r="H493" s="6">
        <v>45961</v>
      </c>
      <c r="I493" s="6">
        <v>45961</v>
      </c>
      <c r="J493" s="6">
        <v>45964</v>
      </c>
      <c r="K493" s="5" t="s">
        <v>135</v>
      </c>
      <c r="L493" s="5" t="s">
        <v>136</v>
      </c>
      <c r="M493" s="5" t="s">
        <v>43</v>
      </c>
      <c r="N493" s="5" t="s">
        <v>137</v>
      </c>
      <c r="O493" s="7">
        <v>1606.62</v>
      </c>
      <c r="P493" s="5" t="s">
        <v>45</v>
      </c>
      <c r="Q493" s="22"/>
      <c r="R493" s="8">
        <f t="shared" si="21"/>
        <v>1606.62</v>
      </c>
      <c r="S493" s="7">
        <v>1606.62</v>
      </c>
      <c r="T493" s="7"/>
      <c r="U493" s="7">
        <f t="shared" si="23"/>
        <v>1606.62</v>
      </c>
      <c r="V493" s="5" t="s">
        <v>45</v>
      </c>
      <c r="W493" s="7">
        <v>472.81</v>
      </c>
      <c r="X493" s="5" t="s">
        <v>46</v>
      </c>
      <c r="Z493" s="8">
        <f t="shared" si="22"/>
        <v>472.81</v>
      </c>
    </row>
    <row r="494" spans="1:26" x14ac:dyDescent="0.25">
      <c r="A494" s="5" t="s">
        <v>34</v>
      </c>
      <c r="B494" s="5" t="s">
        <v>181</v>
      </c>
      <c r="C494" s="5" t="s">
        <v>182</v>
      </c>
      <c r="D494" s="5" t="s">
        <v>37</v>
      </c>
      <c r="E494" s="5" t="s">
        <v>110</v>
      </c>
      <c r="F494" s="5" t="s">
        <v>111</v>
      </c>
      <c r="G494" s="5" t="s">
        <v>40</v>
      </c>
      <c r="H494" s="6">
        <v>45961</v>
      </c>
      <c r="I494" s="6">
        <v>45961</v>
      </c>
      <c r="J494" s="6">
        <v>45960</v>
      </c>
      <c r="K494" s="5" t="s">
        <v>150</v>
      </c>
      <c r="L494" s="5" t="s">
        <v>151</v>
      </c>
      <c r="M494" s="5" t="s">
        <v>43</v>
      </c>
      <c r="N494" s="5" t="s">
        <v>152</v>
      </c>
      <c r="O494" s="7">
        <v>137.27000000000001</v>
      </c>
      <c r="P494" s="5" t="s">
        <v>45</v>
      </c>
      <c r="Q494" s="22"/>
      <c r="R494" s="8">
        <f t="shared" si="21"/>
        <v>137.27000000000001</v>
      </c>
      <c r="S494" s="7">
        <v>137.27000000000001</v>
      </c>
      <c r="T494" s="7"/>
      <c r="U494" s="7">
        <f t="shared" si="23"/>
        <v>137.27000000000001</v>
      </c>
      <c r="V494" s="5" t="s">
        <v>45</v>
      </c>
      <c r="W494" s="7">
        <v>40.44</v>
      </c>
      <c r="X494" s="5" t="s">
        <v>46</v>
      </c>
      <c r="Z494" s="8">
        <f t="shared" si="22"/>
        <v>40.44</v>
      </c>
    </row>
    <row r="495" spans="1:26" x14ac:dyDescent="0.25">
      <c r="A495" s="5" t="s">
        <v>34</v>
      </c>
      <c r="B495" s="5" t="s">
        <v>181</v>
      </c>
      <c r="C495" s="5" t="s">
        <v>182</v>
      </c>
      <c r="D495" s="5" t="s">
        <v>37</v>
      </c>
      <c r="E495" s="5" t="s">
        <v>92</v>
      </c>
      <c r="F495" s="5" t="s">
        <v>93</v>
      </c>
      <c r="G495" s="5" t="s">
        <v>40</v>
      </c>
      <c r="H495" s="6">
        <v>45961</v>
      </c>
      <c r="I495" s="6">
        <v>45961</v>
      </c>
      <c r="J495" s="6">
        <v>45964</v>
      </c>
      <c r="K495" s="5" t="s">
        <v>135</v>
      </c>
      <c r="L495" s="5" t="s">
        <v>136</v>
      </c>
      <c r="M495" s="5" t="s">
        <v>43</v>
      </c>
      <c r="N495" s="5" t="s">
        <v>137</v>
      </c>
      <c r="O495" s="7">
        <v>297.24</v>
      </c>
      <c r="P495" s="5" t="s">
        <v>45</v>
      </c>
      <c r="Q495" s="22"/>
      <c r="R495" s="8">
        <f t="shared" si="21"/>
        <v>297.24</v>
      </c>
      <c r="S495" s="7">
        <v>297.24</v>
      </c>
      <c r="T495" s="7"/>
      <c r="U495" s="7">
        <f t="shared" si="23"/>
        <v>297.24</v>
      </c>
      <c r="V495" s="5" t="s">
        <v>45</v>
      </c>
      <c r="W495" s="7">
        <v>87.47</v>
      </c>
      <c r="X495" s="5" t="s">
        <v>46</v>
      </c>
      <c r="Z495" s="8">
        <f t="shared" si="22"/>
        <v>87.47</v>
      </c>
    </row>
    <row r="496" spans="1:26" x14ac:dyDescent="0.25">
      <c r="A496" s="5" t="s">
        <v>34</v>
      </c>
      <c r="B496" s="5" t="s">
        <v>181</v>
      </c>
      <c r="C496" s="5" t="s">
        <v>182</v>
      </c>
      <c r="D496" s="5" t="s">
        <v>37</v>
      </c>
      <c r="E496" s="5" t="s">
        <v>110</v>
      </c>
      <c r="F496" s="5" t="s">
        <v>111</v>
      </c>
      <c r="G496" s="5" t="s">
        <v>40</v>
      </c>
      <c r="H496" s="6">
        <v>45961</v>
      </c>
      <c r="I496" s="6">
        <v>45961</v>
      </c>
      <c r="J496" s="6">
        <v>45964</v>
      </c>
      <c r="K496" s="5" t="s">
        <v>135</v>
      </c>
      <c r="L496" s="5" t="s">
        <v>136</v>
      </c>
      <c r="M496" s="5" t="s">
        <v>43</v>
      </c>
      <c r="N496" s="5" t="s">
        <v>137</v>
      </c>
      <c r="O496" s="7">
        <v>2556.79</v>
      </c>
      <c r="P496" s="5" t="s">
        <v>45</v>
      </c>
      <c r="Q496" s="22"/>
      <c r="R496" s="8">
        <f t="shared" si="21"/>
        <v>2556.79</v>
      </c>
      <c r="S496" s="7">
        <v>2556.79</v>
      </c>
      <c r="T496" s="7"/>
      <c r="U496" s="7">
        <f t="shared" si="23"/>
        <v>2556.79</v>
      </c>
      <c r="V496" s="5" t="s">
        <v>45</v>
      </c>
      <c r="W496" s="7">
        <v>752.44</v>
      </c>
      <c r="X496" s="5" t="s">
        <v>46</v>
      </c>
      <c r="Z496" s="8">
        <f t="shared" si="22"/>
        <v>752.44</v>
      </c>
    </row>
    <row r="497" spans="1:26" x14ac:dyDescent="0.25">
      <c r="A497" s="5" t="s">
        <v>34</v>
      </c>
      <c r="B497" s="5" t="s">
        <v>181</v>
      </c>
      <c r="C497" s="5" t="s">
        <v>182</v>
      </c>
      <c r="D497" s="5" t="s">
        <v>37</v>
      </c>
      <c r="E497" s="5" t="s">
        <v>100</v>
      </c>
      <c r="F497" s="5" t="s">
        <v>101</v>
      </c>
      <c r="G497" s="5" t="s">
        <v>40</v>
      </c>
      <c r="H497" s="6">
        <v>45961</v>
      </c>
      <c r="I497" s="6">
        <v>45961</v>
      </c>
      <c r="J497" s="6">
        <v>45964</v>
      </c>
      <c r="K497" s="5" t="s">
        <v>135</v>
      </c>
      <c r="L497" s="5" t="s">
        <v>136</v>
      </c>
      <c r="M497" s="5" t="s">
        <v>43</v>
      </c>
      <c r="N497" s="5" t="s">
        <v>137</v>
      </c>
      <c r="O497" s="7">
        <v>843.67</v>
      </c>
      <c r="P497" s="5" t="s">
        <v>45</v>
      </c>
      <c r="Q497" s="22"/>
      <c r="R497" s="8">
        <f t="shared" si="21"/>
        <v>843.67</v>
      </c>
      <c r="S497" s="7">
        <v>843.67</v>
      </c>
      <c r="T497" s="7"/>
      <c r="U497" s="7">
        <f t="shared" si="23"/>
        <v>843.67</v>
      </c>
      <c r="V497" s="5" t="s">
        <v>45</v>
      </c>
      <c r="W497" s="7">
        <v>248.28</v>
      </c>
      <c r="X497" s="5" t="s">
        <v>46</v>
      </c>
      <c r="Z497" s="8">
        <f t="shared" si="22"/>
        <v>248.28</v>
      </c>
    </row>
    <row r="498" spans="1:26" x14ac:dyDescent="0.25">
      <c r="A498" s="5" t="s">
        <v>34</v>
      </c>
      <c r="B498" s="5" t="s">
        <v>181</v>
      </c>
      <c r="C498" s="5" t="s">
        <v>182</v>
      </c>
      <c r="D498" s="5" t="s">
        <v>37</v>
      </c>
      <c r="E498" s="5" t="s">
        <v>62</v>
      </c>
      <c r="F498" s="5" t="s">
        <v>63</v>
      </c>
      <c r="G498" s="5" t="s">
        <v>40</v>
      </c>
      <c r="H498" s="6">
        <v>45961</v>
      </c>
      <c r="I498" s="6">
        <v>45961</v>
      </c>
      <c r="J498" s="6">
        <v>45964</v>
      </c>
      <c r="K498" s="5" t="s">
        <v>135</v>
      </c>
      <c r="L498" s="5" t="s">
        <v>136</v>
      </c>
      <c r="M498" s="5" t="s">
        <v>43</v>
      </c>
      <c r="N498" s="5" t="s">
        <v>137</v>
      </c>
      <c r="O498" s="7">
        <v>2017.21</v>
      </c>
      <c r="P498" s="5" t="s">
        <v>45</v>
      </c>
      <c r="Q498" s="22"/>
      <c r="R498" s="8">
        <f t="shared" si="21"/>
        <v>2017.21</v>
      </c>
      <c r="S498" s="7">
        <v>2017.21</v>
      </c>
      <c r="T498" s="7"/>
      <c r="U498" s="7">
        <f t="shared" si="23"/>
        <v>2017.21</v>
      </c>
      <c r="V498" s="5" t="s">
        <v>45</v>
      </c>
      <c r="W498" s="7">
        <v>593.65</v>
      </c>
      <c r="X498" s="5" t="s">
        <v>46</v>
      </c>
      <c r="Z498" s="8">
        <f t="shared" si="22"/>
        <v>593.65</v>
      </c>
    </row>
    <row r="499" spans="1:26" x14ac:dyDescent="0.25">
      <c r="A499" s="5" t="s">
        <v>34</v>
      </c>
      <c r="B499" s="5" t="s">
        <v>181</v>
      </c>
      <c r="C499" s="5" t="s">
        <v>182</v>
      </c>
      <c r="D499" s="5" t="s">
        <v>37</v>
      </c>
      <c r="E499" s="5" t="s">
        <v>82</v>
      </c>
      <c r="F499" s="5" t="s">
        <v>83</v>
      </c>
      <c r="G499" s="5" t="s">
        <v>40</v>
      </c>
      <c r="H499" s="6">
        <v>45961</v>
      </c>
      <c r="I499" s="6">
        <v>45961</v>
      </c>
      <c r="J499" s="6">
        <v>45964</v>
      </c>
      <c r="K499" s="5" t="s">
        <v>135</v>
      </c>
      <c r="L499" s="5" t="s">
        <v>136</v>
      </c>
      <c r="M499" s="5" t="s">
        <v>43</v>
      </c>
      <c r="N499" s="5" t="s">
        <v>137</v>
      </c>
      <c r="O499" s="7">
        <v>560.15</v>
      </c>
      <c r="P499" s="5" t="s">
        <v>45</v>
      </c>
      <c r="Q499" s="22"/>
      <c r="R499" s="8">
        <f t="shared" si="21"/>
        <v>560.15</v>
      </c>
      <c r="S499" s="7">
        <v>560.15</v>
      </c>
      <c r="T499" s="7"/>
      <c r="U499" s="7">
        <f t="shared" si="23"/>
        <v>560.15</v>
      </c>
      <c r="V499" s="5" t="s">
        <v>45</v>
      </c>
      <c r="W499" s="7">
        <v>164.85</v>
      </c>
      <c r="X499" s="5" t="s">
        <v>46</v>
      </c>
      <c r="Z499" s="8">
        <f t="shared" si="22"/>
        <v>164.85</v>
      </c>
    </row>
    <row r="500" spans="1:26" x14ac:dyDescent="0.25">
      <c r="A500" s="5" t="s">
        <v>34</v>
      </c>
      <c r="B500" s="5" t="s">
        <v>181</v>
      </c>
      <c r="C500" s="5" t="s">
        <v>182</v>
      </c>
      <c r="D500" s="5" t="s">
        <v>37</v>
      </c>
      <c r="E500" s="5" t="s">
        <v>70</v>
      </c>
      <c r="F500" s="5" t="s">
        <v>71</v>
      </c>
      <c r="G500" s="5" t="s">
        <v>40</v>
      </c>
      <c r="H500" s="6">
        <v>45961</v>
      </c>
      <c r="I500" s="6">
        <v>45961</v>
      </c>
      <c r="J500" s="6">
        <v>45964</v>
      </c>
      <c r="K500" s="5" t="s">
        <v>135</v>
      </c>
      <c r="L500" s="5" t="s">
        <v>136</v>
      </c>
      <c r="M500" s="5" t="s">
        <v>43</v>
      </c>
      <c r="N500" s="5" t="s">
        <v>137</v>
      </c>
      <c r="O500" s="7">
        <v>302.49</v>
      </c>
      <c r="P500" s="5" t="s">
        <v>45</v>
      </c>
      <c r="Q500" s="22"/>
      <c r="R500" s="8">
        <f t="shared" si="21"/>
        <v>302.49</v>
      </c>
      <c r="S500" s="7">
        <v>302.49</v>
      </c>
      <c r="T500" s="7"/>
      <c r="U500" s="7">
        <f t="shared" si="23"/>
        <v>302.49</v>
      </c>
      <c r="V500" s="5" t="s">
        <v>45</v>
      </c>
      <c r="W500" s="7">
        <v>89.02</v>
      </c>
      <c r="X500" s="5" t="s">
        <v>46</v>
      </c>
      <c r="Z500" s="8">
        <f t="shared" si="22"/>
        <v>89.02</v>
      </c>
    </row>
    <row r="501" spans="1:26" x14ac:dyDescent="0.25">
      <c r="A501" s="5" t="s">
        <v>34</v>
      </c>
      <c r="B501" s="5" t="s">
        <v>181</v>
      </c>
      <c r="C501" s="5" t="s">
        <v>182</v>
      </c>
      <c r="D501" s="5" t="s">
        <v>37</v>
      </c>
      <c r="E501" s="5" t="s">
        <v>72</v>
      </c>
      <c r="F501" s="5" t="s">
        <v>73</v>
      </c>
      <c r="G501" s="5" t="s">
        <v>40</v>
      </c>
      <c r="H501" s="6">
        <v>45961</v>
      </c>
      <c r="I501" s="6">
        <v>45961</v>
      </c>
      <c r="J501" s="6">
        <v>45964</v>
      </c>
      <c r="K501" s="5" t="s">
        <v>135</v>
      </c>
      <c r="L501" s="5" t="s">
        <v>136</v>
      </c>
      <c r="M501" s="5" t="s">
        <v>43</v>
      </c>
      <c r="N501" s="5" t="s">
        <v>137</v>
      </c>
      <c r="O501" s="7">
        <v>191.65</v>
      </c>
      <c r="P501" s="5" t="s">
        <v>45</v>
      </c>
      <c r="Q501" s="22"/>
      <c r="R501" s="8">
        <f t="shared" si="21"/>
        <v>191.65</v>
      </c>
      <c r="S501" s="7">
        <v>191.65</v>
      </c>
      <c r="T501" s="7"/>
      <c r="U501" s="7">
        <f t="shared" si="23"/>
        <v>191.65</v>
      </c>
      <c r="V501" s="5" t="s">
        <v>45</v>
      </c>
      <c r="W501" s="7">
        <v>56.4</v>
      </c>
      <c r="X501" s="5" t="s">
        <v>46</v>
      </c>
      <c r="Z501" s="8">
        <f t="shared" si="22"/>
        <v>56.4</v>
      </c>
    </row>
    <row r="502" spans="1:26" x14ac:dyDescent="0.25">
      <c r="A502" s="5" t="s">
        <v>34</v>
      </c>
      <c r="B502" s="5" t="s">
        <v>183</v>
      </c>
      <c r="C502" s="5" t="s">
        <v>184</v>
      </c>
      <c r="D502" s="5" t="s">
        <v>37</v>
      </c>
      <c r="E502" s="5" t="s">
        <v>100</v>
      </c>
      <c r="F502" s="5" t="s">
        <v>101</v>
      </c>
      <c r="G502" s="5" t="s">
        <v>40</v>
      </c>
      <c r="H502" s="6">
        <v>45961</v>
      </c>
      <c r="I502" s="6">
        <v>45961</v>
      </c>
      <c r="J502" s="6">
        <v>45964</v>
      </c>
      <c r="K502" s="5" t="s">
        <v>41</v>
      </c>
      <c r="L502" s="5" t="s">
        <v>42</v>
      </c>
      <c r="M502" s="5" t="s">
        <v>43</v>
      </c>
      <c r="N502" s="5" t="s">
        <v>44</v>
      </c>
      <c r="O502" s="7">
        <v>357.28</v>
      </c>
      <c r="P502" s="5" t="s">
        <v>45</v>
      </c>
      <c r="Q502" s="22"/>
      <c r="R502" s="8">
        <f t="shared" si="21"/>
        <v>357.28</v>
      </c>
      <c r="S502" s="7">
        <v>357.28</v>
      </c>
      <c r="T502" s="7"/>
      <c r="U502" s="7">
        <f t="shared" si="23"/>
        <v>357.28</v>
      </c>
      <c r="V502" s="5" t="s">
        <v>45</v>
      </c>
      <c r="W502" s="7">
        <v>105.14</v>
      </c>
      <c r="X502" s="5" t="s">
        <v>46</v>
      </c>
      <c r="Z502" s="8">
        <f t="shared" si="22"/>
        <v>105.14</v>
      </c>
    </row>
    <row r="503" spans="1:26" x14ac:dyDescent="0.25">
      <c r="A503" s="5" t="s">
        <v>34</v>
      </c>
      <c r="B503" s="5" t="s">
        <v>183</v>
      </c>
      <c r="C503" s="5" t="s">
        <v>184</v>
      </c>
      <c r="D503" s="5" t="s">
        <v>37</v>
      </c>
      <c r="E503" s="5" t="s">
        <v>96</v>
      </c>
      <c r="F503" s="5" t="s">
        <v>97</v>
      </c>
      <c r="G503" s="5" t="s">
        <v>40</v>
      </c>
      <c r="H503" s="6">
        <v>45961</v>
      </c>
      <c r="I503" s="6">
        <v>45961</v>
      </c>
      <c r="J503" s="6">
        <v>45964</v>
      </c>
      <c r="K503" s="5" t="s">
        <v>41</v>
      </c>
      <c r="L503" s="5" t="s">
        <v>42</v>
      </c>
      <c r="M503" s="5" t="s">
        <v>43</v>
      </c>
      <c r="N503" s="5" t="s">
        <v>44</v>
      </c>
      <c r="O503" s="7">
        <v>372</v>
      </c>
      <c r="P503" s="5" t="s">
        <v>45</v>
      </c>
      <c r="Q503" s="22"/>
      <c r="R503" s="8">
        <f t="shared" si="21"/>
        <v>372</v>
      </c>
      <c r="S503" s="7">
        <v>372</v>
      </c>
      <c r="T503" s="7"/>
      <c r="U503" s="7">
        <f t="shared" si="23"/>
        <v>372</v>
      </c>
      <c r="V503" s="5" t="s">
        <v>45</v>
      </c>
      <c r="W503" s="7">
        <v>109.48</v>
      </c>
      <c r="X503" s="5" t="s">
        <v>46</v>
      </c>
      <c r="Z503" s="8">
        <f t="shared" si="22"/>
        <v>109.48</v>
      </c>
    </row>
    <row r="504" spans="1:26" x14ac:dyDescent="0.25">
      <c r="A504" s="5" t="s">
        <v>34</v>
      </c>
      <c r="B504" s="5" t="s">
        <v>183</v>
      </c>
      <c r="C504" s="5" t="s">
        <v>184</v>
      </c>
      <c r="D504" s="5" t="s">
        <v>37</v>
      </c>
      <c r="E504" s="5" t="s">
        <v>54</v>
      </c>
      <c r="F504" s="5" t="s">
        <v>55</v>
      </c>
      <c r="G504" s="5" t="s">
        <v>40</v>
      </c>
      <c r="H504" s="6">
        <v>45961</v>
      </c>
      <c r="I504" s="6">
        <v>45961</v>
      </c>
      <c r="J504" s="6">
        <v>45964</v>
      </c>
      <c r="K504" s="5" t="s">
        <v>41</v>
      </c>
      <c r="L504" s="5" t="s">
        <v>42</v>
      </c>
      <c r="M504" s="5" t="s">
        <v>43</v>
      </c>
      <c r="N504" s="5" t="s">
        <v>44</v>
      </c>
      <c r="O504" s="7">
        <v>173.6</v>
      </c>
      <c r="P504" s="5" t="s">
        <v>45</v>
      </c>
      <c r="Q504" s="22"/>
      <c r="R504" s="8">
        <f t="shared" si="21"/>
        <v>173.6</v>
      </c>
      <c r="S504" s="7">
        <v>173.6</v>
      </c>
      <c r="T504" s="7"/>
      <c r="U504" s="7">
        <f t="shared" si="23"/>
        <v>173.6</v>
      </c>
      <c r="V504" s="5" t="s">
        <v>45</v>
      </c>
      <c r="W504" s="7">
        <v>51.09</v>
      </c>
      <c r="X504" s="5" t="s">
        <v>46</v>
      </c>
      <c r="Z504" s="8">
        <f t="shared" si="22"/>
        <v>51.09</v>
      </c>
    </row>
    <row r="505" spans="1:26" x14ac:dyDescent="0.25">
      <c r="A505" s="5" t="s">
        <v>34</v>
      </c>
      <c r="B505" s="5" t="s">
        <v>183</v>
      </c>
      <c r="C505" s="5" t="s">
        <v>184</v>
      </c>
      <c r="D505" s="5" t="s">
        <v>37</v>
      </c>
      <c r="E505" s="5" t="s">
        <v>110</v>
      </c>
      <c r="F505" s="5" t="s">
        <v>111</v>
      </c>
      <c r="G505" s="5" t="s">
        <v>40</v>
      </c>
      <c r="H505" s="6">
        <v>45961</v>
      </c>
      <c r="I505" s="6">
        <v>45961</v>
      </c>
      <c r="J505" s="6">
        <v>45964</v>
      </c>
      <c r="K505" s="5" t="s">
        <v>41</v>
      </c>
      <c r="L505" s="5" t="s">
        <v>42</v>
      </c>
      <c r="M505" s="5" t="s">
        <v>43</v>
      </c>
      <c r="N505" s="5" t="s">
        <v>44</v>
      </c>
      <c r="O505" s="7">
        <v>372</v>
      </c>
      <c r="P505" s="5" t="s">
        <v>45</v>
      </c>
      <c r="Q505" s="22"/>
      <c r="R505" s="8">
        <f t="shared" si="21"/>
        <v>372</v>
      </c>
      <c r="S505" s="7">
        <v>372</v>
      </c>
      <c r="T505" s="7"/>
      <c r="U505" s="7">
        <f t="shared" si="23"/>
        <v>372</v>
      </c>
      <c r="V505" s="5" t="s">
        <v>45</v>
      </c>
      <c r="W505" s="7">
        <v>109.48</v>
      </c>
      <c r="X505" s="5" t="s">
        <v>46</v>
      </c>
      <c r="Z505" s="8">
        <f t="shared" si="22"/>
        <v>109.48</v>
      </c>
    </row>
    <row r="506" spans="1:26" x14ac:dyDescent="0.25">
      <c r="A506" s="5" t="s">
        <v>34</v>
      </c>
      <c r="B506" s="5" t="s">
        <v>183</v>
      </c>
      <c r="C506" s="5" t="s">
        <v>184</v>
      </c>
      <c r="D506" s="5" t="s">
        <v>37</v>
      </c>
      <c r="E506" s="5" t="s">
        <v>62</v>
      </c>
      <c r="F506" s="5" t="s">
        <v>63</v>
      </c>
      <c r="G506" s="5" t="s">
        <v>40</v>
      </c>
      <c r="H506" s="6">
        <v>45961</v>
      </c>
      <c r="I506" s="6">
        <v>45961</v>
      </c>
      <c r="J506" s="6">
        <v>45964</v>
      </c>
      <c r="K506" s="5" t="s">
        <v>41</v>
      </c>
      <c r="L506" s="5" t="s">
        <v>42</v>
      </c>
      <c r="M506" s="5" t="s">
        <v>43</v>
      </c>
      <c r="N506" s="5" t="s">
        <v>44</v>
      </c>
      <c r="O506" s="7">
        <v>372</v>
      </c>
      <c r="P506" s="5" t="s">
        <v>45</v>
      </c>
      <c r="Q506" s="22"/>
      <c r="R506" s="8">
        <f t="shared" si="21"/>
        <v>372</v>
      </c>
      <c r="S506" s="7">
        <v>372</v>
      </c>
      <c r="T506" s="7"/>
      <c r="U506" s="7">
        <f t="shared" si="23"/>
        <v>372</v>
      </c>
      <c r="V506" s="5" t="s">
        <v>45</v>
      </c>
      <c r="W506" s="7">
        <v>109.48</v>
      </c>
      <c r="X506" s="5" t="s">
        <v>46</v>
      </c>
      <c r="Z506" s="8">
        <f t="shared" si="22"/>
        <v>109.48</v>
      </c>
    </row>
    <row r="507" spans="1:26" x14ac:dyDescent="0.25">
      <c r="A507" s="5" t="s">
        <v>34</v>
      </c>
      <c r="B507" s="5" t="s">
        <v>183</v>
      </c>
      <c r="C507" s="5" t="s">
        <v>184</v>
      </c>
      <c r="D507" s="5" t="s">
        <v>37</v>
      </c>
      <c r="E507" s="5" t="s">
        <v>58</v>
      </c>
      <c r="F507" s="5" t="s">
        <v>59</v>
      </c>
      <c r="G507" s="5" t="s">
        <v>40</v>
      </c>
      <c r="H507" s="6">
        <v>45961</v>
      </c>
      <c r="I507" s="6">
        <v>45961</v>
      </c>
      <c r="J507" s="6">
        <v>45964</v>
      </c>
      <c r="K507" s="5" t="s">
        <v>41</v>
      </c>
      <c r="L507" s="5" t="s">
        <v>42</v>
      </c>
      <c r="M507" s="5" t="s">
        <v>43</v>
      </c>
      <c r="N507" s="5" t="s">
        <v>44</v>
      </c>
      <c r="O507" s="7">
        <v>372</v>
      </c>
      <c r="P507" s="5" t="s">
        <v>45</v>
      </c>
      <c r="Q507" s="22"/>
      <c r="R507" s="8">
        <f t="shared" si="21"/>
        <v>372</v>
      </c>
      <c r="S507" s="7">
        <v>372</v>
      </c>
      <c r="T507" s="7"/>
      <c r="U507" s="7">
        <f t="shared" si="23"/>
        <v>372</v>
      </c>
      <c r="V507" s="5" t="s">
        <v>45</v>
      </c>
      <c r="W507" s="7">
        <v>109.48</v>
      </c>
      <c r="X507" s="5" t="s">
        <v>46</v>
      </c>
      <c r="Z507" s="8">
        <f t="shared" si="22"/>
        <v>109.48</v>
      </c>
    </row>
    <row r="508" spans="1:26" x14ac:dyDescent="0.25">
      <c r="A508" s="5" t="s">
        <v>34</v>
      </c>
      <c r="B508" s="5" t="s">
        <v>183</v>
      </c>
      <c r="C508" s="5" t="s">
        <v>184</v>
      </c>
      <c r="D508" s="5" t="s">
        <v>37</v>
      </c>
      <c r="E508" s="5" t="s">
        <v>88</v>
      </c>
      <c r="F508" s="5" t="s">
        <v>89</v>
      </c>
      <c r="G508" s="5" t="s">
        <v>40</v>
      </c>
      <c r="H508" s="6">
        <v>45961</v>
      </c>
      <c r="I508" s="6">
        <v>45961</v>
      </c>
      <c r="J508" s="6">
        <v>45964</v>
      </c>
      <c r="K508" s="5" t="s">
        <v>41</v>
      </c>
      <c r="L508" s="5" t="s">
        <v>42</v>
      </c>
      <c r="M508" s="5" t="s">
        <v>43</v>
      </c>
      <c r="N508" s="5" t="s">
        <v>44</v>
      </c>
      <c r="O508" s="7">
        <v>372</v>
      </c>
      <c r="P508" s="5" t="s">
        <v>45</v>
      </c>
      <c r="Q508" s="22"/>
      <c r="R508" s="8">
        <f t="shared" si="21"/>
        <v>372</v>
      </c>
      <c r="S508" s="7">
        <v>372</v>
      </c>
      <c r="T508" s="7"/>
      <c r="U508" s="7">
        <f t="shared" si="23"/>
        <v>372</v>
      </c>
      <c r="V508" s="5" t="s">
        <v>45</v>
      </c>
      <c r="W508" s="7">
        <v>109.48</v>
      </c>
      <c r="X508" s="5" t="s">
        <v>46</v>
      </c>
      <c r="Z508" s="8">
        <f t="shared" si="22"/>
        <v>109.48</v>
      </c>
    </row>
    <row r="509" spans="1:26" x14ac:dyDescent="0.25">
      <c r="A509" s="5" t="s">
        <v>34</v>
      </c>
      <c r="B509" s="5" t="s">
        <v>183</v>
      </c>
      <c r="C509" s="5" t="s">
        <v>184</v>
      </c>
      <c r="D509" s="5" t="s">
        <v>37</v>
      </c>
      <c r="E509" s="5" t="s">
        <v>102</v>
      </c>
      <c r="F509" s="5" t="s">
        <v>103</v>
      </c>
      <c r="G509" s="5" t="s">
        <v>40</v>
      </c>
      <c r="H509" s="6">
        <v>45961</v>
      </c>
      <c r="I509" s="6">
        <v>45961</v>
      </c>
      <c r="J509" s="6">
        <v>45964</v>
      </c>
      <c r="K509" s="5" t="s">
        <v>41</v>
      </c>
      <c r="L509" s="5" t="s">
        <v>42</v>
      </c>
      <c r="M509" s="5" t="s">
        <v>43</v>
      </c>
      <c r="N509" s="5" t="s">
        <v>44</v>
      </c>
      <c r="O509" s="7">
        <v>372</v>
      </c>
      <c r="P509" s="5" t="s">
        <v>45</v>
      </c>
      <c r="Q509" s="22"/>
      <c r="R509" s="8">
        <f t="shared" si="21"/>
        <v>372</v>
      </c>
      <c r="S509" s="7">
        <v>372</v>
      </c>
      <c r="T509" s="7"/>
      <c r="U509" s="7">
        <f t="shared" si="23"/>
        <v>372</v>
      </c>
      <c r="V509" s="5" t="s">
        <v>45</v>
      </c>
      <c r="W509" s="7">
        <v>109.48</v>
      </c>
      <c r="X509" s="5" t="s">
        <v>46</v>
      </c>
      <c r="Z509" s="8">
        <f t="shared" si="22"/>
        <v>109.48</v>
      </c>
    </row>
    <row r="510" spans="1:26" x14ac:dyDescent="0.25">
      <c r="A510" s="5" t="s">
        <v>34</v>
      </c>
      <c r="B510" s="5" t="s">
        <v>183</v>
      </c>
      <c r="C510" s="5" t="s">
        <v>184</v>
      </c>
      <c r="D510" s="5" t="s">
        <v>37</v>
      </c>
      <c r="E510" s="5" t="s">
        <v>74</v>
      </c>
      <c r="F510" s="5" t="s">
        <v>75</v>
      </c>
      <c r="G510" s="5" t="s">
        <v>40</v>
      </c>
      <c r="H510" s="6">
        <v>45961</v>
      </c>
      <c r="I510" s="6">
        <v>45961</v>
      </c>
      <c r="J510" s="6">
        <v>45964</v>
      </c>
      <c r="K510" s="5" t="s">
        <v>41</v>
      </c>
      <c r="L510" s="5" t="s">
        <v>42</v>
      </c>
      <c r="M510" s="5" t="s">
        <v>43</v>
      </c>
      <c r="N510" s="5" t="s">
        <v>44</v>
      </c>
      <c r="O510" s="7">
        <v>362.7</v>
      </c>
      <c r="P510" s="5" t="s">
        <v>45</v>
      </c>
      <c r="Q510" s="22"/>
      <c r="R510" s="8">
        <f t="shared" si="21"/>
        <v>362.7</v>
      </c>
      <c r="S510" s="7">
        <v>362.7</v>
      </c>
      <c r="T510" s="7"/>
      <c r="U510" s="7">
        <f t="shared" si="23"/>
        <v>362.7</v>
      </c>
      <c r="V510" s="5" t="s">
        <v>45</v>
      </c>
      <c r="W510" s="7">
        <v>106.74</v>
      </c>
      <c r="X510" s="5" t="s">
        <v>46</v>
      </c>
      <c r="Z510" s="8">
        <f t="shared" si="22"/>
        <v>106.74</v>
      </c>
    </row>
    <row r="511" spans="1:26" x14ac:dyDescent="0.25">
      <c r="A511" s="5" t="s">
        <v>34</v>
      </c>
      <c r="B511" s="5" t="s">
        <v>183</v>
      </c>
      <c r="C511" s="5" t="s">
        <v>184</v>
      </c>
      <c r="D511" s="5" t="s">
        <v>37</v>
      </c>
      <c r="E511" s="5" t="s">
        <v>68</v>
      </c>
      <c r="F511" s="5" t="s">
        <v>69</v>
      </c>
      <c r="G511" s="5" t="s">
        <v>40</v>
      </c>
      <c r="H511" s="6">
        <v>45961</v>
      </c>
      <c r="I511" s="6">
        <v>45961</v>
      </c>
      <c r="J511" s="6">
        <v>45964</v>
      </c>
      <c r="K511" s="5" t="s">
        <v>41</v>
      </c>
      <c r="L511" s="5" t="s">
        <v>42</v>
      </c>
      <c r="M511" s="5" t="s">
        <v>43</v>
      </c>
      <c r="N511" s="5" t="s">
        <v>44</v>
      </c>
      <c r="O511" s="7">
        <v>186</v>
      </c>
      <c r="P511" s="5" t="s">
        <v>45</v>
      </c>
      <c r="Q511" s="22"/>
      <c r="R511" s="8">
        <f t="shared" si="21"/>
        <v>186</v>
      </c>
      <c r="S511" s="7">
        <v>186</v>
      </c>
      <c r="T511" s="7"/>
      <c r="U511" s="7">
        <f t="shared" si="23"/>
        <v>186</v>
      </c>
      <c r="V511" s="5" t="s">
        <v>45</v>
      </c>
      <c r="W511" s="7">
        <v>54.74</v>
      </c>
      <c r="X511" s="5" t="s">
        <v>46</v>
      </c>
      <c r="Z511" s="8">
        <f t="shared" si="22"/>
        <v>54.74</v>
      </c>
    </row>
    <row r="512" spans="1:26" x14ac:dyDescent="0.25">
      <c r="A512" s="5" t="s">
        <v>34</v>
      </c>
      <c r="B512" s="5" t="s">
        <v>185</v>
      </c>
      <c r="C512" s="5" t="s">
        <v>186</v>
      </c>
      <c r="D512" s="5" t="s">
        <v>37</v>
      </c>
      <c r="E512" s="5" t="s">
        <v>64</v>
      </c>
      <c r="F512" s="5" t="s">
        <v>65</v>
      </c>
      <c r="G512" s="5" t="s">
        <v>40</v>
      </c>
      <c r="H512" s="6">
        <v>45961</v>
      </c>
      <c r="I512" s="6">
        <v>45961</v>
      </c>
      <c r="J512" s="6">
        <v>45964</v>
      </c>
      <c r="K512" s="5" t="s">
        <v>135</v>
      </c>
      <c r="L512" s="5" t="s">
        <v>136</v>
      </c>
      <c r="M512" s="5" t="s">
        <v>43</v>
      </c>
      <c r="N512" s="5" t="s">
        <v>137</v>
      </c>
      <c r="O512" s="7">
        <v>1469.35</v>
      </c>
      <c r="P512" s="5" t="s">
        <v>45</v>
      </c>
      <c r="Q512" s="22"/>
      <c r="R512" s="8">
        <f t="shared" si="21"/>
        <v>1469.35</v>
      </c>
      <c r="S512" s="7">
        <v>1469.35</v>
      </c>
      <c r="T512" s="7"/>
      <c r="U512" s="7">
        <f t="shared" si="23"/>
        <v>1469.35</v>
      </c>
      <c r="V512" s="5" t="s">
        <v>45</v>
      </c>
      <c r="W512" s="7">
        <v>432.42</v>
      </c>
      <c r="X512" s="5" t="s">
        <v>46</v>
      </c>
      <c r="Z512" s="8">
        <f t="shared" si="22"/>
        <v>432.42</v>
      </c>
    </row>
    <row r="513" spans="1:26" x14ac:dyDescent="0.25">
      <c r="A513" s="5" t="s">
        <v>34</v>
      </c>
      <c r="B513" s="5" t="s">
        <v>185</v>
      </c>
      <c r="C513" s="5" t="s">
        <v>186</v>
      </c>
      <c r="D513" s="5" t="s">
        <v>37</v>
      </c>
      <c r="E513" s="5" t="s">
        <v>62</v>
      </c>
      <c r="F513" s="5" t="s">
        <v>63</v>
      </c>
      <c r="G513" s="5" t="s">
        <v>40</v>
      </c>
      <c r="H513" s="6">
        <v>45961</v>
      </c>
      <c r="I513" s="6">
        <v>45961</v>
      </c>
      <c r="J513" s="6">
        <v>45964</v>
      </c>
      <c r="K513" s="5" t="s">
        <v>135</v>
      </c>
      <c r="L513" s="5" t="s">
        <v>136</v>
      </c>
      <c r="M513" s="5" t="s">
        <v>43</v>
      </c>
      <c r="N513" s="5" t="s">
        <v>137</v>
      </c>
      <c r="O513" s="7">
        <v>3348</v>
      </c>
      <c r="P513" s="5" t="s">
        <v>45</v>
      </c>
      <c r="Q513" s="22"/>
      <c r="R513" s="8">
        <f t="shared" si="21"/>
        <v>3348</v>
      </c>
      <c r="S513" s="7">
        <v>3348</v>
      </c>
      <c r="T513" s="7"/>
      <c r="U513" s="7">
        <f t="shared" si="23"/>
        <v>3348</v>
      </c>
      <c r="V513" s="5" t="s">
        <v>45</v>
      </c>
      <c r="W513" s="7">
        <v>985.29</v>
      </c>
      <c r="X513" s="5" t="s">
        <v>46</v>
      </c>
      <c r="Z513" s="8">
        <f t="shared" si="22"/>
        <v>985.29</v>
      </c>
    </row>
    <row r="514" spans="1:26" x14ac:dyDescent="0.25">
      <c r="A514" s="5" t="s">
        <v>34</v>
      </c>
      <c r="B514" s="5" t="s">
        <v>185</v>
      </c>
      <c r="C514" s="5" t="s">
        <v>186</v>
      </c>
      <c r="D514" s="5" t="s">
        <v>37</v>
      </c>
      <c r="E514" s="5" t="s">
        <v>72</v>
      </c>
      <c r="F514" s="5" t="s">
        <v>73</v>
      </c>
      <c r="G514" s="5" t="s">
        <v>40</v>
      </c>
      <c r="H514" s="6">
        <v>45961</v>
      </c>
      <c r="I514" s="6">
        <v>45961</v>
      </c>
      <c r="J514" s="6">
        <v>45964</v>
      </c>
      <c r="K514" s="5" t="s">
        <v>135</v>
      </c>
      <c r="L514" s="5" t="s">
        <v>136</v>
      </c>
      <c r="M514" s="5" t="s">
        <v>43</v>
      </c>
      <c r="N514" s="5" t="s">
        <v>137</v>
      </c>
      <c r="O514" s="7">
        <v>359.6</v>
      </c>
      <c r="P514" s="5" t="s">
        <v>45</v>
      </c>
      <c r="Q514" s="22"/>
      <c r="R514" s="8">
        <f t="shared" ref="R514:R529" si="24">+O514+Q514</f>
        <v>359.6</v>
      </c>
      <c r="S514" s="7">
        <v>359.6</v>
      </c>
      <c r="T514" s="7"/>
      <c r="U514" s="7">
        <f t="shared" si="23"/>
        <v>359.6</v>
      </c>
      <c r="V514" s="5" t="s">
        <v>45</v>
      </c>
      <c r="W514" s="7">
        <v>105.83</v>
      </c>
      <c r="X514" s="5" t="s">
        <v>46</v>
      </c>
      <c r="Z514" s="8">
        <f t="shared" ref="Z514:Z577" si="25">+W514+Y514</f>
        <v>105.83</v>
      </c>
    </row>
    <row r="515" spans="1:26" x14ac:dyDescent="0.25">
      <c r="A515" s="5" t="s">
        <v>34</v>
      </c>
      <c r="B515" s="5" t="s">
        <v>185</v>
      </c>
      <c r="C515" s="5" t="s">
        <v>186</v>
      </c>
      <c r="D515" s="5" t="s">
        <v>37</v>
      </c>
      <c r="E515" s="5" t="s">
        <v>116</v>
      </c>
      <c r="F515" s="5" t="s">
        <v>117</v>
      </c>
      <c r="G515" s="5" t="s">
        <v>40</v>
      </c>
      <c r="H515" s="6">
        <v>45961</v>
      </c>
      <c r="I515" s="6">
        <v>45961</v>
      </c>
      <c r="J515" s="6">
        <v>45964</v>
      </c>
      <c r="K515" s="5" t="s">
        <v>135</v>
      </c>
      <c r="L515" s="5" t="s">
        <v>136</v>
      </c>
      <c r="M515" s="5" t="s">
        <v>43</v>
      </c>
      <c r="N515" s="5" t="s">
        <v>137</v>
      </c>
      <c r="O515" s="7">
        <v>1091.2</v>
      </c>
      <c r="P515" s="5" t="s">
        <v>45</v>
      </c>
      <c r="Q515" s="22"/>
      <c r="R515" s="8">
        <f t="shared" si="24"/>
        <v>1091.2</v>
      </c>
      <c r="S515" s="7">
        <v>1091.2</v>
      </c>
      <c r="T515" s="7"/>
      <c r="U515" s="7">
        <f t="shared" ref="U515:U578" si="26">+S515+T515</f>
        <v>1091.2</v>
      </c>
      <c r="V515" s="5" t="s">
        <v>45</v>
      </c>
      <c r="W515" s="7">
        <v>321.13</v>
      </c>
      <c r="X515" s="5" t="s">
        <v>46</v>
      </c>
      <c r="Z515" s="8">
        <f t="shared" si="25"/>
        <v>321.13</v>
      </c>
    </row>
    <row r="516" spans="1:26" x14ac:dyDescent="0.25">
      <c r="A516" s="5" t="s">
        <v>34</v>
      </c>
      <c r="B516" s="5" t="s">
        <v>185</v>
      </c>
      <c r="C516" s="5" t="s">
        <v>186</v>
      </c>
      <c r="D516" s="5" t="s">
        <v>37</v>
      </c>
      <c r="E516" s="5" t="s">
        <v>60</v>
      </c>
      <c r="F516" s="5" t="s">
        <v>61</v>
      </c>
      <c r="G516" s="5" t="s">
        <v>40</v>
      </c>
      <c r="H516" s="6">
        <v>45961</v>
      </c>
      <c r="I516" s="6">
        <v>45961</v>
      </c>
      <c r="J516" s="6">
        <v>45964</v>
      </c>
      <c r="K516" s="5" t="s">
        <v>135</v>
      </c>
      <c r="L516" s="5" t="s">
        <v>136</v>
      </c>
      <c r="M516" s="5" t="s">
        <v>43</v>
      </c>
      <c r="N516" s="5" t="s">
        <v>137</v>
      </c>
      <c r="O516" s="7">
        <v>2478.4499999999998</v>
      </c>
      <c r="P516" s="5" t="s">
        <v>45</v>
      </c>
      <c r="Q516" s="22"/>
      <c r="R516" s="8">
        <f t="shared" si="24"/>
        <v>2478.4499999999998</v>
      </c>
      <c r="S516" s="7">
        <v>2478.4499999999998</v>
      </c>
      <c r="T516" s="7"/>
      <c r="U516" s="7">
        <f t="shared" si="26"/>
        <v>2478.4499999999998</v>
      </c>
      <c r="V516" s="5" t="s">
        <v>45</v>
      </c>
      <c r="W516" s="7">
        <v>729.38</v>
      </c>
      <c r="X516" s="5" t="s">
        <v>46</v>
      </c>
      <c r="Z516" s="8">
        <f t="shared" si="25"/>
        <v>729.38</v>
      </c>
    </row>
    <row r="517" spans="1:26" x14ac:dyDescent="0.25">
      <c r="A517" s="5" t="s">
        <v>34</v>
      </c>
      <c r="B517" s="5" t="s">
        <v>185</v>
      </c>
      <c r="C517" s="5" t="s">
        <v>186</v>
      </c>
      <c r="D517" s="5" t="s">
        <v>37</v>
      </c>
      <c r="E517" s="5" t="s">
        <v>82</v>
      </c>
      <c r="F517" s="5" t="s">
        <v>83</v>
      </c>
      <c r="G517" s="5" t="s">
        <v>40</v>
      </c>
      <c r="H517" s="6">
        <v>45961</v>
      </c>
      <c r="I517" s="6">
        <v>45961</v>
      </c>
      <c r="J517" s="6">
        <v>45964</v>
      </c>
      <c r="K517" s="5" t="s">
        <v>135</v>
      </c>
      <c r="L517" s="5" t="s">
        <v>136</v>
      </c>
      <c r="M517" s="5" t="s">
        <v>43</v>
      </c>
      <c r="N517" s="5" t="s">
        <v>137</v>
      </c>
      <c r="O517" s="7">
        <v>1054</v>
      </c>
      <c r="P517" s="5" t="s">
        <v>45</v>
      </c>
      <c r="Q517" s="22"/>
      <c r="R517" s="8">
        <f t="shared" si="24"/>
        <v>1054</v>
      </c>
      <c r="S517" s="7">
        <v>1054</v>
      </c>
      <c r="T517" s="7"/>
      <c r="U517" s="7">
        <f t="shared" si="26"/>
        <v>1054</v>
      </c>
      <c r="V517" s="5" t="s">
        <v>45</v>
      </c>
      <c r="W517" s="7">
        <v>310.18</v>
      </c>
      <c r="X517" s="5" t="s">
        <v>46</v>
      </c>
      <c r="Z517" s="8">
        <f t="shared" si="25"/>
        <v>310.18</v>
      </c>
    </row>
    <row r="518" spans="1:26" x14ac:dyDescent="0.25">
      <c r="A518" s="5" t="s">
        <v>34</v>
      </c>
      <c r="B518" s="5" t="s">
        <v>185</v>
      </c>
      <c r="C518" s="5" t="s">
        <v>186</v>
      </c>
      <c r="D518" s="5" t="s">
        <v>37</v>
      </c>
      <c r="E518" s="5" t="s">
        <v>50</v>
      </c>
      <c r="F518" s="5" t="s">
        <v>51</v>
      </c>
      <c r="G518" s="5" t="s">
        <v>40</v>
      </c>
      <c r="H518" s="6">
        <v>45961</v>
      </c>
      <c r="I518" s="6">
        <v>45961</v>
      </c>
      <c r="J518" s="6">
        <v>45964</v>
      </c>
      <c r="K518" s="5" t="s">
        <v>135</v>
      </c>
      <c r="L518" s="5" t="s">
        <v>136</v>
      </c>
      <c r="M518" s="5" t="s">
        <v>43</v>
      </c>
      <c r="N518" s="5" t="s">
        <v>137</v>
      </c>
      <c r="O518" s="7">
        <v>2976</v>
      </c>
      <c r="P518" s="5" t="s">
        <v>45</v>
      </c>
      <c r="Q518" s="22"/>
      <c r="R518" s="8">
        <f t="shared" si="24"/>
        <v>2976</v>
      </c>
      <c r="S518" s="7">
        <v>2976</v>
      </c>
      <c r="T518" s="7"/>
      <c r="U518" s="7">
        <f t="shared" si="26"/>
        <v>2976</v>
      </c>
      <c r="V518" s="5" t="s">
        <v>45</v>
      </c>
      <c r="W518" s="7">
        <v>875.81</v>
      </c>
      <c r="X518" s="5" t="s">
        <v>46</v>
      </c>
      <c r="Z518" s="8">
        <f t="shared" si="25"/>
        <v>875.81</v>
      </c>
    </row>
    <row r="519" spans="1:26" x14ac:dyDescent="0.25">
      <c r="A519" s="5" t="s">
        <v>34</v>
      </c>
      <c r="B519" s="5" t="s">
        <v>185</v>
      </c>
      <c r="C519" s="5" t="s">
        <v>186</v>
      </c>
      <c r="D519" s="5" t="s">
        <v>37</v>
      </c>
      <c r="E519" s="5" t="s">
        <v>68</v>
      </c>
      <c r="F519" s="5" t="s">
        <v>69</v>
      </c>
      <c r="G519" s="5" t="s">
        <v>40</v>
      </c>
      <c r="H519" s="6">
        <v>45961</v>
      </c>
      <c r="I519" s="6">
        <v>45961</v>
      </c>
      <c r="J519" s="6">
        <v>45964</v>
      </c>
      <c r="K519" s="5" t="s">
        <v>135</v>
      </c>
      <c r="L519" s="5" t="s">
        <v>136</v>
      </c>
      <c r="M519" s="5" t="s">
        <v>43</v>
      </c>
      <c r="N519" s="5" t="s">
        <v>137</v>
      </c>
      <c r="O519" s="7">
        <v>372</v>
      </c>
      <c r="P519" s="5" t="s">
        <v>45</v>
      </c>
      <c r="Q519" s="22"/>
      <c r="R519" s="8">
        <f t="shared" si="24"/>
        <v>372</v>
      </c>
      <c r="S519" s="7">
        <v>372</v>
      </c>
      <c r="T519" s="7"/>
      <c r="U519" s="7">
        <f t="shared" si="26"/>
        <v>372</v>
      </c>
      <c r="V519" s="5" t="s">
        <v>45</v>
      </c>
      <c r="W519" s="7">
        <v>109.48</v>
      </c>
      <c r="X519" s="5" t="s">
        <v>46</v>
      </c>
      <c r="Z519" s="8">
        <f t="shared" si="25"/>
        <v>109.48</v>
      </c>
    </row>
    <row r="520" spans="1:26" x14ac:dyDescent="0.25">
      <c r="A520" s="5" t="s">
        <v>34</v>
      </c>
      <c r="B520" s="5" t="s">
        <v>185</v>
      </c>
      <c r="C520" s="5" t="s">
        <v>186</v>
      </c>
      <c r="D520" s="5" t="s">
        <v>37</v>
      </c>
      <c r="E520" s="5" t="s">
        <v>80</v>
      </c>
      <c r="F520" s="5" t="s">
        <v>81</v>
      </c>
      <c r="G520" s="5" t="s">
        <v>40</v>
      </c>
      <c r="H520" s="6">
        <v>45961</v>
      </c>
      <c r="I520" s="6">
        <v>45961</v>
      </c>
      <c r="J520" s="6">
        <v>45964</v>
      </c>
      <c r="K520" s="5" t="s">
        <v>135</v>
      </c>
      <c r="L520" s="5" t="s">
        <v>136</v>
      </c>
      <c r="M520" s="5" t="s">
        <v>43</v>
      </c>
      <c r="N520" s="5" t="s">
        <v>137</v>
      </c>
      <c r="O520" s="7">
        <v>1112.9000000000001</v>
      </c>
      <c r="P520" s="5" t="s">
        <v>45</v>
      </c>
      <c r="Q520" s="22"/>
      <c r="R520" s="8">
        <f t="shared" si="24"/>
        <v>1112.9000000000001</v>
      </c>
      <c r="S520" s="7">
        <v>1112.9000000000001</v>
      </c>
      <c r="T520" s="7"/>
      <c r="U520" s="7">
        <f t="shared" si="26"/>
        <v>1112.9000000000001</v>
      </c>
      <c r="V520" s="5" t="s">
        <v>45</v>
      </c>
      <c r="W520" s="7">
        <v>327.52</v>
      </c>
      <c r="X520" s="5" t="s">
        <v>46</v>
      </c>
      <c r="Z520" s="8">
        <f t="shared" si="25"/>
        <v>327.52</v>
      </c>
    </row>
    <row r="521" spans="1:26" x14ac:dyDescent="0.25">
      <c r="A521" s="5" t="s">
        <v>34</v>
      </c>
      <c r="B521" s="5" t="s">
        <v>185</v>
      </c>
      <c r="C521" s="5" t="s">
        <v>186</v>
      </c>
      <c r="D521" s="5" t="s">
        <v>37</v>
      </c>
      <c r="E521" s="5" t="s">
        <v>70</v>
      </c>
      <c r="F521" s="5" t="s">
        <v>71</v>
      </c>
      <c r="G521" s="5" t="s">
        <v>40</v>
      </c>
      <c r="H521" s="6">
        <v>45961</v>
      </c>
      <c r="I521" s="6">
        <v>45961</v>
      </c>
      <c r="J521" s="6">
        <v>45964</v>
      </c>
      <c r="K521" s="5" t="s">
        <v>135</v>
      </c>
      <c r="L521" s="5" t="s">
        <v>136</v>
      </c>
      <c r="M521" s="5" t="s">
        <v>43</v>
      </c>
      <c r="N521" s="5" t="s">
        <v>137</v>
      </c>
      <c r="O521" s="7">
        <v>372</v>
      </c>
      <c r="P521" s="5" t="s">
        <v>45</v>
      </c>
      <c r="Q521" s="22"/>
      <c r="R521" s="8">
        <f t="shared" si="24"/>
        <v>372</v>
      </c>
      <c r="S521" s="7">
        <v>372</v>
      </c>
      <c r="T521" s="7"/>
      <c r="U521" s="7">
        <f t="shared" si="26"/>
        <v>372</v>
      </c>
      <c r="V521" s="5" t="s">
        <v>45</v>
      </c>
      <c r="W521" s="7">
        <v>109.48</v>
      </c>
      <c r="X521" s="5" t="s">
        <v>46</v>
      </c>
      <c r="Z521" s="8">
        <f t="shared" si="25"/>
        <v>109.48</v>
      </c>
    </row>
    <row r="522" spans="1:26" x14ac:dyDescent="0.25">
      <c r="A522" s="5" t="s">
        <v>34</v>
      </c>
      <c r="B522" s="5" t="s">
        <v>185</v>
      </c>
      <c r="C522" s="5" t="s">
        <v>186</v>
      </c>
      <c r="D522" s="5" t="s">
        <v>37</v>
      </c>
      <c r="E522" s="5" t="s">
        <v>110</v>
      </c>
      <c r="F522" s="5" t="s">
        <v>111</v>
      </c>
      <c r="G522" s="5" t="s">
        <v>40</v>
      </c>
      <c r="H522" s="6">
        <v>45961</v>
      </c>
      <c r="I522" s="6">
        <v>45961</v>
      </c>
      <c r="J522" s="6">
        <v>45964</v>
      </c>
      <c r="K522" s="5" t="s">
        <v>135</v>
      </c>
      <c r="L522" s="5" t="s">
        <v>136</v>
      </c>
      <c r="M522" s="5" t="s">
        <v>43</v>
      </c>
      <c r="N522" s="5" t="s">
        <v>137</v>
      </c>
      <c r="O522" s="7">
        <v>3720</v>
      </c>
      <c r="P522" s="5" t="s">
        <v>45</v>
      </c>
      <c r="Q522" s="22"/>
      <c r="R522" s="8">
        <f t="shared" si="24"/>
        <v>3720</v>
      </c>
      <c r="S522" s="7">
        <v>3720</v>
      </c>
      <c r="T522" s="7"/>
      <c r="U522" s="7">
        <f t="shared" si="26"/>
        <v>3720</v>
      </c>
      <c r="V522" s="5" t="s">
        <v>45</v>
      </c>
      <c r="W522" s="7">
        <v>1094.76</v>
      </c>
      <c r="X522" s="5" t="s">
        <v>46</v>
      </c>
      <c r="Z522" s="8">
        <f t="shared" si="25"/>
        <v>1094.76</v>
      </c>
    </row>
    <row r="523" spans="1:26" x14ac:dyDescent="0.25">
      <c r="A523" s="5" t="s">
        <v>34</v>
      </c>
      <c r="B523" s="5" t="s">
        <v>185</v>
      </c>
      <c r="C523" s="5" t="s">
        <v>186</v>
      </c>
      <c r="D523" s="5" t="s">
        <v>37</v>
      </c>
      <c r="E523" s="5" t="s">
        <v>110</v>
      </c>
      <c r="F523" s="5" t="s">
        <v>111</v>
      </c>
      <c r="G523" s="5" t="s">
        <v>40</v>
      </c>
      <c r="H523" s="6">
        <v>45961</v>
      </c>
      <c r="I523" s="6">
        <v>45961</v>
      </c>
      <c r="J523" s="6">
        <v>45960</v>
      </c>
      <c r="K523" s="5" t="s">
        <v>150</v>
      </c>
      <c r="L523" s="5" t="s">
        <v>151</v>
      </c>
      <c r="M523" s="5" t="s">
        <v>43</v>
      </c>
      <c r="N523" s="5" t="s">
        <v>152</v>
      </c>
      <c r="O523" s="7">
        <v>173.6</v>
      </c>
      <c r="P523" s="5" t="s">
        <v>45</v>
      </c>
      <c r="Q523" s="22"/>
      <c r="R523" s="8">
        <f t="shared" si="24"/>
        <v>173.6</v>
      </c>
      <c r="S523" s="7">
        <v>173.6</v>
      </c>
      <c r="T523" s="7"/>
      <c r="U523" s="7">
        <f t="shared" si="26"/>
        <v>173.6</v>
      </c>
      <c r="V523" s="5" t="s">
        <v>45</v>
      </c>
      <c r="W523" s="7">
        <v>51.15</v>
      </c>
      <c r="X523" s="5" t="s">
        <v>46</v>
      </c>
      <c r="Z523" s="8">
        <f t="shared" si="25"/>
        <v>51.15</v>
      </c>
    </row>
    <row r="524" spans="1:26" x14ac:dyDescent="0.25">
      <c r="A524" s="5" t="s">
        <v>34</v>
      </c>
      <c r="B524" s="5" t="s">
        <v>185</v>
      </c>
      <c r="C524" s="5" t="s">
        <v>186</v>
      </c>
      <c r="D524" s="5" t="s">
        <v>37</v>
      </c>
      <c r="E524" s="5" t="s">
        <v>92</v>
      </c>
      <c r="F524" s="5" t="s">
        <v>93</v>
      </c>
      <c r="G524" s="5" t="s">
        <v>40</v>
      </c>
      <c r="H524" s="6">
        <v>45961</v>
      </c>
      <c r="I524" s="6">
        <v>45961</v>
      </c>
      <c r="J524" s="6">
        <v>45964</v>
      </c>
      <c r="K524" s="5" t="s">
        <v>135</v>
      </c>
      <c r="L524" s="5" t="s">
        <v>136</v>
      </c>
      <c r="M524" s="5" t="s">
        <v>43</v>
      </c>
      <c r="N524" s="5" t="s">
        <v>137</v>
      </c>
      <c r="O524" s="7">
        <v>372</v>
      </c>
      <c r="P524" s="5" t="s">
        <v>45</v>
      </c>
      <c r="Q524" s="22"/>
      <c r="R524" s="8">
        <f t="shared" si="24"/>
        <v>372</v>
      </c>
      <c r="S524" s="7">
        <v>372</v>
      </c>
      <c r="T524" s="7"/>
      <c r="U524" s="7">
        <f t="shared" si="26"/>
        <v>372</v>
      </c>
      <c r="V524" s="5" t="s">
        <v>45</v>
      </c>
      <c r="W524" s="7">
        <v>109.48</v>
      </c>
      <c r="X524" s="5" t="s">
        <v>46</v>
      </c>
      <c r="Z524" s="8">
        <f t="shared" si="25"/>
        <v>109.48</v>
      </c>
    </row>
    <row r="525" spans="1:26" x14ac:dyDescent="0.25">
      <c r="A525" s="5" t="s">
        <v>34</v>
      </c>
      <c r="B525" s="5" t="s">
        <v>185</v>
      </c>
      <c r="C525" s="5" t="s">
        <v>186</v>
      </c>
      <c r="D525" s="5" t="s">
        <v>37</v>
      </c>
      <c r="E525" s="5" t="s">
        <v>38</v>
      </c>
      <c r="F525" s="5" t="s">
        <v>39</v>
      </c>
      <c r="G525" s="5" t="s">
        <v>40</v>
      </c>
      <c r="H525" s="6">
        <v>45961</v>
      </c>
      <c r="I525" s="6">
        <v>45961</v>
      </c>
      <c r="J525" s="6">
        <v>45964</v>
      </c>
      <c r="K525" s="5" t="s">
        <v>135</v>
      </c>
      <c r="L525" s="5" t="s">
        <v>136</v>
      </c>
      <c r="M525" s="5" t="s">
        <v>43</v>
      </c>
      <c r="N525" s="5" t="s">
        <v>137</v>
      </c>
      <c r="O525" s="7">
        <v>2894.63</v>
      </c>
      <c r="P525" s="5" t="s">
        <v>45</v>
      </c>
      <c r="Q525" s="22"/>
      <c r="R525" s="8">
        <f t="shared" si="24"/>
        <v>2894.63</v>
      </c>
      <c r="S525" s="7">
        <v>2894.63</v>
      </c>
      <c r="T525" s="7"/>
      <c r="U525" s="7">
        <f t="shared" si="26"/>
        <v>2894.63</v>
      </c>
      <c r="V525" s="5" t="s">
        <v>45</v>
      </c>
      <c r="W525" s="7">
        <v>851.86</v>
      </c>
      <c r="X525" s="5" t="s">
        <v>46</v>
      </c>
      <c r="Z525" s="8">
        <f t="shared" si="25"/>
        <v>851.86</v>
      </c>
    </row>
    <row r="526" spans="1:26" x14ac:dyDescent="0.25">
      <c r="A526" s="5" t="s">
        <v>34</v>
      </c>
      <c r="B526" s="5" t="s">
        <v>185</v>
      </c>
      <c r="C526" s="5" t="s">
        <v>186</v>
      </c>
      <c r="D526" s="5" t="s">
        <v>37</v>
      </c>
      <c r="E526" s="5" t="s">
        <v>48</v>
      </c>
      <c r="F526" s="5" t="s">
        <v>49</v>
      </c>
      <c r="G526" s="5" t="s">
        <v>40</v>
      </c>
      <c r="H526" s="6">
        <v>45961</v>
      </c>
      <c r="I526" s="6">
        <v>45961</v>
      </c>
      <c r="J526" s="6">
        <v>45964</v>
      </c>
      <c r="K526" s="5" t="s">
        <v>135</v>
      </c>
      <c r="L526" s="5" t="s">
        <v>136</v>
      </c>
      <c r="M526" s="5" t="s">
        <v>43</v>
      </c>
      <c r="N526" s="5" t="s">
        <v>137</v>
      </c>
      <c r="O526" s="7">
        <v>372</v>
      </c>
      <c r="P526" s="5" t="s">
        <v>45</v>
      </c>
      <c r="Q526" s="22"/>
      <c r="R526" s="8">
        <f t="shared" si="24"/>
        <v>372</v>
      </c>
      <c r="S526" s="7">
        <v>372</v>
      </c>
      <c r="T526" s="7"/>
      <c r="U526" s="7">
        <f t="shared" si="26"/>
        <v>372</v>
      </c>
      <c r="V526" s="5" t="s">
        <v>45</v>
      </c>
      <c r="W526" s="7">
        <v>109.48</v>
      </c>
      <c r="X526" s="5" t="s">
        <v>46</v>
      </c>
      <c r="Z526" s="8">
        <f t="shared" si="25"/>
        <v>109.48</v>
      </c>
    </row>
    <row r="527" spans="1:26" x14ac:dyDescent="0.25">
      <c r="A527" s="5" t="s">
        <v>34</v>
      </c>
      <c r="B527" s="5" t="s">
        <v>185</v>
      </c>
      <c r="C527" s="5" t="s">
        <v>186</v>
      </c>
      <c r="D527" s="5" t="s">
        <v>37</v>
      </c>
      <c r="E527" s="5" t="s">
        <v>142</v>
      </c>
      <c r="F527" s="5" t="s">
        <v>143</v>
      </c>
      <c r="G527" s="5" t="s">
        <v>40</v>
      </c>
      <c r="H527" s="6">
        <v>45961</v>
      </c>
      <c r="I527" s="6">
        <v>45961</v>
      </c>
      <c r="J527" s="6">
        <v>45961</v>
      </c>
      <c r="K527" s="5" t="s">
        <v>144</v>
      </c>
      <c r="L527" s="5" t="s">
        <v>145</v>
      </c>
      <c r="M527" s="5" t="s">
        <v>43</v>
      </c>
      <c r="N527" s="5" t="s">
        <v>146</v>
      </c>
      <c r="O527" s="7">
        <v>334.03</v>
      </c>
      <c r="P527" s="5" t="s">
        <v>45</v>
      </c>
      <c r="Q527" s="22"/>
      <c r="R527" s="8">
        <f t="shared" si="24"/>
        <v>334.03</v>
      </c>
      <c r="S527" s="7">
        <v>334.03</v>
      </c>
      <c r="T527" s="7"/>
      <c r="U527" s="7">
        <f t="shared" si="26"/>
        <v>334.03</v>
      </c>
      <c r="V527" s="5" t="s">
        <v>45</v>
      </c>
      <c r="W527" s="7">
        <v>98.3</v>
      </c>
      <c r="X527" s="5" t="s">
        <v>46</v>
      </c>
      <c r="Z527" s="8">
        <f t="shared" si="25"/>
        <v>98.3</v>
      </c>
    </row>
    <row r="528" spans="1:26" x14ac:dyDescent="0.25">
      <c r="A528" s="5" t="s">
        <v>34</v>
      </c>
      <c r="B528" s="5" t="s">
        <v>185</v>
      </c>
      <c r="C528" s="5" t="s">
        <v>186</v>
      </c>
      <c r="D528" s="5" t="s">
        <v>37</v>
      </c>
      <c r="E528" s="5" t="s">
        <v>74</v>
      </c>
      <c r="F528" s="5" t="s">
        <v>75</v>
      </c>
      <c r="G528" s="5" t="s">
        <v>40</v>
      </c>
      <c r="H528" s="6">
        <v>45961</v>
      </c>
      <c r="I528" s="6">
        <v>45961</v>
      </c>
      <c r="J528" s="6">
        <v>45964</v>
      </c>
      <c r="K528" s="5" t="s">
        <v>135</v>
      </c>
      <c r="L528" s="5" t="s">
        <v>136</v>
      </c>
      <c r="M528" s="5" t="s">
        <v>43</v>
      </c>
      <c r="N528" s="5" t="s">
        <v>137</v>
      </c>
      <c r="O528" s="7">
        <v>4075.73</v>
      </c>
      <c r="P528" s="5" t="s">
        <v>45</v>
      </c>
      <c r="Q528" s="22"/>
      <c r="R528" s="8">
        <f t="shared" si="24"/>
        <v>4075.73</v>
      </c>
      <c r="S528" s="7">
        <v>4075.73</v>
      </c>
      <c r="T528" s="7"/>
      <c r="U528" s="7">
        <f t="shared" si="26"/>
        <v>4075.73</v>
      </c>
      <c r="V528" s="5" t="s">
        <v>45</v>
      </c>
      <c r="W528" s="7">
        <v>1199.45</v>
      </c>
      <c r="X528" s="5" t="s">
        <v>46</v>
      </c>
      <c r="Z528" s="8">
        <f t="shared" si="25"/>
        <v>1199.45</v>
      </c>
    </row>
    <row r="529" spans="1:26" x14ac:dyDescent="0.25">
      <c r="A529" s="5" t="s">
        <v>34</v>
      </c>
      <c r="B529" s="5" t="s">
        <v>185</v>
      </c>
      <c r="C529" s="5" t="s">
        <v>186</v>
      </c>
      <c r="D529" s="5" t="s">
        <v>37</v>
      </c>
      <c r="E529" s="5" t="s">
        <v>100</v>
      </c>
      <c r="F529" s="5" t="s">
        <v>101</v>
      </c>
      <c r="G529" s="5" t="s">
        <v>40</v>
      </c>
      <c r="H529" s="6">
        <v>45961</v>
      </c>
      <c r="I529" s="6">
        <v>45961</v>
      </c>
      <c r="J529" s="6">
        <v>45964</v>
      </c>
      <c r="K529" s="5" t="s">
        <v>135</v>
      </c>
      <c r="L529" s="5" t="s">
        <v>136</v>
      </c>
      <c r="M529" s="5" t="s">
        <v>43</v>
      </c>
      <c r="N529" s="5" t="s">
        <v>137</v>
      </c>
      <c r="O529" s="7">
        <v>1116</v>
      </c>
      <c r="P529" s="5" t="s">
        <v>45</v>
      </c>
      <c r="Q529" s="22"/>
      <c r="R529" s="8">
        <f t="shared" si="24"/>
        <v>1116</v>
      </c>
      <c r="S529" s="7">
        <v>1116</v>
      </c>
      <c r="T529" s="7"/>
      <c r="U529" s="7">
        <f t="shared" si="26"/>
        <v>1116</v>
      </c>
      <c r="V529" s="5" t="s">
        <v>45</v>
      </c>
      <c r="W529" s="7">
        <v>328.43</v>
      </c>
      <c r="X529" s="5" t="s">
        <v>46</v>
      </c>
      <c r="Z529" s="8">
        <f t="shared" si="25"/>
        <v>328.43</v>
      </c>
    </row>
    <row r="530" spans="1:26" x14ac:dyDescent="0.25">
      <c r="A530" s="5" t="s">
        <v>34</v>
      </c>
      <c r="B530" s="5" t="s">
        <v>187</v>
      </c>
      <c r="C530" s="5" t="s">
        <v>188</v>
      </c>
      <c r="D530" s="5" t="s">
        <v>37</v>
      </c>
      <c r="E530" s="5" t="s">
        <v>94</v>
      </c>
      <c r="F530" s="5" t="s">
        <v>95</v>
      </c>
      <c r="G530" s="5" t="s">
        <v>40</v>
      </c>
      <c r="H530" s="6">
        <v>45961</v>
      </c>
      <c r="I530" s="6">
        <v>45961</v>
      </c>
      <c r="J530" s="6">
        <v>45964</v>
      </c>
      <c r="K530" s="5" t="s">
        <v>41</v>
      </c>
      <c r="L530" s="5" t="s">
        <v>42</v>
      </c>
      <c r="M530" s="5" t="s">
        <v>43</v>
      </c>
      <c r="N530" s="5" t="s">
        <v>44</v>
      </c>
      <c r="O530" s="7">
        <v>11600</v>
      </c>
      <c r="P530" s="5" t="s">
        <v>45</v>
      </c>
      <c r="Q530" s="19">
        <f>-ROUND(O530/3*2,2)</f>
        <v>-7733.33</v>
      </c>
      <c r="R530" s="8">
        <f>+O530+Q530</f>
        <v>3866.67</v>
      </c>
      <c r="S530" s="7">
        <v>11600</v>
      </c>
      <c r="T530" s="7">
        <f t="shared" ref="T530:T593" si="27">+Q530</f>
        <v>-7733.33</v>
      </c>
      <c r="U530" s="7">
        <f t="shared" si="26"/>
        <v>3866.67</v>
      </c>
      <c r="V530" s="5" t="s">
        <v>45</v>
      </c>
      <c r="W530" s="7">
        <v>3413.77</v>
      </c>
      <c r="X530" s="5" t="s">
        <v>46</v>
      </c>
      <c r="Y530" s="8">
        <f>-ROUND(W530/3*2,2)</f>
        <v>-2275.85</v>
      </c>
      <c r="Z530" s="8">
        <f t="shared" si="25"/>
        <v>1137.92</v>
      </c>
    </row>
    <row r="531" spans="1:26" x14ac:dyDescent="0.25">
      <c r="A531" s="5" t="s">
        <v>34</v>
      </c>
      <c r="B531" s="5" t="s">
        <v>187</v>
      </c>
      <c r="C531" s="5" t="s">
        <v>188</v>
      </c>
      <c r="D531" s="5" t="s">
        <v>37</v>
      </c>
      <c r="E531" s="5" t="s">
        <v>84</v>
      </c>
      <c r="F531" s="5" t="s">
        <v>85</v>
      </c>
      <c r="G531" s="5" t="s">
        <v>40</v>
      </c>
      <c r="H531" s="6">
        <v>45961</v>
      </c>
      <c r="I531" s="6">
        <v>45961</v>
      </c>
      <c r="J531" s="6">
        <v>45964</v>
      </c>
      <c r="K531" s="5" t="s">
        <v>41</v>
      </c>
      <c r="L531" s="5" t="s">
        <v>42</v>
      </c>
      <c r="M531" s="5" t="s">
        <v>43</v>
      </c>
      <c r="N531" s="5" t="s">
        <v>44</v>
      </c>
      <c r="O531" s="7">
        <v>8700</v>
      </c>
      <c r="P531" s="5" t="s">
        <v>45</v>
      </c>
      <c r="Q531" s="19">
        <f t="shared" ref="Q531:Q594" si="28">-ROUND(O531/3*2,2)</f>
        <v>-5800</v>
      </c>
      <c r="R531" s="8">
        <f t="shared" ref="R531:R595" si="29">+O531+Q531</f>
        <v>2900</v>
      </c>
      <c r="S531" s="7">
        <v>8700</v>
      </c>
      <c r="T531" s="7">
        <f t="shared" si="27"/>
        <v>-5800</v>
      </c>
      <c r="U531" s="7">
        <f t="shared" si="26"/>
        <v>2900</v>
      </c>
      <c r="V531" s="5" t="s">
        <v>45</v>
      </c>
      <c r="W531" s="7">
        <v>2560.33</v>
      </c>
      <c r="X531" s="5" t="s">
        <v>46</v>
      </c>
      <c r="Y531" s="8">
        <f t="shared" ref="Y531:Y593" si="30">-ROUND(W531/3*2,2)</f>
        <v>-1706.89</v>
      </c>
      <c r="Z531" s="8">
        <f t="shared" si="25"/>
        <v>853.43999999999983</v>
      </c>
    </row>
    <row r="532" spans="1:26" x14ac:dyDescent="0.25">
      <c r="A532" s="5" t="s">
        <v>34</v>
      </c>
      <c r="B532" s="5" t="s">
        <v>187</v>
      </c>
      <c r="C532" s="5" t="s">
        <v>188</v>
      </c>
      <c r="D532" s="5" t="s">
        <v>37</v>
      </c>
      <c r="E532" s="5" t="s">
        <v>54</v>
      </c>
      <c r="F532" s="5" t="s">
        <v>55</v>
      </c>
      <c r="G532" s="5" t="s">
        <v>40</v>
      </c>
      <c r="H532" s="6">
        <v>45961</v>
      </c>
      <c r="I532" s="6">
        <v>45961</v>
      </c>
      <c r="J532" s="6">
        <v>45964</v>
      </c>
      <c r="K532" s="5" t="s">
        <v>41</v>
      </c>
      <c r="L532" s="5" t="s">
        <v>42</v>
      </c>
      <c r="M532" s="5" t="s">
        <v>43</v>
      </c>
      <c r="N532" s="5" t="s">
        <v>44</v>
      </c>
      <c r="O532" s="7">
        <v>2900</v>
      </c>
      <c r="P532" s="5" t="s">
        <v>45</v>
      </c>
      <c r="Q532" s="19">
        <f t="shared" si="28"/>
        <v>-1933.33</v>
      </c>
      <c r="R532" s="8">
        <f t="shared" si="29"/>
        <v>966.67000000000007</v>
      </c>
      <c r="S532" s="7">
        <v>2900</v>
      </c>
      <c r="T532" s="7">
        <f t="shared" si="27"/>
        <v>-1933.33</v>
      </c>
      <c r="U532" s="7">
        <f t="shared" si="26"/>
        <v>966.67000000000007</v>
      </c>
      <c r="V532" s="5" t="s">
        <v>45</v>
      </c>
      <c r="W532" s="7">
        <v>853.44</v>
      </c>
      <c r="X532" s="5" t="s">
        <v>46</v>
      </c>
      <c r="Y532" s="8">
        <f t="shared" si="30"/>
        <v>-568.96</v>
      </c>
      <c r="Z532" s="8">
        <f t="shared" si="25"/>
        <v>284.48</v>
      </c>
    </row>
    <row r="533" spans="1:26" x14ac:dyDescent="0.25">
      <c r="A533" s="5" t="s">
        <v>34</v>
      </c>
      <c r="B533" s="5" t="s">
        <v>187</v>
      </c>
      <c r="C533" s="5" t="s">
        <v>188</v>
      </c>
      <c r="D533" s="5" t="s">
        <v>37</v>
      </c>
      <c r="E533" s="5" t="s">
        <v>72</v>
      </c>
      <c r="F533" s="5" t="s">
        <v>73</v>
      </c>
      <c r="G533" s="5" t="s">
        <v>40</v>
      </c>
      <c r="H533" s="6">
        <v>45961</v>
      </c>
      <c r="I533" s="6">
        <v>45961</v>
      </c>
      <c r="J533" s="6">
        <v>45964</v>
      </c>
      <c r="K533" s="5" t="s">
        <v>41</v>
      </c>
      <c r="L533" s="5" t="s">
        <v>42</v>
      </c>
      <c r="M533" s="5" t="s">
        <v>43</v>
      </c>
      <c r="N533" s="5" t="s">
        <v>44</v>
      </c>
      <c r="O533" s="7">
        <v>2900</v>
      </c>
      <c r="P533" s="5" t="s">
        <v>45</v>
      </c>
      <c r="Q533" s="19">
        <f t="shared" si="28"/>
        <v>-1933.33</v>
      </c>
      <c r="R533" s="8">
        <f t="shared" si="29"/>
        <v>966.67000000000007</v>
      </c>
      <c r="S533" s="7">
        <v>2900</v>
      </c>
      <c r="T533" s="7">
        <f t="shared" si="27"/>
        <v>-1933.33</v>
      </c>
      <c r="U533" s="7">
        <f t="shared" si="26"/>
        <v>966.67000000000007</v>
      </c>
      <c r="V533" s="5" t="s">
        <v>45</v>
      </c>
      <c r="W533" s="7">
        <v>853.44</v>
      </c>
      <c r="X533" s="5" t="s">
        <v>46</v>
      </c>
      <c r="Y533" s="8">
        <f t="shared" si="30"/>
        <v>-568.96</v>
      </c>
      <c r="Z533" s="8">
        <f t="shared" si="25"/>
        <v>284.48</v>
      </c>
    </row>
    <row r="534" spans="1:26" x14ac:dyDescent="0.25">
      <c r="A534" s="5" t="s">
        <v>34</v>
      </c>
      <c r="B534" s="5" t="s">
        <v>187</v>
      </c>
      <c r="C534" s="5" t="s">
        <v>188</v>
      </c>
      <c r="D534" s="5" t="s">
        <v>37</v>
      </c>
      <c r="E534" s="5" t="s">
        <v>118</v>
      </c>
      <c r="F534" s="5" t="s">
        <v>119</v>
      </c>
      <c r="G534" s="5" t="s">
        <v>40</v>
      </c>
      <c r="H534" s="6">
        <v>45961</v>
      </c>
      <c r="I534" s="6">
        <v>45961</v>
      </c>
      <c r="J534" s="6">
        <v>45964</v>
      </c>
      <c r="K534" s="5" t="s">
        <v>41</v>
      </c>
      <c r="L534" s="5" t="s">
        <v>42</v>
      </c>
      <c r="M534" s="5" t="s">
        <v>43</v>
      </c>
      <c r="N534" s="5" t="s">
        <v>44</v>
      </c>
      <c r="O534" s="7">
        <v>2900</v>
      </c>
      <c r="P534" s="5" t="s">
        <v>45</v>
      </c>
      <c r="Q534" s="19">
        <f t="shared" si="28"/>
        <v>-1933.33</v>
      </c>
      <c r="R534" s="8">
        <f t="shared" si="29"/>
        <v>966.67000000000007</v>
      </c>
      <c r="S534" s="7">
        <v>2900</v>
      </c>
      <c r="T534" s="7">
        <f t="shared" si="27"/>
        <v>-1933.33</v>
      </c>
      <c r="U534" s="7">
        <f t="shared" si="26"/>
        <v>966.67000000000007</v>
      </c>
      <c r="V534" s="5" t="s">
        <v>45</v>
      </c>
      <c r="W534" s="7">
        <v>853.44</v>
      </c>
      <c r="X534" s="5" t="s">
        <v>46</v>
      </c>
      <c r="Y534" s="8">
        <f t="shared" si="30"/>
        <v>-568.96</v>
      </c>
      <c r="Z534" s="8">
        <f t="shared" si="25"/>
        <v>284.48</v>
      </c>
    </row>
    <row r="535" spans="1:26" x14ac:dyDescent="0.25">
      <c r="A535" s="5" t="s">
        <v>34</v>
      </c>
      <c r="B535" s="5" t="s">
        <v>187</v>
      </c>
      <c r="C535" s="5" t="s">
        <v>188</v>
      </c>
      <c r="D535" s="5" t="s">
        <v>37</v>
      </c>
      <c r="E535" s="5" t="s">
        <v>80</v>
      </c>
      <c r="F535" s="5" t="s">
        <v>81</v>
      </c>
      <c r="G535" s="5" t="s">
        <v>40</v>
      </c>
      <c r="H535" s="6">
        <v>45961</v>
      </c>
      <c r="I535" s="6">
        <v>45961</v>
      </c>
      <c r="J535" s="6">
        <v>45964</v>
      </c>
      <c r="K535" s="5" t="s">
        <v>41</v>
      </c>
      <c r="L535" s="5" t="s">
        <v>42</v>
      </c>
      <c r="M535" s="5" t="s">
        <v>43</v>
      </c>
      <c r="N535" s="5" t="s">
        <v>44</v>
      </c>
      <c r="O535" s="7">
        <v>5800</v>
      </c>
      <c r="P535" s="5" t="s">
        <v>45</v>
      </c>
      <c r="Q535" s="19">
        <f t="shared" si="28"/>
        <v>-3866.67</v>
      </c>
      <c r="R535" s="8">
        <f t="shared" si="29"/>
        <v>1933.33</v>
      </c>
      <c r="S535" s="7">
        <v>5800</v>
      </c>
      <c r="T535" s="7">
        <f t="shared" si="27"/>
        <v>-3866.67</v>
      </c>
      <c r="U535" s="7">
        <f t="shared" si="26"/>
        <v>1933.33</v>
      </c>
      <c r="V535" s="5" t="s">
        <v>45</v>
      </c>
      <c r="W535" s="7">
        <v>1706.89</v>
      </c>
      <c r="X535" s="5" t="s">
        <v>46</v>
      </c>
      <c r="Y535" s="8">
        <f t="shared" si="30"/>
        <v>-1137.93</v>
      </c>
      <c r="Z535" s="8">
        <f t="shared" si="25"/>
        <v>568.96</v>
      </c>
    </row>
    <row r="536" spans="1:26" x14ac:dyDescent="0.25">
      <c r="A536" s="5" t="s">
        <v>34</v>
      </c>
      <c r="B536" s="5" t="s">
        <v>187</v>
      </c>
      <c r="C536" s="5" t="s">
        <v>188</v>
      </c>
      <c r="D536" s="5" t="s">
        <v>37</v>
      </c>
      <c r="E536" s="5" t="s">
        <v>100</v>
      </c>
      <c r="F536" s="5" t="s">
        <v>101</v>
      </c>
      <c r="G536" s="5" t="s">
        <v>40</v>
      </c>
      <c r="H536" s="6">
        <v>45961</v>
      </c>
      <c r="I536" s="6">
        <v>45961</v>
      </c>
      <c r="J536" s="6">
        <v>45964</v>
      </c>
      <c r="K536" s="5" t="s">
        <v>41</v>
      </c>
      <c r="L536" s="5" t="s">
        <v>42</v>
      </c>
      <c r="M536" s="5" t="s">
        <v>43</v>
      </c>
      <c r="N536" s="5" t="s">
        <v>44</v>
      </c>
      <c r="O536" s="7">
        <v>8700</v>
      </c>
      <c r="P536" s="5" t="s">
        <v>45</v>
      </c>
      <c r="Q536" s="19">
        <f t="shared" si="28"/>
        <v>-5800</v>
      </c>
      <c r="R536" s="8">
        <f t="shared" si="29"/>
        <v>2900</v>
      </c>
      <c r="S536" s="7">
        <v>8700</v>
      </c>
      <c r="T536" s="7">
        <f t="shared" si="27"/>
        <v>-5800</v>
      </c>
      <c r="U536" s="7">
        <f t="shared" si="26"/>
        <v>2900</v>
      </c>
      <c r="V536" s="5" t="s">
        <v>45</v>
      </c>
      <c r="W536" s="7">
        <v>2560.33</v>
      </c>
      <c r="X536" s="5" t="s">
        <v>46</v>
      </c>
      <c r="Y536" s="8">
        <f t="shared" si="30"/>
        <v>-1706.89</v>
      </c>
      <c r="Z536" s="8">
        <f t="shared" si="25"/>
        <v>853.43999999999983</v>
      </c>
    </row>
    <row r="537" spans="1:26" x14ac:dyDescent="0.25">
      <c r="A537" s="5" t="s">
        <v>34</v>
      </c>
      <c r="B537" s="5" t="s">
        <v>187</v>
      </c>
      <c r="C537" s="5" t="s">
        <v>188</v>
      </c>
      <c r="D537" s="5" t="s">
        <v>37</v>
      </c>
      <c r="E537" s="5" t="s">
        <v>98</v>
      </c>
      <c r="F537" s="5" t="s">
        <v>99</v>
      </c>
      <c r="G537" s="5" t="s">
        <v>40</v>
      </c>
      <c r="H537" s="6">
        <v>45961</v>
      </c>
      <c r="I537" s="6">
        <v>45961</v>
      </c>
      <c r="J537" s="6">
        <v>45964</v>
      </c>
      <c r="K537" s="5" t="s">
        <v>41</v>
      </c>
      <c r="L537" s="5" t="s">
        <v>42</v>
      </c>
      <c r="M537" s="5" t="s">
        <v>43</v>
      </c>
      <c r="N537" s="5" t="s">
        <v>44</v>
      </c>
      <c r="O537" s="7">
        <v>2900</v>
      </c>
      <c r="P537" s="5" t="s">
        <v>45</v>
      </c>
      <c r="Q537" s="19">
        <f t="shared" si="28"/>
        <v>-1933.33</v>
      </c>
      <c r="R537" s="8">
        <f t="shared" si="29"/>
        <v>966.67000000000007</v>
      </c>
      <c r="S537" s="7">
        <v>2900</v>
      </c>
      <c r="T537" s="7">
        <f t="shared" si="27"/>
        <v>-1933.33</v>
      </c>
      <c r="U537" s="7">
        <f t="shared" si="26"/>
        <v>966.67000000000007</v>
      </c>
      <c r="V537" s="5" t="s">
        <v>45</v>
      </c>
      <c r="W537" s="7">
        <v>853.44</v>
      </c>
      <c r="X537" s="5" t="s">
        <v>46</v>
      </c>
      <c r="Y537" s="8">
        <f t="shared" si="30"/>
        <v>-568.96</v>
      </c>
      <c r="Z537" s="8">
        <f t="shared" si="25"/>
        <v>284.48</v>
      </c>
    </row>
    <row r="538" spans="1:26" x14ac:dyDescent="0.25">
      <c r="A538" s="5" t="s">
        <v>34</v>
      </c>
      <c r="B538" s="5" t="s">
        <v>187</v>
      </c>
      <c r="C538" s="5" t="s">
        <v>188</v>
      </c>
      <c r="D538" s="5" t="s">
        <v>37</v>
      </c>
      <c r="E538" s="5" t="s">
        <v>114</v>
      </c>
      <c r="F538" s="5" t="s">
        <v>115</v>
      </c>
      <c r="G538" s="5" t="s">
        <v>40</v>
      </c>
      <c r="H538" s="6">
        <v>45961</v>
      </c>
      <c r="I538" s="6">
        <v>45961</v>
      </c>
      <c r="J538" s="6">
        <v>45964</v>
      </c>
      <c r="K538" s="5" t="s">
        <v>41</v>
      </c>
      <c r="L538" s="5" t="s">
        <v>42</v>
      </c>
      <c r="M538" s="5" t="s">
        <v>43</v>
      </c>
      <c r="N538" s="5" t="s">
        <v>44</v>
      </c>
      <c r="O538" s="7">
        <v>8700</v>
      </c>
      <c r="P538" s="5" t="s">
        <v>45</v>
      </c>
      <c r="Q538" s="19">
        <f t="shared" si="28"/>
        <v>-5800</v>
      </c>
      <c r="R538" s="8">
        <f t="shared" si="29"/>
        <v>2900</v>
      </c>
      <c r="S538" s="7">
        <v>8700</v>
      </c>
      <c r="T538" s="7">
        <f t="shared" si="27"/>
        <v>-5800</v>
      </c>
      <c r="U538" s="7">
        <f t="shared" si="26"/>
        <v>2900</v>
      </c>
      <c r="V538" s="5" t="s">
        <v>45</v>
      </c>
      <c r="W538" s="7">
        <v>2560.33</v>
      </c>
      <c r="X538" s="5" t="s">
        <v>46</v>
      </c>
      <c r="Y538" s="8">
        <f t="shared" si="30"/>
        <v>-1706.89</v>
      </c>
      <c r="Z538" s="8">
        <f t="shared" si="25"/>
        <v>853.43999999999983</v>
      </c>
    </row>
    <row r="539" spans="1:26" x14ac:dyDescent="0.25">
      <c r="A539" s="5" t="s">
        <v>34</v>
      </c>
      <c r="B539" s="5" t="s">
        <v>187</v>
      </c>
      <c r="C539" s="5" t="s">
        <v>188</v>
      </c>
      <c r="D539" s="5" t="s">
        <v>37</v>
      </c>
      <c r="E539" s="5" t="s">
        <v>50</v>
      </c>
      <c r="F539" s="5" t="s">
        <v>51</v>
      </c>
      <c r="G539" s="5" t="s">
        <v>40</v>
      </c>
      <c r="H539" s="6">
        <v>45961</v>
      </c>
      <c r="I539" s="6">
        <v>45961</v>
      </c>
      <c r="J539" s="6">
        <v>45964</v>
      </c>
      <c r="K539" s="5" t="s">
        <v>41</v>
      </c>
      <c r="L539" s="5" t="s">
        <v>42</v>
      </c>
      <c r="M539" s="5" t="s">
        <v>43</v>
      </c>
      <c r="N539" s="5" t="s">
        <v>44</v>
      </c>
      <c r="O539" s="7">
        <v>5800</v>
      </c>
      <c r="P539" s="5" t="s">
        <v>45</v>
      </c>
      <c r="Q539" s="19">
        <f t="shared" si="28"/>
        <v>-3866.67</v>
      </c>
      <c r="R539" s="8">
        <f t="shared" si="29"/>
        <v>1933.33</v>
      </c>
      <c r="S539" s="7">
        <v>5800</v>
      </c>
      <c r="T539" s="7">
        <f t="shared" si="27"/>
        <v>-3866.67</v>
      </c>
      <c r="U539" s="7">
        <f t="shared" si="26"/>
        <v>1933.33</v>
      </c>
      <c r="V539" s="5" t="s">
        <v>45</v>
      </c>
      <c r="W539" s="7">
        <v>1706.89</v>
      </c>
      <c r="X539" s="5" t="s">
        <v>46</v>
      </c>
      <c r="Y539" s="8">
        <f t="shared" si="30"/>
        <v>-1137.93</v>
      </c>
      <c r="Z539" s="8">
        <f t="shared" si="25"/>
        <v>568.96</v>
      </c>
    </row>
    <row r="540" spans="1:26" x14ac:dyDescent="0.25">
      <c r="A540" s="5" t="s">
        <v>34</v>
      </c>
      <c r="B540" s="5" t="s">
        <v>187</v>
      </c>
      <c r="C540" s="5" t="s">
        <v>188</v>
      </c>
      <c r="D540" s="5" t="s">
        <v>37</v>
      </c>
      <c r="E540" s="5" t="s">
        <v>110</v>
      </c>
      <c r="F540" s="5" t="s">
        <v>111</v>
      </c>
      <c r="G540" s="5" t="s">
        <v>40</v>
      </c>
      <c r="H540" s="6">
        <v>45961</v>
      </c>
      <c r="I540" s="6">
        <v>45961</v>
      </c>
      <c r="J540" s="6">
        <v>45964</v>
      </c>
      <c r="K540" s="5" t="s">
        <v>41</v>
      </c>
      <c r="L540" s="5" t="s">
        <v>42</v>
      </c>
      <c r="M540" s="5" t="s">
        <v>43</v>
      </c>
      <c r="N540" s="5" t="s">
        <v>44</v>
      </c>
      <c r="O540" s="7">
        <v>5800</v>
      </c>
      <c r="P540" s="5" t="s">
        <v>45</v>
      </c>
      <c r="Q540" s="19">
        <f t="shared" si="28"/>
        <v>-3866.67</v>
      </c>
      <c r="R540" s="8">
        <f t="shared" si="29"/>
        <v>1933.33</v>
      </c>
      <c r="S540" s="7">
        <v>5800</v>
      </c>
      <c r="T540" s="7">
        <f t="shared" si="27"/>
        <v>-3866.67</v>
      </c>
      <c r="U540" s="7">
        <f t="shared" si="26"/>
        <v>1933.33</v>
      </c>
      <c r="V540" s="5" t="s">
        <v>45</v>
      </c>
      <c r="W540" s="7">
        <v>1706.89</v>
      </c>
      <c r="X540" s="5" t="s">
        <v>46</v>
      </c>
      <c r="Y540" s="8">
        <f t="shared" si="30"/>
        <v>-1137.93</v>
      </c>
      <c r="Z540" s="8">
        <f t="shared" si="25"/>
        <v>568.96</v>
      </c>
    </row>
    <row r="541" spans="1:26" x14ac:dyDescent="0.25">
      <c r="A541" s="5" t="s">
        <v>34</v>
      </c>
      <c r="B541" s="5" t="s">
        <v>187</v>
      </c>
      <c r="C541" s="5" t="s">
        <v>188</v>
      </c>
      <c r="D541" s="5" t="s">
        <v>37</v>
      </c>
      <c r="E541" s="5" t="s">
        <v>56</v>
      </c>
      <c r="F541" s="5" t="s">
        <v>57</v>
      </c>
      <c r="G541" s="5" t="s">
        <v>40</v>
      </c>
      <c r="H541" s="6">
        <v>45961</v>
      </c>
      <c r="I541" s="6">
        <v>45961</v>
      </c>
      <c r="J541" s="6">
        <v>45964</v>
      </c>
      <c r="K541" s="5" t="s">
        <v>41</v>
      </c>
      <c r="L541" s="5" t="s">
        <v>42</v>
      </c>
      <c r="M541" s="5" t="s">
        <v>43</v>
      </c>
      <c r="N541" s="5" t="s">
        <v>44</v>
      </c>
      <c r="O541" s="7">
        <v>14500</v>
      </c>
      <c r="P541" s="5" t="s">
        <v>45</v>
      </c>
      <c r="Q541" s="19">
        <f t="shared" si="28"/>
        <v>-9666.67</v>
      </c>
      <c r="R541" s="8">
        <f t="shared" si="29"/>
        <v>4833.33</v>
      </c>
      <c r="S541" s="7">
        <v>14500</v>
      </c>
      <c r="T541" s="7">
        <f t="shared" si="27"/>
        <v>-9666.67</v>
      </c>
      <c r="U541" s="7">
        <f t="shared" si="26"/>
        <v>4833.33</v>
      </c>
      <c r="V541" s="5" t="s">
        <v>45</v>
      </c>
      <c r="W541" s="7">
        <v>4267.22</v>
      </c>
      <c r="X541" s="5" t="s">
        <v>46</v>
      </c>
      <c r="Y541" s="8">
        <f t="shared" si="30"/>
        <v>-2844.81</v>
      </c>
      <c r="Z541" s="8">
        <f t="shared" si="25"/>
        <v>1422.4100000000003</v>
      </c>
    </row>
    <row r="542" spans="1:26" x14ac:dyDescent="0.25">
      <c r="A542" s="5" t="s">
        <v>34</v>
      </c>
      <c r="B542" s="5" t="s">
        <v>187</v>
      </c>
      <c r="C542" s="5" t="s">
        <v>188</v>
      </c>
      <c r="D542" s="5" t="s">
        <v>37</v>
      </c>
      <c r="E542" s="5" t="s">
        <v>68</v>
      </c>
      <c r="F542" s="5" t="s">
        <v>69</v>
      </c>
      <c r="G542" s="5" t="s">
        <v>40</v>
      </c>
      <c r="H542" s="6">
        <v>45961</v>
      </c>
      <c r="I542" s="6">
        <v>45961</v>
      </c>
      <c r="J542" s="6">
        <v>45964</v>
      </c>
      <c r="K542" s="5" t="s">
        <v>41</v>
      </c>
      <c r="L542" s="5" t="s">
        <v>42</v>
      </c>
      <c r="M542" s="5" t="s">
        <v>43</v>
      </c>
      <c r="N542" s="5" t="s">
        <v>44</v>
      </c>
      <c r="O542" s="7">
        <v>2900</v>
      </c>
      <c r="P542" s="5" t="s">
        <v>45</v>
      </c>
      <c r="Q542" s="19">
        <f t="shared" si="28"/>
        <v>-1933.33</v>
      </c>
      <c r="R542" s="8">
        <f t="shared" si="29"/>
        <v>966.67000000000007</v>
      </c>
      <c r="S542" s="7">
        <v>2900</v>
      </c>
      <c r="T542" s="7">
        <f t="shared" si="27"/>
        <v>-1933.33</v>
      </c>
      <c r="U542" s="7">
        <f t="shared" si="26"/>
        <v>966.67000000000007</v>
      </c>
      <c r="V542" s="5" t="s">
        <v>45</v>
      </c>
      <c r="W542" s="7">
        <v>853.44</v>
      </c>
      <c r="X542" s="5" t="s">
        <v>46</v>
      </c>
      <c r="Y542" s="8">
        <f t="shared" si="30"/>
        <v>-568.96</v>
      </c>
      <c r="Z542" s="8">
        <f t="shared" si="25"/>
        <v>284.48</v>
      </c>
    </row>
    <row r="543" spans="1:26" x14ac:dyDescent="0.25">
      <c r="A543" s="5" t="s">
        <v>34</v>
      </c>
      <c r="B543" s="5" t="s">
        <v>187</v>
      </c>
      <c r="C543" s="5" t="s">
        <v>188</v>
      </c>
      <c r="D543" s="5" t="s">
        <v>37</v>
      </c>
      <c r="E543" s="5" t="s">
        <v>58</v>
      </c>
      <c r="F543" s="5" t="s">
        <v>59</v>
      </c>
      <c r="G543" s="5" t="s">
        <v>40</v>
      </c>
      <c r="H543" s="6">
        <v>45961</v>
      </c>
      <c r="I543" s="6">
        <v>45961</v>
      </c>
      <c r="J543" s="6">
        <v>45964</v>
      </c>
      <c r="K543" s="5" t="s">
        <v>41</v>
      </c>
      <c r="L543" s="5" t="s">
        <v>42</v>
      </c>
      <c r="M543" s="5" t="s">
        <v>43</v>
      </c>
      <c r="N543" s="5" t="s">
        <v>44</v>
      </c>
      <c r="O543" s="7">
        <v>5800</v>
      </c>
      <c r="P543" s="5" t="s">
        <v>45</v>
      </c>
      <c r="Q543" s="19">
        <f t="shared" si="28"/>
        <v>-3866.67</v>
      </c>
      <c r="R543" s="8">
        <f t="shared" si="29"/>
        <v>1933.33</v>
      </c>
      <c r="S543" s="7">
        <v>5800</v>
      </c>
      <c r="T543" s="7">
        <f t="shared" si="27"/>
        <v>-3866.67</v>
      </c>
      <c r="U543" s="7">
        <f t="shared" si="26"/>
        <v>1933.33</v>
      </c>
      <c r="V543" s="5" t="s">
        <v>45</v>
      </c>
      <c r="W543" s="7">
        <v>1706.89</v>
      </c>
      <c r="X543" s="5" t="s">
        <v>46</v>
      </c>
      <c r="Y543" s="8">
        <f t="shared" si="30"/>
        <v>-1137.93</v>
      </c>
      <c r="Z543" s="8">
        <f t="shared" si="25"/>
        <v>568.96</v>
      </c>
    </row>
    <row r="544" spans="1:26" x14ac:dyDescent="0.25">
      <c r="A544" s="5" t="s">
        <v>34</v>
      </c>
      <c r="B544" s="5" t="s">
        <v>187</v>
      </c>
      <c r="C544" s="5" t="s">
        <v>188</v>
      </c>
      <c r="D544" s="5" t="s">
        <v>37</v>
      </c>
      <c r="E544" s="5" t="s">
        <v>38</v>
      </c>
      <c r="F544" s="5" t="s">
        <v>39</v>
      </c>
      <c r="G544" s="5" t="s">
        <v>40</v>
      </c>
      <c r="H544" s="6">
        <v>45961</v>
      </c>
      <c r="I544" s="6">
        <v>45961</v>
      </c>
      <c r="J544" s="6">
        <v>45964</v>
      </c>
      <c r="K544" s="5" t="s">
        <v>41</v>
      </c>
      <c r="L544" s="5" t="s">
        <v>42</v>
      </c>
      <c r="M544" s="5" t="s">
        <v>43</v>
      </c>
      <c r="N544" s="5" t="s">
        <v>44</v>
      </c>
      <c r="O544" s="7">
        <v>2900</v>
      </c>
      <c r="P544" s="5" t="s">
        <v>45</v>
      </c>
      <c r="Q544" s="19">
        <f t="shared" si="28"/>
        <v>-1933.33</v>
      </c>
      <c r="R544" s="8">
        <f t="shared" si="29"/>
        <v>966.67000000000007</v>
      </c>
      <c r="S544" s="7">
        <v>2900</v>
      </c>
      <c r="T544" s="7">
        <f t="shared" si="27"/>
        <v>-1933.33</v>
      </c>
      <c r="U544" s="7">
        <f t="shared" si="26"/>
        <v>966.67000000000007</v>
      </c>
      <c r="V544" s="5" t="s">
        <v>45</v>
      </c>
      <c r="W544" s="7">
        <v>853.44</v>
      </c>
      <c r="X544" s="5" t="s">
        <v>46</v>
      </c>
      <c r="Y544" s="8">
        <f t="shared" si="30"/>
        <v>-568.96</v>
      </c>
      <c r="Z544" s="8">
        <f t="shared" si="25"/>
        <v>284.48</v>
      </c>
    </row>
    <row r="545" spans="1:26" x14ac:dyDescent="0.25">
      <c r="A545" s="5" t="s">
        <v>34</v>
      </c>
      <c r="B545" s="5" t="s">
        <v>187</v>
      </c>
      <c r="C545" s="5" t="s">
        <v>188</v>
      </c>
      <c r="D545" s="5" t="s">
        <v>37</v>
      </c>
      <c r="E545" s="5" t="s">
        <v>122</v>
      </c>
      <c r="F545" s="5" t="s">
        <v>123</v>
      </c>
      <c r="G545" s="5" t="s">
        <v>40</v>
      </c>
      <c r="H545" s="6">
        <v>45961</v>
      </c>
      <c r="I545" s="6">
        <v>45961</v>
      </c>
      <c r="J545" s="6">
        <v>45964</v>
      </c>
      <c r="K545" s="5" t="s">
        <v>41</v>
      </c>
      <c r="L545" s="5" t="s">
        <v>42</v>
      </c>
      <c r="M545" s="5" t="s">
        <v>43</v>
      </c>
      <c r="N545" s="5" t="s">
        <v>44</v>
      </c>
      <c r="O545" s="7">
        <v>2900</v>
      </c>
      <c r="P545" s="5" t="s">
        <v>45</v>
      </c>
      <c r="Q545" s="19">
        <f t="shared" si="28"/>
        <v>-1933.33</v>
      </c>
      <c r="R545" s="8">
        <f t="shared" si="29"/>
        <v>966.67000000000007</v>
      </c>
      <c r="S545" s="7">
        <v>2900</v>
      </c>
      <c r="T545" s="7">
        <f t="shared" si="27"/>
        <v>-1933.33</v>
      </c>
      <c r="U545" s="7">
        <f t="shared" si="26"/>
        <v>966.67000000000007</v>
      </c>
      <c r="V545" s="5" t="s">
        <v>45</v>
      </c>
      <c r="W545" s="7">
        <v>853.44</v>
      </c>
      <c r="X545" s="5" t="s">
        <v>46</v>
      </c>
      <c r="Y545" s="8">
        <f t="shared" si="30"/>
        <v>-568.96</v>
      </c>
      <c r="Z545" s="8">
        <f t="shared" si="25"/>
        <v>284.48</v>
      </c>
    </row>
    <row r="546" spans="1:26" x14ac:dyDescent="0.25">
      <c r="A546" s="5" t="s">
        <v>34</v>
      </c>
      <c r="B546" s="5" t="s">
        <v>187</v>
      </c>
      <c r="C546" s="5" t="s">
        <v>188</v>
      </c>
      <c r="D546" s="5" t="s">
        <v>37</v>
      </c>
      <c r="E546" s="5" t="s">
        <v>74</v>
      </c>
      <c r="F546" s="5" t="s">
        <v>75</v>
      </c>
      <c r="G546" s="5" t="s">
        <v>40</v>
      </c>
      <c r="H546" s="6">
        <v>45961</v>
      </c>
      <c r="I546" s="6">
        <v>45961</v>
      </c>
      <c r="J546" s="6">
        <v>45964</v>
      </c>
      <c r="K546" s="5" t="s">
        <v>41</v>
      </c>
      <c r="L546" s="5" t="s">
        <v>42</v>
      </c>
      <c r="M546" s="5" t="s">
        <v>43</v>
      </c>
      <c r="N546" s="5" t="s">
        <v>44</v>
      </c>
      <c r="O546" s="7">
        <v>17400</v>
      </c>
      <c r="P546" s="5" t="s">
        <v>45</v>
      </c>
      <c r="Q546" s="19">
        <f t="shared" si="28"/>
        <v>-11600</v>
      </c>
      <c r="R546" s="8">
        <f t="shared" si="29"/>
        <v>5800</v>
      </c>
      <c r="S546" s="7">
        <v>17400</v>
      </c>
      <c r="T546" s="7">
        <f t="shared" si="27"/>
        <v>-11600</v>
      </c>
      <c r="U546" s="7">
        <f t="shared" si="26"/>
        <v>5800</v>
      </c>
      <c r="V546" s="5" t="s">
        <v>45</v>
      </c>
      <c r="W546" s="7">
        <v>5120.66</v>
      </c>
      <c r="X546" s="5" t="s">
        <v>46</v>
      </c>
      <c r="Y546" s="8">
        <f t="shared" si="30"/>
        <v>-3413.77</v>
      </c>
      <c r="Z546" s="8">
        <f t="shared" si="25"/>
        <v>1706.8899999999999</v>
      </c>
    </row>
    <row r="547" spans="1:26" x14ac:dyDescent="0.25">
      <c r="A547" s="5" t="s">
        <v>34</v>
      </c>
      <c r="B547" s="5" t="s">
        <v>187</v>
      </c>
      <c r="C547" s="5" t="s">
        <v>188</v>
      </c>
      <c r="D547" s="5" t="s">
        <v>37</v>
      </c>
      <c r="E547" s="5" t="s">
        <v>116</v>
      </c>
      <c r="F547" s="5" t="s">
        <v>117</v>
      </c>
      <c r="G547" s="5" t="s">
        <v>40</v>
      </c>
      <c r="H547" s="6">
        <v>45961</v>
      </c>
      <c r="I547" s="6">
        <v>45961</v>
      </c>
      <c r="J547" s="6">
        <v>45964</v>
      </c>
      <c r="K547" s="5" t="s">
        <v>41</v>
      </c>
      <c r="L547" s="5" t="s">
        <v>42</v>
      </c>
      <c r="M547" s="5" t="s">
        <v>43</v>
      </c>
      <c r="N547" s="5" t="s">
        <v>44</v>
      </c>
      <c r="O547" s="7">
        <v>5800</v>
      </c>
      <c r="P547" s="5" t="s">
        <v>45</v>
      </c>
      <c r="Q547" s="19">
        <f t="shared" si="28"/>
        <v>-3866.67</v>
      </c>
      <c r="R547" s="8">
        <f t="shared" si="29"/>
        <v>1933.33</v>
      </c>
      <c r="S547" s="7">
        <v>5800</v>
      </c>
      <c r="T547" s="7">
        <f t="shared" si="27"/>
        <v>-3866.67</v>
      </c>
      <c r="U547" s="7">
        <f t="shared" si="26"/>
        <v>1933.33</v>
      </c>
      <c r="V547" s="5" t="s">
        <v>45</v>
      </c>
      <c r="W547" s="7">
        <v>1706.89</v>
      </c>
      <c r="X547" s="5" t="s">
        <v>46</v>
      </c>
      <c r="Y547" s="8">
        <f t="shared" si="30"/>
        <v>-1137.93</v>
      </c>
      <c r="Z547" s="8">
        <f t="shared" si="25"/>
        <v>568.96</v>
      </c>
    </row>
    <row r="548" spans="1:26" x14ac:dyDescent="0.25">
      <c r="A548" s="5" t="s">
        <v>34</v>
      </c>
      <c r="B548" s="5" t="s">
        <v>187</v>
      </c>
      <c r="C548" s="5" t="s">
        <v>188</v>
      </c>
      <c r="D548" s="5" t="s">
        <v>37</v>
      </c>
      <c r="E548" s="5" t="s">
        <v>52</v>
      </c>
      <c r="F548" s="5" t="s">
        <v>53</v>
      </c>
      <c r="G548" s="5" t="s">
        <v>40</v>
      </c>
      <c r="H548" s="6">
        <v>45961</v>
      </c>
      <c r="I548" s="6">
        <v>45961</v>
      </c>
      <c r="J548" s="6">
        <v>45964</v>
      </c>
      <c r="K548" s="5" t="s">
        <v>41</v>
      </c>
      <c r="L548" s="5" t="s">
        <v>42</v>
      </c>
      <c r="M548" s="5" t="s">
        <v>43</v>
      </c>
      <c r="N548" s="5" t="s">
        <v>44</v>
      </c>
      <c r="O548" s="7">
        <v>2900</v>
      </c>
      <c r="P548" s="5" t="s">
        <v>45</v>
      </c>
      <c r="Q548" s="19">
        <f t="shared" si="28"/>
        <v>-1933.33</v>
      </c>
      <c r="R548" s="8">
        <f t="shared" si="29"/>
        <v>966.67000000000007</v>
      </c>
      <c r="S548" s="7">
        <v>2900</v>
      </c>
      <c r="T548" s="7">
        <f t="shared" si="27"/>
        <v>-1933.33</v>
      </c>
      <c r="U548" s="7">
        <f t="shared" si="26"/>
        <v>966.67000000000007</v>
      </c>
      <c r="V548" s="5" t="s">
        <v>45</v>
      </c>
      <c r="W548" s="7">
        <v>853.44</v>
      </c>
      <c r="X548" s="5" t="s">
        <v>46</v>
      </c>
      <c r="Y548" s="8">
        <f t="shared" si="30"/>
        <v>-568.96</v>
      </c>
      <c r="Z548" s="8">
        <f t="shared" si="25"/>
        <v>284.48</v>
      </c>
    </row>
    <row r="549" spans="1:26" x14ac:dyDescent="0.25">
      <c r="A549" s="5" t="s">
        <v>34</v>
      </c>
      <c r="B549" s="5" t="s">
        <v>187</v>
      </c>
      <c r="C549" s="5" t="s">
        <v>188</v>
      </c>
      <c r="D549" s="5" t="s">
        <v>37</v>
      </c>
      <c r="E549" s="5" t="s">
        <v>78</v>
      </c>
      <c r="F549" s="5" t="s">
        <v>79</v>
      </c>
      <c r="G549" s="5" t="s">
        <v>40</v>
      </c>
      <c r="H549" s="6">
        <v>45961</v>
      </c>
      <c r="I549" s="6">
        <v>45961</v>
      </c>
      <c r="J549" s="6">
        <v>45964</v>
      </c>
      <c r="K549" s="5" t="s">
        <v>41</v>
      </c>
      <c r="L549" s="5" t="s">
        <v>42</v>
      </c>
      <c r="M549" s="5" t="s">
        <v>43</v>
      </c>
      <c r="N549" s="5" t="s">
        <v>44</v>
      </c>
      <c r="O549" s="7">
        <v>2900</v>
      </c>
      <c r="P549" s="5" t="s">
        <v>45</v>
      </c>
      <c r="Q549" s="19">
        <f t="shared" si="28"/>
        <v>-1933.33</v>
      </c>
      <c r="R549" s="8">
        <f t="shared" si="29"/>
        <v>966.67000000000007</v>
      </c>
      <c r="S549" s="7">
        <v>2900</v>
      </c>
      <c r="T549" s="7">
        <f t="shared" si="27"/>
        <v>-1933.33</v>
      </c>
      <c r="U549" s="7">
        <f t="shared" si="26"/>
        <v>966.67000000000007</v>
      </c>
      <c r="V549" s="5" t="s">
        <v>45</v>
      </c>
      <c r="W549" s="7">
        <v>853.44</v>
      </c>
      <c r="X549" s="5" t="s">
        <v>46</v>
      </c>
      <c r="Y549" s="8">
        <f t="shared" si="30"/>
        <v>-568.96</v>
      </c>
      <c r="Z549" s="8">
        <f t="shared" si="25"/>
        <v>284.48</v>
      </c>
    </row>
    <row r="550" spans="1:26" x14ac:dyDescent="0.25">
      <c r="A550" s="5" t="s">
        <v>34</v>
      </c>
      <c r="B550" s="5" t="s">
        <v>187</v>
      </c>
      <c r="C550" s="5" t="s">
        <v>188</v>
      </c>
      <c r="D550" s="5" t="s">
        <v>37</v>
      </c>
      <c r="E550" s="5" t="s">
        <v>86</v>
      </c>
      <c r="F550" s="5" t="s">
        <v>87</v>
      </c>
      <c r="G550" s="5" t="s">
        <v>40</v>
      </c>
      <c r="H550" s="6">
        <v>45961</v>
      </c>
      <c r="I550" s="6">
        <v>45961</v>
      </c>
      <c r="J550" s="6">
        <v>45964</v>
      </c>
      <c r="K550" s="5" t="s">
        <v>41</v>
      </c>
      <c r="L550" s="5" t="s">
        <v>42</v>
      </c>
      <c r="M550" s="5" t="s">
        <v>43</v>
      </c>
      <c r="N550" s="5" t="s">
        <v>44</v>
      </c>
      <c r="O550" s="7">
        <v>5800</v>
      </c>
      <c r="P550" s="5" t="s">
        <v>45</v>
      </c>
      <c r="Q550" s="19">
        <f t="shared" si="28"/>
        <v>-3866.67</v>
      </c>
      <c r="R550" s="8">
        <f t="shared" si="29"/>
        <v>1933.33</v>
      </c>
      <c r="S550" s="7">
        <v>5800</v>
      </c>
      <c r="T550" s="7">
        <f t="shared" si="27"/>
        <v>-3866.67</v>
      </c>
      <c r="U550" s="7">
        <f t="shared" si="26"/>
        <v>1933.33</v>
      </c>
      <c r="V550" s="5" t="s">
        <v>45</v>
      </c>
      <c r="W550" s="7">
        <v>1706.89</v>
      </c>
      <c r="X550" s="5" t="s">
        <v>46</v>
      </c>
      <c r="Y550" s="8">
        <f t="shared" si="30"/>
        <v>-1137.93</v>
      </c>
      <c r="Z550" s="8">
        <f t="shared" si="25"/>
        <v>568.96</v>
      </c>
    </row>
    <row r="551" spans="1:26" x14ac:dyDescent="0.25">
      <c r="A551" s="5" t="s">
        <v>34</v>
      </c>
      <c r="B551" s="5" t="s">
        <v>187</v>
      </c>
      <c r="C551" s="5" t="s">
        <v>188</v>
      </c>
      <c r="D551" s="5" t="s">
        <v>37</v>
      </c>
      <c r="E551" s="5" t="s">
        <v>62</v>
      </c>
      <c r="F551" s="5" t="s">
        <v>63</v>
      </c>
      <c r="G551" s="5" t="s">
        <v>40</v>
      </c>
      <c r="H551" s="6">
        <v>45961</v>
      </c>
      <c r="I551" s="6">
        <v>45961</v>
      </c>
      <c r="J551" s="6">
        <v>45964</v>
      </c>
      <c r="K551" s="5" t="s">
        <v>41</v>
      </c>
      <c r="L551" s="5" t="s">
        <v>42</v>
      </c>
      <c r="M551" s="5" t="s">
        <v>43</v>
      </c>
      <c r="N551" s="5" t="s">
        <v>44</v>
      </c>
      <c r="O551" s="7">
        <v>2900</v>
      </c>
      <c r="P551" s="5" t="s">
        <v>45</v>
      </c>
      <c r="Q551" s="19">
        <f t="shared" si="28"/>
        <v>-1933.33</v>
      </c>
      <c r="R551" s="8">
        <f t="shared" si="29"/>
        <v>966.67000000000007</v>
      </c>
      <c r="S551" s="7">
        <v>2900</v>
      </c>
      <c r="T551" s="7">
        <f t="shared" si="27"/>
        <v>-1933.33</v>
      </c>
      <c r="U551" s="7">
        <f t="shared" si="26"/>
        <v>966.67000000000007</v>
      </c>
      <c r="V551" s="5" t="s">
        <v>45</v>
      </c>
      <c r="W551" s="7">
        <v>853.44</v>
      </c>
      <c r="X551" s="5" t="s">
        <v>46</v>
      </c>
      <c r="Y551" s="8">
        <f t="shared" si="30"/>
        <v>-568.96</v>
      </c>
      <c r="Z551" s="8">
        <f t="shared" si="25"/>
        <v>284.48</v>
      </c>
    </row>
    <row r="552" spans="1:26" x14ac:dyDescent="0.25">
      <c r="A552" s="5" t="s">
        <v>34</v>
      </c>
      <c r="B552" s="5" t="s">
        <v>187</v>
      </c>
      <c r="C552" s="5" t="s">
        <v>188</v>
      </c>
      <c r="D552" s="5" t="s">
        <v>37</v>
      </c>
      <c r="E552" s="5" t="s">
        <v>60</v>
      </c>
      <c r="F552" s="5" t="s">
        <v>61</v>
      </c>
      <c r="G552" s="5" t="s">
        <v>40</v>
      </c>
      <c r="H552" s="6">
        <v>45961</v>
      </c>
      <c r="I552" s="6">
        <v>45961</v>
      </c>
      <c r="J552" s="6">
        <v>45964</v>
      </c>
      <c r="K552" s="5" t="s">
        <v>41</v>
      </c>
      <c r="L552" s="5" t="s">
        <v>42</v>
      </c>
      <c r="M552" s="5" t="s">
        <v>43</v>
      </c>
      <c r="N552" s="5" t="s">
        <v>44</v>
      </c>
      <c r="O552" s="7">
        <v>15950</v>
      </c>
      <c r="P552" s="5" t="s">
        <v>45</v>
      </c>
      <c r="Q552" s="19">
        <f t="shared" si="28"/>
        <v>-10633.33</v>
      </c>
      <c r="R552" s="8">
        <f t="shared" si="29"/>
        <v>5316.67</v>
      </c>
      <c r="S552" s="7">
        <v>15950</v>
      </c>
      <c r="T552" s="7">
        <f t="shared" si="27"/>
        <v>-10633.33</v>
      </c>
      <c r="U552" s="7">
        <f t="shared" si="26"/>
        <v>5316.67</v>
      </c>
      <c r="V552" s="5" t="s">
        <v>45</v>
      </c>
      <c r="W552" s="7">
        <v>4693.9399999999996</v>
      </c>
      <c r="X552" s="5" t="s">
        <v>46</v>
      </c>
      <c r="Y552" s="8">
        <f t="shared" si="30"/>
        <v>-3129.29</v>
      </c>
      <c r="Z552" s="8">
        <f t="shared" si="25"/>
        <v>1564.6499999999996</v>
      </c>
    </row>
    <row r="553" spans="1:26" x14ac:dyDescent="0.25">
      <c r="A553" s="5" t="s">
        <v>34</v>
      </c>
      <c r="B553" s="5" t="s">
        <v>187</v>
      </c>
      <c r="C553" s="5" t="s">
        <v>188</v>
      </c>
      <c r="D553" s="5" t="s">
        <v>37</v>
      </c>
      <c r="E553" s="5" t="s">
        <v>112</v>
      </c>
      <c r="F553" s="5" t="s">
        <v>113</v>
      </c>
      <c r="G553" s="5" t="s">
        <v>40</v>
      </c>
      <c r="H553" s="6">
        <v>45961</v>
      </c>
      <c r="I553" s="6">
        <v>45961</v>
      </c>
      <c r="J553" s="6">
        <v>45964</v>
      </c>
      <c r="K553" s="5" t="s">
        <v>41</v>
      </c>
      <c r="L553" s="5" t="s">
        <v>42</v>
      </c>
      <c r="M553" s="5" t="s">
        <v>43</v>
      </c>
      <c r="N553" s="5" t="s">
        <v>44</v>
      </c>
      <c r="O553" s="7">
        <v>2900</v>
      </c>
      <c r="P553" s="5" t="s">
        <v>45</v>
      </c>
      <c r="Q553" s="19">
        <f t="shared" si="28"/>
        <v>-1933.33</v>
      </c>
      <c r="R553" s="8">
        <f t="shared" si="29"/>
        <v>966.67000000000007</v>
      </c>
      <c r="S553" s="7">
        <v>2900</v>
      </c>
      <c r="T553" s="7">
        <f t="shared" si="27"/>
        <v>-1933.33</v>
      </c>
      <c r="U553" s="7">
        <f t="shared" si="26"/>
        <v>966.67000000000007</v>
      </c>
      <c r="V553" s="5" t="s">
        <v>45</v>
      </c>
      <c r="W553" s="7">
        <v>853.44</v>
      </c>
      <c r="X553" s="5" t="s">
        <v>46</v>
      </c>
      <c r="Y553" s="8">
        <f t="shared" si="30"/>
        <v>-568.96</v>
      </c>
      <c r="Z553" s="8">
        <f t="shared" si="25"/>
        <v>284.48</v>
      </c>
    </row>
    <row r="554" spans="1:26" x14ac:dyDescent="0.25">
      <c r="A554" s="5" t="s">
        <v>34</v>
      </c>
      <c r="B554" s="5" t="s">
        <v>187</v>
      </c>
      <c r="C554" s="5" t="s">
        <v>188</v>
      </c>
      <c r="D554" s="5" t="s">
        <v>37</v>
      </c>
      <c r="E554" s="5" t="s">
        <v>102</v>
      </c>
      <c r="F554" s="5" t="s">
        <v>103</v>
      </c>
      <c r="G554" s="5" t="s">
        <v>40</v>
      </c>
      <c r="H554" s="6">
        <v>45961</v>
      </c>
      <c r="I554" s="6">
        <v>45961</v>
      </c>
      <c r="J554" s="6">
        <v>45964</v>
      </c>
      <c r="K554" s="5" t="s">
        <v>41</v>
      </c>
      <c r="L554" s="5" t="s">
        <v>42</v>
      </c>
      <c r="M554" s="5" t="s">
        <v>43</v>
      </c>
      <c r="N554" s="5" t="s">
        <v>44</v>
      </c>
      <c r="O554" s="7">
        <v>8700</v>
      </c>
      <c r="P554" s="5" t="s">
        <v>45</v>
      </c>
      <c r="Q554" s="19">
        <f t="shared" si="28"/>
        <v>-5800</v>
      </c>
      <c r="R554" s="8">
        <f t="shared" si="29"/>
        <v>2900</v>
      </c>
      <c r="S554" s="7">
        <v>8700</v>
      </c>
      <c r="T554" s="7">
        <f t="shared" si="27"/>
        <v>-5800</v>
      </c>
      <c r="U554" s="7">
        <f t="shared" si="26"/>
        <v>2900</v>
      </c>
      <c r="V554" s="5" t="s">
        <v>45</v>
      </c>
      <c r="W554" s="7">
        <v>2560.33</v>
      </c>
      <c r="X554" s="5" t="s">
        <v>46</v>
      </c>
      <c r="Y554" s="8">
        <f t="shared" si="30"/>
        <v>-1706.89</v>
      </c>
      <c r="Z554" s="8">
        <f t="shared" si="25"/>
        <v>853.43999999999983</v>
      </c>
    </row>
    <row r="555" spans="1:26" x14ac:dyDescent="0.25">
      <c r="A555" s="5" t="s">
        <v>34</v>
      </c>
      <c r="B555" s="5" t="s">
        <v>187</v>
      </c>
      <c r="C555" s="5" t="s">
        <v>188</v>
      </c>
      <c r="D555" s="5" t="s">
        <v>37</v>
      </c>
      <c r="E555" s="5" t="s">
        <v>76</v>
      </c>
      <c r="F555" s="5" t="s">
        <v>77</v>
      </c>
      <c r="G555" s="5" t="s">
        <v>40</v>
      </c>
      <c r="H555" s="6">
        <v>45961</v>
      </c>
      <c r="I555" s="6">
        <v>45961</v>
      </c>
      <c r="J555" s="6">
        <v>45964</v>
      </c>
      <c r="K555" s="5" t="s">
        <v>41</v>
      </c>
      <c r="L555" s="5" t="s">
        <v>42</v>
      </c>
      <c r="M555" s="5" t="s">
        <v>43</v>
      </c>
      <c r="N555" s="5" t="s">
        <v>44</v>
      </c>
      <c r="O555" s="7">
        <v>2900</v>
      </c>
      <c r="P555" s="5" t="s">
        <v>45</v>
      </c>
      <c r="Q555" s="19">
        <f t="shared" si="28"/>
        <v>-1933.33</v>
      </c>
      <c r="R555" s="8">
        <f t="shared" si="29"/>
        <v>966.67000000000007</v>
      </c>
      <c r="S555" s="7">
        <v>2900</v>
      </c>
      <c r="T555" s="7">
        <f t="shared" si="27"/>
        <v>-1933.33</v>
      </c>
      <c r="U555" s="7">
        <f t="shared" si="26"/>
        <v>966.67000000000007</v>
      </c>
      <c r="V555" s="5" t="s">
        <v>45</v>
      </c>
      <c r="W555" s="7">
        <v>853.44</v>
      </c>
      <c r="X555" s="5" t="s">
        <v>46</v>
      </c>
      <c r="Y555" s="8">
        <f t="shared" si="30"/>
        <v>-568.96</v>
      </c>
      <c r="Z555" s="8">
        <f t="shared" si="25"/>
        <v>284.48</v>
      </c>
    </row>
    <row r="556" spans="1:26" x14ac:dyDescent="0.25">
      <c r="A556" s="5" t="s">
        <v>34</v>
      </c>
      <c r="B556" s="5" t="s">
        <v>187</v>
      </c>
      <c r="C556" s="5" t="s">
        <v>188</v>
      </c>
      <c r="D556" s="5" t="s">
        <v>37</v>
      </c>
      <c r="E556" s="5" t="s">
        <v>104</v>
      </c>
      <c r="F556" s="5" t="s">
        <v>105</v>
      </c>
      <c r="G556" s="5" t="s">
        <v>40</v>
      </c>
      <c r="H556" s="6">
        <v>45961</v>
      </c>
      <c r="I556" s="6">
        <v>45961</v>
      </c>
      <c r="J556" s="6">
        <v>45964</v>
      </c>
      <c r="K556" s="5" t="s">
        <v>41</v>
      </c>
      <c r="L556" s="5" t="s">
        <v>42</v>
      </c>
      <c r="M556" s="5" t="s">
        <v>43</v>
      </c>
      <c r="N556" s="5" t="s">
        <v>44</v>
      </c>
      <c r="O556" s="7">
        <v>8700</v>
      </c>
      <c r="P556" s="5" t="s">
        <v>45</v>
      </c>
      <c r="Q556" s="19">
        <f t="shared" si="28"/>
        <v>-5800</v>
      </c>
      <c r="R556" s="8">
        <f t="shared" si="29"/>
        <v>2900</v>
      </c>
      <c r="S556" s="7">
        <v>8700</v>
      </c>
      <c r="T556" s="7">
        <f t="shared" si="27"/>
        <v>-5800</v>
      </c>
      <c r="U556" s="7">
        <f t="shared" si="26"/>
        <v>2900</v>
      </c>
      <c r="V556" s="5" t="s">
        <v>45</v>
      </c>
      <c r="W556" s="7">
        <v>2560.33</v>
      </c>
      <c r="X556" s="5" t="s">
        <v>46</v>
      </c>
      <c r="Y556" s="8">
        <f t="shared" si="30"/>
        <v>-1706.89</v>
      </c>
      <c r="Z556" s="8">
        <f t="shared" si="25"/>
        <v>853.43999999999983</v>
      </c>
    </row>
    <row r="557" spans="1:26" x14ac:dyDescent="0.25">
      <c r="A557" s="5" t="s">
        <v>34</v>
      </c>
      <c r="B557" s="5" t="s">
        <v>187</v>
      </c>
      <c r="C557" s="5" t="s">
        <v>188</v>
      </c>
      <c r="D557" s="5" t="s">
        <v>37</v>
      </c>
      <c r="E557" s="5" t="s">
        <v>90</v>
      </c>
      <c r="F557" s="5" t="s">
        <v>91</v>
      </c>
      <c r="G557" s="5" t="s">
        <v>40</v>
      </c>
      <c r="H557" s="6">
        <v>45961</v>
      </c>
      <c r="I557" s="6">
        <v>45961</v>
      </c>
      <c r="J557" s="6">
        <v>45964</v>
      </c>
      <c r="K557" s="5" t="s">
        <v>41</v>
      </c>
      <c r="L557" s="5" t="s">
        <v>42</v>
      </c>
      <c r="M557" s="5" t="s">
        <v>43</v>
      </c>
      <c r="N557" s="5" t="s">
        <v>44</v>
      </c>
      <c r="O557" s="7">
        <v>5800</v>
      </c>
      <c r="P557" s="5" t="s">
        <v>45</v>
      </c>
      <c r="Q557" s="19">
        <f t="shared" si="28"/>
        <v>-3866.67</v>
      </c>
      <c r="R557" s="8">
        <f t="shared" si="29"/>
        <v>1933.33</v>
      </c>
      <c r="S557" s="7">
        <v>5800</v>
      </c>
      <c r="T557" s="7">
        <f t="shared" si="27"/>
        <v>-3866.67</v>
      </c>
      <c r="U557" s="7">
        <f t="shared" si="26"/>
        <v>1933.33</v>
      </c>
      <c r="V557" s="5" t="s">
        <v>45</v>
      </c>
      <c r="W557" s="7">
        <v>1706.89</v>
      </c>
      <c r="X557" s="5" t="s">
        <v>46</v>
      </c>
      <c r="Y557" s="8">
        <f t="shared" si="30"/>
        <v>-1137.93</v>
      </c>
      <c r="Z557" s="8">
        <f t="shared" si="25"/>
        <v>568.96</v>
      </c>
    </row>
    <row r="558" spans="1:26" x14ac:dyDescent="0.25">
      <c r="A558" s="5" t="s">
        <v>34</v>
      </c>
      <c r="B558" s="5" t="s">
        <v>187</v>
      </c>
      <c r="C558" s="5" t="s">
        <v>188</v>
      </c>
      <c r="D558" s="5" t="s">
        <v>37</v>
      </c>
      <c r="E558" s="5" t="s">
        <v>88</v>
      </c>
      <c r="F558" s="5" t="s">
        <v>89</v>
      </c>
      <c r="G558" s="5" t="s">
        <v>40</v>
      </c>
      <c r="H558" s="6">
        <v>45961</v>
      </c>
      <c r="I558" s="6">
        <v>45961</v>
      </c>
      <c r="J558" s="6">
        <v>45964</v>
      </c>
      <c r="K558" s="5" t="s">
        <v>41</v>
      </c>
      <c r="L558" s="5" t="s">
        <v>42</v>
      </c>
      <c r="M558" s="5" t="s">
        <v>43</v>
      </c>
      <c r="N558" s="5" t="s">
        <v>44</v>
      </c>
      <c r="O558" s="7">
        <v>2900</v>
      </c>
      <c r="P558" s="5" t="s">
        <v>45</v>
      </c>
      <c r="Q558" s="19">
        <f t="shared" si="28"/>
        <v>-1933.33</v>
      </c>
      <c r="R558" s="8">
        <f t="shared" si="29"/>
        <v>966.67000000000007</v>
      </c>
      <c r="S558" s="7">
        <v>2900</v>
      </c>
      <c r="T558" s="7">
        <f t="shared" si="27"/>
        <v>-1933.33</v>
      </c>
      <c r="U558" s="7">
        <f t="shared" si="26"/>
        <v>966.67000000000007</v>
      </c>
      <c r="V558" s="5" t="s">
        <v>45</v>
      </c>
      <c r="W558" s="7">
        <v>853.44</v>
      </c>
      <c r="X558" s="5" t="s">
        <v>46</v>
      </c>
      <c r="Y558" s="8">
        <f t="shared" si="30"/>
        <v>-568.96</v>
      </c>
      <c r="Z558" s="8">
        <f t="shared" si="25"/>
        <v>284.48</v>
      </c>
    </row>
    <row r="559" spans="1:26" x14ac:dyDescent="0.25">
      <c r="A559" s="5" t="s">
        <v>34</v>
      </c>
      <c r="B559" s="5" t="s">
        <v>187</v>
      </c>
      <c r="C559" s="5" t="s">
        <v>188</v>
      </c>
      <c r="D559" s="5" t="s">
        <v>37</v>
      </c>
      <c r="E559" s="5" t="s">
        <v>64</v>
      </c>
      <c r="F559" s="5" t="s">
        <v>65</v>
      </c>
      <c r="G559" s="5" t="s">
        <v>40</v>
      </c>
      <c r="H559" s="6">
        <v>45961</v>
      </c>
      <c r="I559" s="6">
        <v>45961</v>
      </c>
      <c r="J559" s="6">
        <v>45964</v>
      </c>
      <c r="K559" s="5" t="s">
        <v>41</v>
      </c>
      <c r="L559" s="5" t="s">
        <v>42</v>
      </c>
      <c r="M559" s="5" t="s">
        <v>43</v>
      </c>
      <c r="N559" s="5" t="s">
        <v>44</v>
      </c>
      <c r="O559" s="7">
        <v>2900</v>
      </c>
      <c r="P559" s="5" t="s">
        <v>45</v>
      </c>
      <c r="Q559" s="19">
        <f t="shared" si="28"/>
        <v>-1933.33</v>
      </c>
      <c r="R559" s="8">
        <f t="shared" si="29"/>
        <v>966.67000000000007</v>
      </c>
      <c r="S559" s="7">
        <v>2900</v>
      </c>
      <c r="T559" s="7">
        <f t="shared" si="27"/>
        <v>-1933.33</v>
      </c>
      <c r="U559" s="7">
        <f t="shared" si="26"/>
        <v>966.67000000000007</v>
      </c>
      <c r="V559" s="5" t="s">
        <v>45</v>
      </c>
      <c r="W559" s="7">
        <v>853.44</v>
      </c>
      <c r="X559" s="5" t="s">
        <v>46</v>
      </c>
      <c r="Y559" s="8">
        <f t="shared" si="30"/>
        <v>-568.96</v>
      </c>
      <c r="Z559" s="8">
        <f t="shared" si="25"/>
        <v>284.48</v>
      </c>
    </row>
    <row r="560" spans="1:26" x14ac:dyDescent="0.25">
      <c r="A560" s="5" t="s">
        <v>34</v>
      </c>
      <c r="B560" s="5" t="s">
        <v>187</v>
      </c>
      <c r="C560" s="5" t="s">
        <v>188</v>
      </c>
      <c r="D560" s="5" t="s">
        <v>37</v>
      </c>
      <c r="E560" s="5" t="s">
        <v>96</v>
      </c>
      <c r="F560" s="5" t="s">
        <v>97</v>
      </c>
      <c r="G560" s="5" t="s">
        <v>40</v>
      </c>
      <c r="H560" s="6">
        <v>45961</v>
      </c>
      <c r="I560" s="6">
        <v>45961</v>
      </c>
      <c r="J560" s="6">
        <v>45964</v>
      </c>
      <c r="K560" s="5" t="s">
        <v>41</v>
      </c>
      <c r="L560" s="5" t="s">
        <v>42</v>
      </c>
      <c r="M560" s="5" t="s">
        <v>43</v>
      </c>
      <c r="N560" s="5" t="s">
        <v>44</v>
      </c>
      <c r="O560" s="7">
        <v>23200</v>
      </c>
      <c r="P560" s="5" t="s">
        <v>45</v>
      </c>
      <c r="Q560" s="19">
        <f t="shared" si="28"/>
        <v>-15466.67</v>
      </c>
      <c r="R560" s="8">
        <f t="shared" si="29"/>
        <v>7733.33</v>
      </c>
      <c r="S560" s="7">
        <v>23200</v>
      </c>
      <c r="T560" s="7">
        <f t="shared" si="27"/>
        <v>-15466.67</v>
      </c>
      <c r="U560" s="7">
        <f t="shared" si="26"/>
        <v>7733.33</v>
      </c>
      <c r="V560" s="5" t="s">
        <v>45</v>
      </c>
      <c r="W560" s="7">
        <v>6827.55</v>
      </c>
      <c r="X560" s="5" t="s">
        <v>46</v>
      </c>
      <c r="Y560" s="8">
        <f t="shared" si="30"/>
        <v>-4551.7</v>
      </c>
      <c r="Z560" s="8">
        <f t="shared" si="25"/>
        <v>2275.8500000000004</v>
      </c>
    </row>
    <row r="561" spans="1:26" x14ac:dyDescent="0.25">
      <c r="A561" s="5" t="s">
        <v>34</v>
      </c>
      <c r="B561" s="5" t="s">
        <v>187</v>
      </c>
      <c r="C561" s="5" t="s">
        <v>188</v>
      </c>
      <c r="D561" s="5" t="s">
        <v>37</v>
      </c>
      <c r="E561" s="5" t="s">
        <v>48</v>
      </c>
      <c r="F561" s="5" t="s">
        <v>49</v>
      </c>
      <c r="G561" s="5" t="s">
        <v>40</v>
      </c>
      <c r="H561" s="6">
        <v>45961</v>
      </c>
      <c r="I561" s="6">
        <v>45961</v>
      </c>
      <c r="J561" s="6">
        <v>45964</v>
      </c>
      <c r="K561" s="5" t="s">
        <v>41</v>
      </c>
      <c r="L561" s="5" t="s">
        <v>42</v>
      </c>
      <c r="M561" s="5" t="s">
        <v>43</v>
      </c>
      <c r="N561" s="5" t="s">
        <v>44</v>
      </c>
      <c r="O561" s="7">
        <v>5800</v>
      </c>
      <c r="P561" s="5" t="s">
        <v>45</v>
      </c>
      <c r="Q561" s="19">
        <f t="shared" si="28"/>
        <v>-3866.67</v>
      </c>
      <c r="R561" s="8">
        <f t="shared" si="29"/>
        <v>1933.33</v>
      </c>
      <c r="S561" s="7">
        <v>5800</v>
      </c>
      <c r="T561" s="7">
        <f t="shared" si="27"/>
        <v>-3866.67</v>
      </c>
      <c r="U561" s="7">
        <f t="shared" si="26"/>
        <v>1933.33</v>
      </c>
      <c r="V561" s="5" t="s">
        <v>45</v>
      </c>
      <c r="W561" s="7">
        <v>1706.89</v>
      </c>
      <c r="X561" s="5" t="s">
        <v>46</v>
      </c>
      <c r="Y561" s="8">
        <f t="shared" si="30"/>
        <v>-1137.93</v>
      </c>
      <c r="Z561" s="8">
        <f t="shared" si="25"/>
        <v>568.96</v>
      </c>
    </row>
    <row r="562" spans="1:26" x14ac:dyDescent="0.25">
      <c r="A562" s="5" t="s">
        <v>34</v>
      </c>
      <c r="B562" s="5" t="s">
        <v>189</v>
      </c>
      <c r="C562" s="5" t="s">
        <v>190</v>
      </c>
      <c r="D562" s="5" t="s">
        <v>37</v>
      </c>
      <c r="E562" s="5" t="s">
        <v>138</v>
      </c>
      <c r="F562" s="5" t="s">
        <v>139</v>
      </c>
      <c r="G562" s="5" t="s">
        <v>40</v>
      </c>
      <c r="H562" s="6">
        <v>45961</v>
      </c>
      <c r="I562" s="6">
        <v>45961</v>
      </c>
      <c r="J562" s="6">
        <v>45964</v>
      </c>
      <c r="K562" s="5" t="s">
        <v>135</v>
      </c>
      <c r="L562" s="5" t="s">
        <v>136</v>
      </c>
      <c r="M562" s="5" t="s">
        <v>43</v>
      </c>
      <c r="N562" s="5" t="s">
        <v>137</v>
      </c>
      <c r="O562" s="7">
        <v>31900</v>
      </c>
      <c r="P562" s="5" t="s">
        <v>45</v>
      </c>
      <c r="Q562" s="19">
        <f t="shared" si="28"/>
        <v>-21266.67</v>
      </c>
      <c r="R562" s="8">
        <f t="shared" si="29"/>
        <v>10633.330000000002</v>
      </c>
      <c r="S562" s="7">
        <v>31900</v>
      </c>
      <c r="T562" s="7">
        <f t="shared" si="27"/>
        <v>-21266.67</v>
      </c>
      <c r="U562" s="7">
        <f t="shared" si="26"/>
        <v>10633.330000000002</v>
      </c>
      <c r="V562" s="5" t="s">
        <v>45</v>
      </c>
      <c r="W562" s="7">
        <v>9387.8799999999992</v>
      </c>
      <c r="X562" s="5" t="s">
        <v>46</v>
      </c>
      <c r="Y562" s="8">
        <f t="shared" si="30"/>
        <v>-6258.59</v>
      </c>
      <c r="Z562" s="8">
        <f t="shared" si="25"/>
        <v>3129.2899999999991</v>
      </c>
    </row>
    <row r="563" spans="1:26" x14ac:dyDescent="0.25">
      <c r="A563" s="5" t="s">
        <v>34</v>
      </c>
      <c r="B563" s="5" t="s">
        <v>189</v>
      </c>
      <c r="C563" s="5" t="s">
        <v>190</v>
      </c>
      <c r="D563" s="5" t="s">
        <v>37</v>
      </c>
      <c r="E563" s="5" t="s">
        <v>78</v>
      </c>
      <c r="F563" s="5" t="s">
        <v>79</v>
      </c>
      <c r="G563" s="5" t="s">
        <v>40</v>
      </c>
      <c r="H563" s="6">
        <v>45961</v>
      </c>
      <c r="I563" s="6">
        <v>45961</v>
      </c>
      <c r="J563" s="6">
        <v>45964</v>
      </c>
      <c r="K563" s="5" t="s">
        <v>135</v>
      </c>
      <c r="L563" s="5" t="s">
        <v>136</v>
      </c>
      <c r="M563" s="5" t="s">
        <v>43</v>
      </c>
      <c r="N563" s="5" t="s">
        <v>137</v>
      </c>
      <c r="O563" s="7">
        <v>252300</v>
      </c>
      <c r="P563" s="5" t="s">
        <v>45</v>
      </c>
      <c r="Q563" s="19">
        <f t="shared" si="28"/>
        <v>-168200</v>
      </c>
      <c r="R563" s="8">
        <f t="shared" si="29"/>
        <v>84100</v>
      </c>
      <c r="S563" s="7">
        <v>252300</v>
      </c>
      <c r="T563" s="7">
        <f t="shared" si="27"/>
        <v>-168200</v>
      </c>
      <c r="U563" s="7">
        <f t="shared" si="26"/>
        <v>84100</v>
      </c>
      <c r="V563" s="5" t="s">
        <v>45</v>
      </c>
      <c r="W563" s="7">
        <v>74249.56</v>
      </c>
      <c r="X563" s="5" t="s">
        <v>46</v>
      </c>
      <c r="Y563" s="8">
        <f t="shared" si="30"/>
        <v>-49499.71</v>
      </c>
      <c r="Z563" s="8">
        <f t="shared" si="25"/>
        <v>24749.85</v>
      </c>
    </row>
    <row r="564" spans="1:26" x14ac:dyDescent="0.25">
      <c r="A564" s="5" t="s">
        <v>34</v>
      </c>
      <c r="B564" s="5" t="s">
        <v>189</v>
      </c>
      <c r="C564" s="5" t="s">
        <v>190</v>
      </c>
      <c r="D564" s="5" t="s">
        <v>37</v>
      </c>
      <c r="E564" s="5" t="s">
        <v>80</v>
      </c>
      <c r="F564" s="5" t="s">
        <v>81</v>
      </c>
      <c r="G564" s="5" t="s">
        <v>40</v>
      </c>
      <c r="H564" s="6">
        <v>45961</v>
      </c>
      <c r="I564" s="6">
        <v>45961</v>
      </c>
      <c r="J564" s="6">
        <v>45964</v>
      </c>
      <c r="K564" s="5" t="s">
        <v>135</v>
      </c>
      <c r="L564" s="5" t="s">
        <v>136</v>
      </c>
      <c r="M564" s="5" t="s">
        <v>43</v>
      </c>
      <c r="N564" s="5" t="s">
        <v>137</v>
      </c>
      <c r="O564" s="7">
        <v>34800</v>
      </c>
      <c r="P564" s="5" t="s">
        <v>45</v>
      </c>
      <c r="Q564" s="19">
        <f t="shared" si="28"/>
        <v>-23200</v>
      </c>
      <c r="R564" s="8">
        <f t="shared" si="29"/>
        <v>11600</v>
      </c>
      <c r="S564" s="7">
        <v>34800</v>
      </c>
      <c r="T564" s="7">
        <f t="shared" si="27"/>
        <v>-23200</v>
      </c>
      <c r="U564" s="7">
        <f t="shared" si="26"/>
        <v>11600</v>
      </c>
      <c r="V564" s="5" t="s">
        <v>45</v>
      </c>
      <c r="W564" s="7">
        <v>10241.32</v>
      </c>
      <c r="X564" s="5" t="s">
        <v>46</v>
      </c>
      <c r="Y564" s="8">
        <f t="shared" si="30"/>
        <v>-6827.55</v>
      </c>
      <c r="Z564" s="8">
        <f t="shared" si="25"/>
        <v>3413.7699999999995</v>
      </c>
    </row>
    <row r="565" spans="1:26" x14ac:dyDescent="0.25">
      <c r="A565" s="5" t="s">
        <v>34</v>
      </c>
      <c r="B565" s="5" t="s">
        <v>189</v>
      </c>
      <c r="C565" s="5" t="s">
        <v>190</v>
      </c>
      <c r="D565" s="5" t="s">
        <v>37</v>
      </c>
      <c r="E565" s="5" t="s">
        <v>54</v>
      </c>
      <c r="F565" s="5" t="s">
        <v>55</v>
      </c>
      <c r="G565" s="5" t="s">
        <v>40</v>
      </c>
      <c r="H565" s="6">
        <v>45961</v>
      </c>
      <c r="I565" s="6">
        <v>45961</v>
      </c>
      <c r="J565" s="6">
        <v>45964</v>
      </c>
      <c r="K565" s="5" t="s">
        <v>135</v>
      </c>
      <c r="L565" s="5" t="s">
        <v>136</v>
      </c>
      <c r="M565" s="5" t="s">
        <v>43</v>
      </c>
      <c r="N565" s="5" t="s">
        <v>137</v>
      </c>
      <c r="O565" s="7">
        <v>17400</v>
      </c>
      <c r="P565" s="5" t="s">
        <v>45</v>
      </c>
      <c r="Q565" s="19">
        <f t="shared" si="28"/>
        <v>-11600</v>
      </c>
      <c r="R565" s="8">
        <f t="shared" si="29"/>
        <v>5800</v>
      </c>
      <c r="S565" s="7">
        <v>17400</v>
      </c>
      <c r="T565" s="7">
        <f t="shared" si="27"/>
        <v>-11600</v>
      </c>
      <c r="U565" s="7">
        <f t="shared" si="26"/>
        <v>5800</v>
      </c>
      <c r="V565" s="5" t="s">
        <v>45</v>
      </c>
      <c r="W565" s="7">
        <v>5120.66</v>
      </c>
      <c r="X565" s="5" t="s">
        <v>46</v>
      </c>
      <c r="Y565" s="8">
        <f t="shared" si="30"/>
        <v>-3413.77</v>
      </c>
      <c r="Z565" s="8">
        <f t="shared" si="25"/>
        <v>1706.8899999999999</v>
      </c>
    </row>
    <row r="566" spans="1:26" x14ac:dyDescent="0.25">
      <c r="A566" s="5" t="s">
        <v>34</v>
      </c>
      <c r="B566" s="5" t="s">
        <v>189</v>
      </c>
      <c r="C566" s="5" t="s">
        <v>190</v>
      </c>
      <c r="D566" s="5" t="s">
        <v>37</v>
      </c>
      <c r="E566" s="5" t="s">
        <v>98</v>
      </c>
      <c r="F566" s="5" t="s">
        <v>99</v>
      </c>
      <c r="G566" s="5" t="s">
        <v>40</v>
      </c>
      <c r="H566" s="6">
        <v>45961</v>
      </c>
      <c r="I566" s="6">
        <v>45961</v>
      </c>
      <c r="J566" s="6">
        <v>45964</v>
      </c>
      <c r="K566" s="5" t="s">
        <v>135</v>
      </c>
      <c r="L566" s="5" t="s">
        <v>136</v>
      </c>
      <c r="M566" s="5" t="s">
        <v>43</v>
      </c>
      <c r="N566" s="5" t="s">
        <v>137</v>
      </c>
      <c r="O566" s="7">
        <v>2900</v>
      </c>
      <c r="P566" s="5" t="s">
        <v>45</v>
      </c>
      <c r="Q566" s="19">
        <f t="shared" si="28"/>
        <v>-1933.33</v>
      </c>
      <c r="R566" s="8">
        <f t="shared" si="29"/>
        <v>966.67000000000007</v>
      </c>
      <c r="S566" s="7">
        <v>2900</v>
      </c>
      <c r="T566" s="7">
        <f t="shared" si="27"/>
        <v>-1933.33</v>
      </c>
      <c r="U566" s="7">
        <f t="shared" si="26"/>
        <v>966.67000000000007</v>
      </c>
      <c r="V566" s="5" t="s">
        <v>45</v>
      </c>
      <c r="W566" s="7">
        <v>853.44</v>
      </c>
      <c r="X566" s="5" t="s">
        <v>46</v>
      </c>
      <c r="Y566" s="8">
        <f t="shared" si="30"/>
        <v>-568.96</v>
      </c>
      <c r="Z566" s="8">
        <f t="shared" si="25"/>
        <v>284.48</v>
      </c>
    </row>
    <row r="567" spans="1:26" x14ac:dyDescent="0.25">
      <c r="A567" s="5" t="s">
        <v>34</v>
      </c>
      <c r="B567" s="5" t="s">
        <v>189</v>
      </c>
      <c r="C567" s="5" t="s">
        <v>190</v>
      </c>
      <c r="D567" s="5" t="s">
        <v>37</v>
      </c>
      <c r="E567" s="5" t="s">
        <v>116</v>
      </c>
      <c r="F567" s="5" t="s">
        <v>117</v>
      </c>
      <c r="G567" s="5" t="s">
        <v>40</v>
      </c>
      <c r="H567" s="6">
        <v>45961</v>
      </c>
      <c r="I567" s="6">
        <v>45961</v>
      </c>
      <c r="J567" s="6">
        <v>45964</v>
      </c>
      <c r="K567" s="5" t="s">
        <v>135</v>
      </c>
      <c r="L567" s="5" t="s">
        <v>136</v>
      </c>
      <c r="M567" s="5" t="s">
        <v>43</v>
      </c>
      <c r="N567" s="5" t="s">
        <v>137</v>
      </c>
      <c r="O567" s="7">
        <v>66700</v>
      </c>
      <c r="P567" s="5" t="s">
        <v>45</v>
      </c>
      <c r="Q567" s="19">
        <f t="shared" si="28"/>
        <v>-44466.67</v>
      </c>
      <c r="R567" s="8">
        <f t="shared" si="29"/>
        <v>22233.33</v>
      </c>
      <c r="S567" s="7">
        <v>66700</v>
      </c>
      <c r="T567" s="7">
        <f t="shared" si="27"/>
        <v>-44466.67</v>
      </c>
      <c r="U567" s="7">
        <f t="shared" si="26"/>
        <v>22233.33</v>
      </c>
      <c r="V567" s="5" t="s">
        <v>45</v>
      </c>
      <c r="W567" s="7">
        <v>19629.189999999999</v>
      </c>
      <c r="X567" s="5" t="s">
        <v>46</v>
      </c>
      <c r="Y567" s="8">
        <f t="shared" si="30"/>
        <v>-13086.13</v>
      </c>
      <c r="Z567" s="8">
        <f t="shared" si="25"/>
        <v>6543.0599999999995</v>
      </c>
    </row>
    <row r="568" spans="1:26" x14ac:dyDescent="0.25">
      <c r="A568" s="5" t="s">
        <v>34</v>
      </c>
      <c r="B568" s="5" t="s">
        <v>189</v>
      </c>
      <c r="C568" s="5" t="s">
        <v>190</v>
      </c>
      <c r="D568" s="5" t="s">
        <v>37</v>
      </c>
      <c r="E568" s="5" t="s">
        <v>50</v>
      </c>
      <c r="F568" s="5" t="s">
        <v>51</v>
      </c>
      <c r="G568" s="5" t="s">
        <v>40</v>
      </c>
      <c r="H568" s="6">
        <v>45961</v>
      </c>
      <c r="I568" s="6">
        <v>45961</v>
      </c>
      <c r="J568" s="6">
        <v>45964</v>
      </c>
      <c r="K568" s="5" t="s">
        <v>135</v>
      </c>
      <c r="L568" s="5" t="s">
        <v>136</v>
      </c>
      <c r="M568" s="5" t="s">
        <v>43</v>
      </c>
      <c r="N568" s="5" t="s">
        <v>137</v>
      </c>
      <c r="O568" s="7">
        <v>89900</v>
      </c>
      <c r="P568" s="5" t="s">
        <v>45</v>
      </c>
      <c r="Q568" s="19">
        <f t="shared" si="28"/>
        <v>-59933.33</v>
      </c>
      <c r="R568" s="8">
        <f t="shared" si="29"/>
        <v>29966.67</v>
      </c>
      <c r="S568" s="7">
        <v>89900</v>
      </c>
      <c r="T568" s="7">
        <f t="shared" si="27"/>
        <v>-59933.33</v>
      </c>
      <c r="U568" s="7">
        <f t="shared" si="26"/>
        <v>29966.67</v>
      </c>
      <c r="V568" s="5" t="s">
        <v>45</v>
      </c>
      <c r="W568" s="7">
        <v>26456.74</v>
      </c>
      <c r="X568" s="5" t="s">
        <v>46</v>
      </c>
      <c r="Y568" s="8">
        <f t="shared" si="30"/>
        <v>-17637.830000000002</v>
      </c>
      <c r="Z568" s="8">
        <f t="shared" si="25"/>
        <v>8818.91</v>
      </c>
    </row>
    <row r="569" spans="1:26" x14ac:dyDescent="0.25">
      <c r="A569" s="5" t="s">
        <v>34</v>
      </c>
      <c r="B569" s="5" t="s">
        <v>189</v>
      </c>
      <c r="C569" s="5" t="s">
        <v>190</v>
      </c>
      <c r="D569" s="5" t="s">
        <v>37</v>
      </c>
      <c r="E569" s="5" t="s">
        <v>72</v>
      </c>
      <c r="F569" s="5" t="s">
        <v>73</v>
      </c>
      <c r="G569" s="5" t="s">
        <v>40</v>
      </c>
      <c r="H569" s="6">
        <v>45961</v>
      </c>
      <c r="I569" s="6">
        <v>45961</v>
      </c>
      <c r="J569" s="6">
        <v>45964</v>
      </c>
      <c r="K569" s="5" t="s">
        <v>135</v>
      </c>
      <c r="L569" s="5" t="s">
        <v>136</v>
      </c>
      <c r="M569" s="5" t="s">
        <v>43</v>
      </c>
      <c r="N569" s="5" t="s">
        <v>137</v>
      </c>
      <c r="O569" s="7">
        <v>17400</v>
      </c>
      <c r="P569" s="5" t="s">
        <v>45</v>
      </c>
      <c r="Q569" s="19">
        <f t="shared" si="28"/>
        <v>-11600</v>
      </c>
      <c r="R569" s="8">
        <f t="shared" si="29"/>
        <v>5800</v>
      </c>
      <c r="S569" s="7">
        <v>17400</v>
      </c>
      <c r="T569" s="7">
        <f t="shared" si="27"/>
        <v>-11600</v>
      </c>
      <c r="U569" s="7">
        <f t="shared" si="26"/>
        <v>5800</v>
      </c>
      <c r="V569" s="5" t="s">
        <v>45</v>
      </c>
      <c r="W569" s="7">
        <v>5120.66</v>
      </c>
      <c r="X569" s="5" t="s">
        <v>46</v>
      </c>
      <c r="Y569" s="8">
        <f t="shared" si="30"/>
        <v>-3413.77</v>
      </c>
      <c r="Z569" s="8">
        <f t="shared" si="25"/>
        <v>1706.8899999999999</v>
      </c>
    </row>
    <row r="570" spans="1:26" x14ac:dyDescent="0.25">
      <c r="A570" s="5" t="s">
        <v>34</v>
      </c>
      <c r="B570" s="5" t="s">
        <v>189</v>
      </c>
      <c r="C570" s="5" t="s">
        <v>190</v>
      </c>
      <c r="D570" s="5" t="s">
        <v>37</v>
      </c>
      <c r="E570" s="5" t="s">
        <v>38</v>
      </c>
      <c r="F570" s="5" t="s">
        <v>39</v>
      </c>
      <c r="G570" s="5" t="s">
        <v>40</v>
      </c>
      <c r="H570" s="6">
        <v>45961</v>
      </c>
      <c r="I570" s="6">
        <v>45961</v>
      </c>
      <c r="J570" s="6">
        <v>45964</v>
      </c>
      <c r="K570" s="5" t="s">
        <v>135</v>
      </c>
      <c r="L570" s="5" t="s">
        <v>136</v>
      </c>
      <c r="M570" s="5" t="s">
        <v>43</v>
      </c>
      <c r="N570" s="5" t="s">
        <v>137</v>
      </c>
      <c r="O570" s="7">
        <v>75400</v>
      </c>
      <c r="P570" s="5" t="s">
        <v>45</v>
      </c>
      <c r="Q570" s="19">
        <f t="shared" si="28"/>
        <v>-50266.67</v>
      </c>
      <c r="R570" s="8">
        <f t="shared" si="29"/>
        <v>25133.33</v>
      </c>
      <c r="S570" s="7">
        <v>75400</v>
      </c>
      <c r="T570" s="7">
        <f t="shared" si="27"/>
        <v>-50266.67</v>
      </c>
      <c r="U570" s="7">
        <f t="shared" si="26"/>
        <v>25133.33</v>
      </c>
      <c r="V570" s="5" t="s">
        <v>45</v>
      </c>
      <c r="W570" s="7">
        <v>22189.52</v>
      </c>
      <c r="X570" s="5" t="s">
        <v>46</v>
      </c>
      <c r="Y570" s="8">
        <f t="shared" si="30"/>
        <v>-14793.01</v>
      </c>
      <c r="Z570" s="8">
        <f t="shared" si="25"/>
        <v>7396.51</v>
      </c>
    </row>
    <row r="571" spans="1:26" x14ac:dyDescent="0.25">
      <c r="A571" s="5" t="s">
        <v>34</v>
      </c>
      <c r="B571" s="5" t="s">
        <v>189</v>
      </c>
      <c r="C571" s="5" t="s">
        <v>190</v>
      </c>
      <c r="D571" s="5" t="s">
        <v>37</v>
      </c>
      <c r="E571" s="5" t="s">
        <v>48</v>
      </c>
      <c r="F571" s="5" t="s">
        <v>49</v>
      </c>
      <c r="G571" s="5" t="s">
        <v>40</v>
      </c>
      <c r="H571" s="6">
        <v>45961</v>
      </c>
      <c r="I571" s="6">
        <v>45961</v>
      </c>
      <c r="J571" s="6">
        <v>45964</v>
      </c>
      <c r="K571" s="5" t="s">
        <v>135</v>
      </c>
      <c r="L571" s="5" t="s">
        <v>136</v>
      </c>
      <c r="M571" s="5" t="s">
        <v>43</v>
      </c>
      <c r="N571" s="5" t="s">
        <v>137</v>
      </c>
      <c r="O571" s="7">
        <v>113100</v>
      </c>
      <c r="P571" s="5" t="s">
        <v>45</v>
      </c>
      <c r="Q571" s="19">
        <f t="shared" si="28"/>
        <v>-75400</v>
      </c>
      <c r="R571" s="8">
        <f t="shared" si="29"/>
        <v>37700</v>
      </c>
      <c r="S571" s="7">
        <v>113100</v>
      </c>
      <c r="T571" s="7">
        <f t="shared" si="27"/>
        <v>-75400</v>
      </c>
      <c r="U571" s="7">
        <f t="shared" si="26"/>
        <v>37700</v>
      </c>
      <c r="V571" s="5" t="s">
        <v>45</v>
      </c>
      <c r="W571" s="7">
        <v>33284.28</v>
      </c>
      <c r="X571" s="5" t="s">
        <v>46</v>
      </c>
      <c r="Y571" s="8">
        <f t="shared" si="30"/>
        <v>-22189.52</v>
      </c>
      <c r="Z571" s="8">
        <f t="shared" si="25"/>
        <v>11094.759999999998</v>
      </c>
    </row>
    <row r="572" spans="1:26" x14ac:dyDescent="0.25">
      <c r="A572" s="5" t="s">
        <v>34</v>
      </c>
      <c r="B572" s="5" t="s">
        <v>189</v>
      </c>
      <c r="C572" s="5" t="s">
        <v>190</v>
      </c>
      <c r="D572" s="5" t="s">
        <v>37</v>
      </c>
      <c r="E572" s="5" t="s">
        <v>142</v>
      </c>
      <c r="F572" s="5" t="s">
        <v>143</v>
      </c>
      <c r="G572" s="5" t="s">
        <v>40</v>
      </c>
      <c r="H572" s="6">
        <v>45961</v>
      </c>
      <c r="I572" s="6">
        <v>45961</v>
      </c>
      <c r="J572" s="6">
        <v>45964</v>
      </c>
      <c r="K572" s="5" t="s">
        <v>135</v>
      </c>
      <c r="L572" s="5" t="s">
        <v>136</v>
      </c>
      <c r="M572" s="5" t="s">
        <v>43</v>
      </c>
      <c r="N572" s="5" t="s">
        <v>137</v>
      </c>
      <c r="O572" s="7">
        <v>2900</v>
      </c>
      <c r="P572" s="5" t="s">
        <v>45</v>
      </c>
      <c r="Q572" s="19">
        <f t="shared" si="28"/>
        <v>-1933.33</v>
      </c>
      <c r="R572" s="8">
        <f t="shared" si="29"/>
        <v>966.67000000000007</v>
      </c>
      <c r="S572" s="7">
        <v>2900</v>
      </c>
      <c r="T572" s="7">
        <f t="shared" si="27"/>
        <v>-1933.33</v>
      </c>
      <c r="U572" s="7">
        <f t="shared" si="26"/>
        <v>966.67000000000007</v>
      </c>
      <c r="V572" s="5" t="s">
        <v>45</v>
      </c>
      <c r="W572" s="7">
        <v>853.44</v>
      </c>
      <c r="X572" s="5" t="s">
        <v>46</v>
      </c>
      <c r="Y572" s="8">
        <f t="shared" si="30"/>
        <v>-568.96</v>
      </c>
      <c r="Z572" s="8">
        <f t="shared" si="25"/>
        <v>284.48</v>
      </c>
    </row>
    <row r="573" spans="1:26" x14ac:dyDescent="0.25">
      <c r="A573" s="5" t="s">
        <v>34</v>
      </c>
      <c r="B573" s="5" t="s">
        <v>189</v>
      </c>
      <c r="C573" s="5" t="s">
        <v>190</v>
      </c>
      <c r="D573" s="5" t="s">
        <v>37</v>
      </c>
      <c r="E573" s="5" t="s">
        <v>106</v>
      </c>
      <c r="F573" s="5" t="s">
        <v>107</v>
      </c>
      <c r="G573" s="5" t="s">
        <v>40</v>
      </c>
      <c r="H573" s="6">
        <v>45961</v>
      </c>
      <c r="I573" s="6">
        <v>45961</v>
      </c>
      <c r="J573" s="6">
        <v>45964</v>
      </c>
      <c r="K573" s="5" t="s">
        <v>135</v>
      </c>
      <c r="L573" s="5" t="s">
        <v>136</v>
      </c>
      <c r="M573" s="5" t="s">
        <v>43</v>
      </c>
      <c r="N573" s="5" t="s">
        <v>137</v>
      </c>
      <c r="O573" s="7">
        <v>23200</v>
      </c>
      <c r="P573" s="5" t="s">
        <v>45</v>
      </c>
      <c r="Q573" s="19">
        <f t="shared" si="28"/>
        <v>-15466.67</v>
      </c>
      <c r="R573" s="8">
        <f t="shared" si="29"/>
        <v>7733.33</v>
      </c>
      <c r="S573" s="7">
        <v>23200</v>
      </c>
      <c r="T573" s="7">
        <f t="shared" si="27"/>
        <v>-15466.67</v>
      </c>
      <c r="U573" s="7">
        <f t="shared" si="26"/>
        <v>7733.33</v>
      </c>
      <c r="V573" s="5" t="s">
        <v>45</v>
      </c>
      <c r="W573" s="7">
        <v>6827.55</v>
      </c>
      <c r="X573" s="5" t="s">
        <v>46</v>
      </c>
      <c r="Y573" s="8">
        <f t="shared" si="30"/>
        <v>-4551.7</v>
      </c>
      <c r="Z573" s="8">
        <f t="shared" si="25"/>
        <v>2275.8500000000004</v>
      </c>
    </row>
    <row r="574" spans="1:26" x14ac:dyDescent="0.25">
      <c r="A574" s="5" t="s">
        <v>34</v>
      </c>
      <c r="B574" s="5" t="s">
        <v>189</v>
      </c>
      <c r="C574" s="5" t="s">
        <v>190</v>
      </c>
      <c r="D574" s="5" t="s">
        <v>37</v>
      </c>
      <c r="E574" s="5" t="s">
        <v>74</v>
      </c>
      <c r="F574" s="5" t="s">
        <v>75</v>
      </c>
      <c r="G574" s="5" t="s">
        <v>40</v>
      </c>
      <c r="H574" s="6">
        <v>45961</v>
      </c>
      <c r="I574" s="6">
        <v>45961</v>
      </c>
      <c r="J574" s="6">
        <v>45964</v>
      </c>
      <c r="K574" s="5" t="s">
        <v>135</v>
      </c>
      <c r="L574" s="5" t="s">
        <v>136</v>
      </c>
      <c r="M574" s="5" t="s">
        <v>43</v>
      </c>
      <c r="N574" s="5" t="s">
        <v>137</v>
      </c>
      <c r="O574" s="7">
        <v>638000</v>
      </c>
      <c r="P574" s="5" t="s">
        <v>45</v>
      </c>
      <c r="Q574" s="19">
        <f t="shared" si="28"/>
        <v>-425333.33</v>
      </c>
      <c r="R574" s="8">
        <f t="shared" si="29"/>
        <v>212666.66999999998</v>
      </c>
      <c r="S574" s="7">
        <v>638000</v>
      </c>
      <c r="T574" s="7">
        <f t="shared" si="27"/>
        <v>-425333.33</v>
      </c>
      <c r="U574" s="7">
        <f t="shared" si="26"/>
        <v>212666.66999999998</v>
      </c>
      <c r="V574" s="5" t="s">
        <v>45</v>
      </c>
      <c r="W574" s="7">
        <v>187757.5</v>
      </c>
      <c r="X574" s="5" t="s">
        <v>46</v>
      </c>
      <c r="Y574" s="8">
        <f t="shared" si="30"/>
        <v>-125171.67</v>
      </c>
      <c r="Z574" s="8">
        <f t="shared" si="25"/>
        <v>62585.83</v>
      </c>
    </row>
    <row r="575" spans="1:26" x14ac:dyDescent="0.25">
      <c r="A575" s="5" t="s">
        <v>34</v>
      </c>
      <c r="B575" s="5" t="s">
        <v>189</v>
      </c>
      <c r="C575" s="5" t="s">
        <v>190</v>
      </c>
      <c r="D575" s="5" t="s">
        <v>37</v>
      </c>
      <c r="E575" s="5" t="s">
        <v>60</v>
      </c>
      <c r="F575" s="5" t="s">
        <v>61</v>
      </c>
      <c r="G575" s="5" t="s">
        <v>40</v>
      </c>
      <c r="H575" s="6">
        <v>45961</v>
      </c>
      <c r="I575" s="6">
        <v>45961</v>
      </c>
      <c r="J575" s="6">
        <v>45964</v>
      </c>
      <c r="K575" s="5" t="s">
        <v>135</v>
      </c>
      <c r="L575" s="5" t="s">
        <v>136</v>
      </c>
      <c r="M575" s="5" t="s">
        <v>43</v>
      </c>
      <c r="N575" s="5" t="s">
        <v>137</v>
      </c>
      <c r="O575" s="7">
        <v>124700</v>
      </c>
      <c r="P575" s="5" t="s">
        <v>45</v>
      </c>
      <c r="Q575" s="19">
        <f t="shared" si="28"/>
        <v>-83133.33</v>
      </c>
      <c r="R575" s="8">
        <f t="shared" si="29"/>
        <v>41566.67</v>
      </c>
      <c r="S575" s="7">
        <v>124700</v>
      </c>
      <c r="T575" s="7">
        <f t="shared" si="27"/>
        <v>-83133.33</v>
      </c>
      <c r="U575" s="7">
        <f t="shared" si="26"/>
        <v>41566.67</v>
      </c>
      <c r="V575" s="5" t="s">
        <v>45</v>
      </c>
      <c r="W575" s="7">
        <v>36698.06</v>
      </c>
      <c r="X575" s="5" t="s">
        <v>46</v>
      </c>
      <c r="Y575" s="8">
        <f t="shared" si="30"/>
        <v>-24465.37</v>
      </c>
      <c r="Z575" s="8">
        <f t="shared" si="25"/>
        <v>12232.689999999999</v>
      </c>
    </row>
    <row r="576" spans="1:26" x14ac:dyDescent="0.25">
      <c r="A576" s="5" t="s">
        <v>34</v>
      </c>
      <c r="B576" s="5" t="s">
        <v>189</v>
      </c>
      <c r="C576" s="5" t="s">
        <v>190</v>
      </c>
      <c r="D576" s="5" t="s">
        <v>37</v>
      </c>
      <c r="E576" s="5" t="s">
        <v>68</v>
      </c>
      <c r="F576" s="5" t="s">
        <v>69</v>
      </c>
      <c r="G576" s="5" t="s">
        <v>40</v>
      </c>
      <c r="H576" s="6">
        <v>45961</v>
      </c>
      <c r="I576" s="6">
        <v>45961</v>
      </c>
      <c r="J576" s="6">
        <v>45964</v>
      </c>
      <c r="K576" s="5" t="s">
        <v>135</v>
      </c>
      <c r="L576" s="5" t="s">
        <v>136</v>
      </c>
      <c r="M576" s="5" t="s">
        <v>43</v>
      </c>
      <c r="N576" s="5" t="s">
        <v>137</v>
      </c>
      <c r="O576" s="7">
        <v>43500</v>
      </c>
      <c r="P576" s="5" t="s">
        <v>45</v>
      </c>
      <c r="Q576" s="19">
        <f t="shared" si="28"/>
        <v>-29000</v>
      </c>
      <c r="R576" s="8">
        <f t="shared" si="29"/>
        <v>14500</v>
      </c>
      <c r="S576" s="7">
        <v>43500</v>
      </c>
      <c r="T576" s="7">
        <f t="shared" si="27"/>
        <v>-29000</v>
      </c>
      <c r="U576" s="7">
        <f t="shared" si="26"/>
        <v>14500</v>
      </c>
      <c r="V576" s="5" t="s">
        <v>45</v>
      </c>
      <c r="W576" s="7">
        <v>12801.65</v>
      </c>
      <c r="X576" s="5" t="s">
        <v>46</v>
      </c>
      <c r="Y576" s="8">
        <f t="shared" si="30"/>
        <v>-8534.43</v>
      </c>
      <c r="Z576" s="8">
        <f t="shared" si="25"/>
        <v>4267.2199999999993</v>
      </c>
    </row>
    <row r="577" spans="1:26" x14ac:dyDescent="0.25">
      <c r="A577" s="5" t="s">
        <v>34</v>
      </c>
      <c r="B577" s="5" t="s">
        <v>189</v>
      </c>
      <c r="C577" s="5" t="s">
        <v>190</v>
      </c>
      <c r="D577" s="5" t="s">
        <v>37</v>
      </c>
      <c r="E577" s="5" t="s">
        <v>84</v>
      </c>
      <c r="F577" s="5" t="s">
        <v>85</v>
      </c>
      <c r="G577" s="5" t="s">
        <v>40</v>
      </c>
      <c r="H577" s="6">
        <v>45961</v>
      </c>
      <c r="I577" s="6">
        <v>45961</v>
      </c>
      <c r="J577" s="6">
        <v>45964</v>
      </c>
      <c r="K577" s="5" t="s">
        <v>135</v>
      </c>
      <c r="L577" s="5" t="s">
        <v>136</v>
      </c>
      <c r="M577" s="5" t="s">
        <v>43</v>
      </c>
      <c r="N577" s="5" t="s">
        <v>137</v>
      </c>
      <c r="O577" s="7">
        <v>26100</v>
      </c>
      <c r="P577" s="5" t="s">
        <v>45</v>
      </c>
      <c r="Q577" s="19">
        <f t="shared" si="28"/>
        <v>-17400</v>
      </c>
      <c r="R577" s="8">
        <f t="shared" si="29"/>
        <v>8700</v>
      </c>
      <c r="S577" s="7">
        <v>26100</v>
      </c>
      <c r="T577" s="7">
        <f t="shared" si="27"/>
        <v>-17400</v>
      </c>
      <c r="U577" s="7">
        <f t="shared" si="26"/>
        <v>8700</v>
      </c>
      <c r="V577" s="5" t="s">
        <v>45</v>
      </c>
      <c r="W577" s="7">
        <v>7680.99</v>
      </c>
      <c r="X577" s="5" t="s">
        <v>46</v>
      </c>
      <c r="Y577" s="8">
        <f t="shared" si="30"/>
        <v>-5120.66</v>
      </c>
      <c r="Z577" s="8">
        <f t="shared" si="25"/>
        <v>2560.33</v>
      </c>
    </row>
    <row r="578" spans="1:26" x14ac:dyDescent="0.25">
      <c r="A578" s="5" t="s">
        <v>34</v>
      </c>
      <c r="B578" s="5" t="s">
        <v>189</v>
      </c>
      <c r="C578" s="5" t="s">
        <v>190</v>
      </c>
      <c r="D578" s="5" t="s">
        <v>37</v>
      </c>
      <c r="E578" s="5" t="s">
        <v>92</v>
      </c>
      <c r="F578" s="5" t="s">
        <v>93</v>
      </c>
      <c r="G578" s="5" t="s">
        <v>40</v>
      </c>
      <c r="H578" s="6">
        <v>45961</v>
      </c>
      <c r="I578" s="6">
        <v>45961</v>
      </c>
      <c r="J578" s="6">
        <v>45964</v>
      </c>
      <c r="K578" s="5" t="s">
        <v>135</v>
      </c>
      <c r="L578" s="5" t="s">
        <v>136</v>
      </c>
      <c r="M578" s="5" t="s">
        <v>43</v>
      </c>
      <c r="N578" s="5" t="s">
        <v>137</v>
      </c>
      <c r="O578" s="7">
        <v>8700</v>
      </c>
      <c r="P578" s="5" t="s">
        <v>45</v>
      </c>
      <c r="Q578" s="19">
        <f t="shared" si="28"/>
        <v>-5800</v>
      </c>
      <c r="R578" s="8">
        <f t="shared" si="29"/>
        <v>2900</v>
      </c>
      <c r="S578" s="7">
        <v>8700</v>
      </c>
      <c r="T578" s="7">
        <f t="shared" si="27"/>
        <v>-5800</v>
      </c>
      <c r="U578" s="7">
        <f t="shared" si="26"/>
        <v>2900</v>
      </c>
      <c r="V578" s="5" t="s">
        <v>45</v>
      </c>
      <c r="W578" s="7">
        <v>2560.33</v>
      </c>
      <c r="X578" s="5" t="s">
        <v>46</v>
      </c>
      <c r="Y578" s="8">
        <f t="shared" si="30"/>
        <v>-1706.89</v>
      </c>
      <c r="Z578" s="8">
        <f t="shared" ref="Z578:Z641" si="31">+W578+Y578</f>
        <v>853.43999999999983</v>
      </c>
    </row>
    <row r="579" spans="1:26" x14ac:dyDescent="0.25">
      <c r="A579" s="5" t="s">
        <v>34</v>
      </c>
      <c r="B579" s="5" t="s">
        <v>189</v>
      </c>
      <c r="C579" s="5" t="s">
        <v>190</v>
      </c>
      <c r="D579" s="5" t="s">
        <v>37</v>
      </c>
      <c r="E579" s="5" t="s">
        <v>110</v>
      </c>
      <c r="F579" s="5" t="s">
        <v>111</v>
      </c>
      <c r="G579" s="5" t="s">
        <v>40</v>
      </c>
      <c r="H579" s="6">
        <v>45961</v>
      </c>
      <c r="I579" s="6">
        <v>45961</v>
      </c>
      <c r="J579" s="6">
        <v>45964</v>
      </c>
      <c r="K579" s="5" t="s">
        <v>135</v>
      </c>
      <c r="L579" s="5" t="s">
        <v>136</v>
      </c>
      <c r="M579" s="5" t="s">
        <v>43</v>
      </c>
      <c r="N579" s="5" t="s">
        <v>137</v>
      </c>
      <c r="O579" s="7">
        <v>133400</v>
      </c>
      <c r="P579" s="5" t="s">
        <v>45</v>
      </c>
      <c r="Q579" s="19">
        <f t="shared" si="28"/>
        <v>-88933.33</v>
      </c>
      <c r="R579" s="8">
        <f t="shared" si="29"/>
        <v>44466.67</v>
      </c>
      <c r="S579" s="7">
        <v>133400</v>
      </c>
      <c r="T579" s="7">
        <f t="shared" si="27"/>
        <v>-88933.33</v>
      </c>
      <c r="U579" s="7">
        <f t="shared" ref="U579:U642" si="32">+S579+T579</f>
        <v>44466.67</v>
      </c>
      <c r="V579" s="5" t="s">
        <v>45</v>
      </c>
      <c r="W579" s="7">
        <v>39258.39</v>
      </c>
      <c r="X579" s="5" t="s">
        <v>46</v>
      </c>
      <c r="Y579" s="8">
        <f t="shared" si="30"/>
        <v>-26172.26</v>
      </c>
      <c r="Z579" s="8">
        <f t="shared" si="31"/>
        <v>13086.130000000001</v>
      </c>
    </row>
    <row r="580" spans="1:26" x14ac:dyDescent="0.25">
      <c r="A580" s="5" t="s">
        <v>34</v>
      </c>
      <c r="B580" s="5" t="s">
        <v>189</v>
      </c>
      <c r="C580" s="5" t="s">
        <v>190</v>
      </c>
      <c r="D580" s="5" t="s">
        <v>37</v>
      </c>
      <c r="E580" s="5" t="s">
        <v>122</v>
      </c>
      <c r="F580" s="5" t="s">
        <v>123</v>
      </c>
      <c r="G580" s="5" t="s">
        <v>40</v>
      </c>
      <c r="H580" s="6">
        <v>45961</v>
      </c>
      <c r="I580" s="6">
        <v>45961</v>
      </c>
      <c r="J580" s="6">
        <v>45964</v>
      </c>
      <c r="K580" s="5" t="s">
        <v>135</v>
      </c>
      <c r="L580" s="5" t="s">
        <v>136</v>
      </c>
      <c r="M580" s="5" t="s">
        <v>43</v>
      </c>
      <c r="N580" s="5" t="s">
        <v>137</v>
      </c>
      <c r="O580" s="7">
        <v>2900</v>
      </c>
      <c r="P580" s="5" t="s">
        <v>45</v>
      </c>
      <c r="Q580" s="19">
        <f t="shared" si="28"/>
        <v>-1933.33</v>
      </c>
      <c r="R580" s="8">
        <f t="shared" si="29"/>
        <v>966.67000000000007</v>
      </c>
      <c r="S580" s="7">
        <v>2900</v>
      </c>
      <c r="T580" s="7">
        <f t="shared" si="27"/>
        <v>-1933.33</v>
      </c>
      <c r="U580" s="7">
        <f t="shared" si="32"/>
        <v>966.67000000000007</v>
      </c>
      <c r="V580" s="5" t="s">
        <v>45</v>
      </c>
      <c r="W580" s="7">
        <v>853.44</v>
      </c>
      <c r="X580" s="5" t="s">
        <v>46</v>
      </c>
      <c r="Y580" s="8">
        <f t="shared" si="30"/>
        <v>-568.96</v>
      </c>
      <c r="Z580" s="8">
        <f t="shared" si="31"/>
        <v>284.48</v>
      </c>
    </row>
    <row r="581" spans="1:26" x14ac:dyDescent="0.25">
      <c r="A581" s="5" t="s">
        <v>34</v>
      </c>
      <c r="B581" s="5" t="s">
        <v>189</v>
      </c>
      <c r="C581" s="5" t="s">
        <v>190</v>
      </c>
      <c r="D581" s="5" t="s">
        <v>37</v>
      </c>
      <c r="E581" s="5" t="s">
        <v>142</v>
      </c>
      <c r="F581" s="5" t="s">
        <v>143</v>
      </c>
      <c r="G581" s="5" t="s">
        <v>40</v>
      </c>
      <c r="H581" s="6">
        <v>45961</v>
      </c>
      <c r="I581" s="6">
        <v>45961</v>
      </c>
      <c r="J581" s="6">
        <v>45961</v>
      </c>
      <c r="K581" s="5" t="s">
        <v>144</v>
      </c>
      <c r="L581" s="5" t="s">
        <v>145</v>
      </c>
      <c r="M581" s="5" t="s">
        <v>43</v>
      </c>
      <c r="N581" s="5" t="s">
        <v>146</v>
      </c>
      <c r="O581" s="7">
        <v>2900</v>
      </c>
      <c r="P581" s="5" t="s">
        <v>45</v>
      </c>
      <c r="Q581" s="19">
        <f t="shared" si="28"/>
        <v>-1933.33</v>
      </c>
      <c r="R581" s="8">
        <f t="shared" si="29"/>
        <v>966.67000000000007</v>
      </c>
      <c r="S581" s="7">
        <v>2900</v>
      </c>
      <c r="T581" s="7">
        <f t="shared" si="27"/>
        <v>-1933.33</v>
      </c>
      <c r="U581" s="7">
        <f t="shared" si="32"/>
        <v>966.67000000000007</v>
      </c>
      <c r="V581" s="5" t="s">
        <v>45</v>
      </c>
      <c r="W581" s="7">
        <v>853.44</v>
      </c>
      <c r="X581" s="5" t="s">
        <v>46</v>
      </c>
      <c r="Y581" s="8">
        <f t="shared" si="30"/>
        <v>-568.96</v>
      </c>
      <c r="Z581" s="8">
        <f t="shared" si="31"/>
        <v>284.48</v>
      </c>
    </row>
    <row r="582" spans="1:26" x14ac:dyDescent="0.25">
      <c r="A582" s="5" t="s">
        <v>34</v>
      </c>
      <c r="B582" s="5" t="s">
        <v>189</v>
      </c>
      <c r="C582" s="5" t="s">
        <v>190</v>
      </c>
      <c r="D582" s="5" t="s">
        <v>37</v>
      </c>
      <c r="E582" s="5" t="s">
        <v>96</v>
      </c>
      <c r="F582" s="5" t="s">
        <v>97</v>
      </c>
      <c r="G582" s="5" t="s">
        <v>40</v>
      </c>
      <c r="H582" s="6">
        <v>45961</v>
      </c>
      <c r="I582" s="6">
        <v>45961</v>
      </c>
      <c r="J582" s="6">
        <v>45964</v>
      </c>
      <c r="K582" s="5" t="s">
        <v>135</v>
      </c>
      <c r="L582" s="5" t="s">
        <v>136</v>
      </c>
      <c r="M582" s="5" t="s">
        <v>43</v>
      </c>
      <c r="N582" s="5" t="s">
        <v>137</v>
      </c>
      <c r="O582" s="7">
        <v>627850</v>
      </c>
      <c r="P582" s="5" t="s">
        <v>45</v>
      </c>
      <c r="Q582" s="19">
        <f t="shared" si="28"/>
        <v>-418566.67</v>
      </c>
      <c r="R582" s="8">
        <f t="shared" si="29"/>
        <v>209283.33000000002</v>
      </c>
      <c r="S582" s="7">
        <v>627850</v>
      </c>
      <c r="T582" s="7">
        <f t="shared" si="27"/>
        <v>-418566.67</v>
      </c>
      <c r="U582" s="7">
        <f t="shared" si="32"/>
        <v>209283.33000000002</v>
      </c>
      <c r="V582" s="5" t="s">
        <v>45</v>
      </c>
      <c r="W582" s="7">
        <v>184770.45</v>
      </c>
      <c r="X582" s="5" t="s">
        <v>46</v>
      </c>
      <c r="Y582" s="8">
        <f t="shared" si="30"/>
        <v>-123180.3</v>
      </c>
      <c r="Z582" s="8">
        <f t="shared" si="31"/>
        <v>61590.150000000009</v>
      </c>
    </row>
    <row r="583" spans="1:26" x14ac:dyDescent="0.25">
      <c r="A583" s="5" t="s">
        <v>34</v>
      </c>
      <c r="B583" s="5" t="s">
        <v>189</v>
      </c>
      <c r="C583" s="5" t="s">
        <v>190</v>
      </c>
      <c r="D583" s="5" t="s">
        <v>37</v>
      </c>
      <c r="E583" s="5" t="s">
        <v>64</v>
      </c>
      <c r="F583" s="5" t="s">
        <v>65</v>
      </c>
      <c r="G583" s="5" t="s">
        <v>40</v>
      </c>
      <c r="H583" s="6">
        <v>45961</v>
      </c>
      <c r="I583" s="6">
        <v>45961</v>
      </c>
      <c r="J583" s="6">
        <v>45964</v>
      </c>
      <c r="K583" s="5" t="s">
        <v>135</v>
      </c>
      <c r="L583" s="5" t="s">
        <v>136</v>
      </c>
      <c r="M583" s="5" t="s">
        <v>43</v>
      </c>
      <c r="N583" s="5" t="s">
        <v>137</v>
      </c>
      <c r="O583" s="7">
        <v>72500</v>
      </c>
      <c r="P583" s="5" t="s">
        <v>45</v>
      </c>
      <c r="Q583" s="19">
        <f t="shared" si="28"/>
        <v>-48333.33</v>
      </c>
      <c r="R583" s="8">
        <f t="shared" si="29"/>
        <v>24166.67</v>
      </c>
      <c r="S583" s="7">
        <v>72500</v>
      </c>
      <c r="T583" s="7">
        <f t="shared" si="27"/>
        <v>-48333.33</v>
      </c>
      <c r="U583" s="7">
        <f t="shared" si="32"/>
        <v>24166.67</v>
      </c>
      <c r="V583" s="5" t="s">
        <v>45</v>
      </c>
      <c r="W583" s="7">
        <v>21336.080000000002</v>
      </c>
      <c r="X583" s="5" t="s">
        <v>46</v>
      </c>
      <c r="Y583" s="8">
        <f t="shared" si="30"/>
        <v>-14224.05</v>
      </c>
      <c r="Z583" s="8">
        <f t="shared" si="31"/>
        <v>7112.0300000000025</v>
      </c>
    </row>
    <row r="584" spans="1:26" x14ac:dyDescent="0.25">
      <c r="A584" s="5" t="s">
        <v>34</v>
      </c>
      <c r="B584" s="5" t="s">
        <v>189</v>
      </c>
      <c r="C584" s="5" t="s">
        <v>190</v>
      </c>
      <c r="D584" s="5" t="s">
        <v>37</v>
      </c>
      <c r="E584" s="5" t="s">
        <v>118</v>
      </c>
      <c r="F584" s="5" t="s">
        <v>119</v>
      </c>
      <c r="G584" s="5" t="s">
        <v>40</v>
      </c>
      <c r="H584" s="6">
        <v>45961</v>
      </c>
      <c r="I584" s="6">
        <v>45961</v>
      </c>
      <c r="J584" s="6">
        <v>45964</v>
      </c>
      <c r="K584" s="5" t="s">
        <v>135</v>
      </c>
      <c r="L584" s="5" t="s">
        <v>136</v>
      </c>
      <c r="M584" s="5" t="s">
        <v>43</v>
      </c>
      <c r="N584" s="5" t="s">
        <v>137</v>
      </c>
      <c r="O584" s="7">
        <v>101500</v>
      </c>
      <c r="P584" s="5" t="s">
        <v>45</v>
      </c>
      <c r="Q584" s="19">
        <f t="shared" si="28"/>
        <v>-67666.67</v>
      </c>
      <c r="R584" s="8">
        <f t="shared" si="29"/>
        <v>33833.33</v>
      </c>
      <c r="S584" s="7">
        <v>101500</v>
      </c>
      <c r="T584" s="7">
        <f t="shared" si="27"/>
        <v>-67666.67</v>
      </c>
      <c r="U584" s="7">
        <f t="shared" si="32"/>
        <v>33833.33</v>
      </c>
      <c r="V584" s="5" t="s">
        <v>45</v>
      </c>
      <c r="W584" s="7">
        <v>29870.51</v>
      </c>
      <c r="X584" s="5" t="s">
        <v>46</v>
      </c>
      <c r="Y584" s="8">
        <f t="shared" si="30"/>
        <v>-19913.669999999998</v>
      </c>
      <c r="Z584" s="8">
        <f t="shared" si="31"/>
        <v>9956.84</v>
      </c>
    </row>
    <row r="585" spans="1:26" x14ac:dyDescent="0.25">
      <c r="A585" s="5" t="s">
        <v>34</v>
      </c>
      <c r="B585" s="5" t="s">
        <v>189</v>
      </c>
      <c r="C585" s="5" t="s">
        <v>190</v>
      </c>
      <c r="D585" s="5" t="s">
        <v>37</v>
      </c>
      <c r="E585" s="5" t="s">
        <v>82</v>
      </c>
      <c r="F585" s="5" t="s">
        <v>83</v>
      </c>
      <c r="G585" s="5" t="s">
        <v>40</v>
      </c>
      <c r="H585" s="6">
        <v>45961</v>
      </c>
      <c r="I585" s="6">
        <v>45961</v>
      </c>
      <c r="J585" s="6">
        <v>45964</v>
      </c>
      <c r="K585" s="5" t="s">
        <v>135</v>
      </c>
      <c r="L585" s="5" t="s">
        <v>136</v>
      </c>
      <c r="M585" s="5" t="s">
        <v>43</v>
      </c>
      <c r="N585" s="5" t="s">
        <v>137</v>
      </c>
      <c r="O585" s="7">
        <v>113100</v>
      </c>
      <c r="P585" s="5" t="s">
        <v>45</v>
      </c>
      <c r="Q585" s="19">
        <f t="shared" si="28"/>
        <v>-75400</v>
      </c>
      <c r="R585" s="8">
        <f t="shared" si="29"/>
        <v>37700</v>
      </c>
      <c r="S585" s="7">
        <v>113100</v>
      </c>
      <c r="T585" s="7">
        <f t="shared" si="27"/>
        <v>-75400</v>
      </c>
      <c r="U585" s="7">
        <f t="shared" si="32"/>
        <v>37700</v>
      </c>
      <c r="V585" s="5" t="s">
        <v>45</v>
      </c>
      <c r="W585" s="7">
        <v>33284.28</v>
      </c>
      <c r="X585" s="5" t="s">
        <v>46</v>
      </c>
      <c r="Y585" s="8">
        <f t="shared" si="30"/>
        <v>-22189.52</v>
      </c>
      <c r="Z585" s="8">
        <f t="shared" si="31"/>
        <v>11094.759999999998</v>
      </c>
    </row>
    <row r="586" spans="1:26" x14ac:dyDescent="0.25">
      <c r="A586" s="5" t="s">
        <v>34</v>
      </c>
      <c r="B586" s="5" t="s">
        <v>189</v>
      </c>
      <c r="C586" s="5" t="s">
        <v>190</v>
      </c>
      <c r="D586" s="5" t="s">
        <v>37</v>
      </c>
      <c r="E586" s="5" t="s">
        <v>110</v>
      </c>
      <c r="F586" s="5" t="s">
        <v>111</v>
      </c>
      <c r="G586" s="5" t="s">
        <v>40</v>
      </c>
      <c r="H586" s="6">
        <v>45961</v>
      </c>
      <c r="I586" s="6">
        <v>45961</v>
      </c>
      <c r="J586" s="6">
        <v>45960</v>
      </c>
      <c r="K586" s="5" t="s">
        <v>150</v>
      </c>
      <c r="L586" s="5" t="s">
        <v>151</v>
      </c>
      <c r="M586" s="5" t="s">
        <v>43</v>
      </c>
      <c r="N586" s="5" t="s">
        <v>152</v>
      </c>
      <c r="O586" s="7">
        <v>2900</v>
      </c>
      <c r="P586" s="5" t="s">
        <v>45</v>
      </c>
      <c r="Q586" s="19">
        <f t="shared" si="28"/>
        <v>-1933.33</v>
      </c>
      <c r="R586" s="8">
        <f t="shared" si="29"/>
        <v>966.67000000000007</v>
      </c>
      <c r="S586" s="7">
        <v>2900</v>
      </c>
      <c r="T586" s="7">
        <f t="shared" si="27"/>
        <v>-1933.33</v>
      </c>
      <c r="U586" s="7">
        <f t="shared" si="32"/>
        <v>966.67000000000007</v>
      </c>
      <c r="V586" s="5" t="s">
        <v>45</v>
      </c>
      <c r="W586" s="7">
        <v>854.45</v>
      </c>
      <c r="X586" s="5" t="s">
        <v>46</v>
      </c>
      <c r="Y586" s="8">
        <f t="shared" si="30"/>
        <v>-569.63</v>
      </c>
      <c r="Z586" s="8">
        <f t="shared" si="31"/>
        <v>284.82000000000005</v>
      </c>
    </row>
    <row r="587" spans="1:26" x14ac:dyDescent="0.25">
      <c r="A587" s="5" t="s">
        <v>34</v>
      </c>
      <c r="B587" s="5" t="s">
        <v>189</v>
      </c>
      <c r="C587" s="5" t="s">
        <v>190</v>
      </c>
      <c r="D587" s="5" t="s">
        <v>37</v>
      </c>
      <c r="E587" s="5" t="s">
        <v>86</v>
      </c>
      <c r="F587" s="5" t="s">
        <v>87</v>
      </c>
      <c r="G587" s="5" t="s">
        <v>40</v>
      </c>
      <c r="H587" s="6">
        <v>45961</v>
      </c>
      <c r="I587" s="6">
        <v>45961</v>
      </c>
      <c r="J587" s="6">
        <v>45964</v>
      </c>
      <c r="K587" s="5" t="s">
        <v>135</v>
      </c>
      <c r="L587" s="5" t="s">
        <v>136</v>
      </c>
      <c r="M587" s="5" t="s">
        <v>43</v>
      </c>
      <c r="N587" s="5" t="s">
        <v>137</v>
      </c>
      <c r="O587" s="7">
        <v>188500</v>
      </c>
      <c r="P587" s="5" t="s">
        <v>45</v>
      </c>
      <c r="Q587" s="19">
        <f t="shared" si="28"/>
        <v>-125666.67</v>
      </c>
      <c r="R587" s="8">
        <f t="shared" si="29"/>
        <v>62833.33</v>
      </c>
      <c r="S587" s="7">
        <v>188500</v>
      </c>
      <c r="T587" s="7">
        <f t="shared" si="27"/>
        <v>-125666.67</v>
      </c>
      <c r="U587" s="7">
        <f t="shared" si="32"/>
        <v>62833.33</v>
      </c>
      <c r="V587" s="5" t="s">
        <v>45</v>
      </c>
      <c r="W587" s="7">
        <v>55473.81</v>
      </c>
      <c r="X587" s="5" t="s">
        <v>46</v>
      </c>
      <c r="Y587" s="8">
        <f t="shared" si="30"/>
        <v>-36982.54</v>
      </c>
      <c r="Z587" s="8">
        <f t="shared" si="31"/>
        <v>18491.269999999997</v>
      </c>
    </row>
    <row r="588" spans="1:26" x14ac:dyDescent="0.25">
      <c r="A588" s="5" t="s">
        <v>34</v>
      </c>
      <c r="B588" s="5" t="s">
        <v>189</v>
      </c>
      <c r="C588" s="5" t="s">
        <v>190</v>
      </c>
      <c r="D588" s="5" t="s">
        <v>37</v>
      </c>
      <c r="E588" s="5" t="s">
        <v>104</v>
      </c>
      <c r="F588" s="5" t="s">
        <v>105</v>
      </c>
      <c r="G588" s="5" t="s">
        <v>40</v>
      </c>
      <c r="H588" s="6">
        <v>45961</v>
      </c>
      <c r="I588" s="6">
        <v>45961</v>
      </c>
      <c r="J588" s="6">
        <v>45964</v>
      </c>
      <c r="K588" s="5" t="s">
        <v>135</v>
      </c>
      <c r="L588" s="5" t="s">
        <v>136</v>
      </c>
      <c r="M588" s="5" t="s">
        <v>43</v>
      </c>
      <c r="N588" s="5" t="s">
        <v>137</v>
      </c>
      <c r="O588" s="7">
        <v>63800</v>
      </c>
      <c r="P588" s="5" t="s">
        <v>45</v>
      </c>
      <c r="Q588" s="19">
        <f t="shared" si="28"/>
        <v>-42533.33</v>
      </c>
      <c r="R588" s="8">
        <f t="shared" si="29"/>
        <v>21266.67</v>
      </c>
      <c r="S588" s="7">
        <v>63800</v>
      </c>
      <c r="T588" s="7">
        <f t="shared" si="27"/>
        <v>-42533.33</v>
      </c>
      <c r="U588" s="7">
        <f t="shared" si="32"/>
        <v>21266.67</v>
      </c>
      <c r="V588" s="5" t="s">
        <v>45</v>
      </c>
      <c r="W588" s="7">
        <v>18775.75</v>
      </c>
      <c r="X588" s="5" t="s">
        <v>46</v>
      </c>
      <c r="Y588" s="8">
        <f t="shared" si="30"/>
        <v>-12517.17</v>
      </c>
      <c r="Z588" s="8">
        <f t="shared" si="31"/>
        <v>6258.58</v>
      </c>
    </row>
    <row r="589" spans="1:26" x14ac:dyDescent="0.25">
      <c r="A589" s="5" t="s">
        <v>34</v>
      </c>
      <c r="B589" s="5" t="s">
        <v>189</v>
      </c>
      <c r="C589" s="5" t="s">
        <v>190</v>
      </c>
      <c r="D589" s="5" t="s">
        <v>37</v>
      </c>
      <c r="E589" s="5" t="s">
        <v>62</v>
      </c>
      <c r="F589" s="5" t="s">
        <v>63</v>
      </c>
      <c r="G589" s="5" t="s">
        <v>40</v>
      </c>
      <c r="H589" s="6">
        <v>45961</v>
      </c>
      <c r="I589" s="6">
        <v>45961</v>
      </c>
      <c r="J589" s="6">
        <v>45964</v>
      </c>
      <c r="K589" s="5" t="s">
        <v>135</v>
      </c>
      <c r="L589" s="5" t="s">
        <v>136</v>
      </c>
      <c r="M589" s="5" t="s">
        <v>43</v>
      </c>
      <c r="N589" s="5" t="s">
        <v>137</v>
      </c>
      <c r="O589" s="7">
        <v>72500</v>
      </c>
      <c r="P589" s="5" t="s">
        <v>45</v>
      </c>
      <c r="Q589" s="19">
        <f>-ROUND(O589/3*2,2)+3.88</f>
        <v>-48329.450000000004</v>
      </c>
      <c r="R589" s="8">
        <f t="shared" si="29"/>
        <v>24170.549999999996</v>
      </c>
      <c r="S589" s="7">
        <v>72500</v>
      </c>
      <c r="T589" s="7">
        <f t="shared" si="27"/>
        <v>-48329.450000000004</v>
      </c>
      <c r="U589" s="7">
        <f t="shared" si="32"/>
        <v>24170.549999999996</v>
      </c>
      <c r="V589" s="5" t="s">
        <v>45</v>
      </c>
      <c r="W589" s="7">
        <v>21336.080000000002</v>
      </c>
      <c r="X589" s="5" t="s">
        <v>46</v>
      </c>
      <c r="Y589" s="8">
        <f t="shared" si="30"/>
        <v>-14224.05</v>
      </c>
      <c r="Z589" s="8">
        <f t="shared" si="31"/>
        <v>7112.0300000000025</v>
      </c>
    </row>
    <row r="590" spans="1:26" x14ac:dyDescent="0.25">
      <c r="A590" s="5" t="s">
        <v>34</v>
      </c>
      <c r="B590" s="5" t="s">
        <v>189</v>
      </c>
      <c r="C590" s="5" t="s">
        <v>190</v>
      </c>
      <c r="D590" s="5" t="s">
        <v>37</v>
      </c>
      <c r="E590" s="5" t="s">
        <v>58</v>
      </c>
      <c r="F590" s="5" t="s">
        <v>59</v>
      </c>
      <c r="G590" s="5" t="s">
        <v>40</v>
      </c>
      <c r="H590" s="6">
        <v>45961</v>
      </c>
      <c r="I590" s="6">
        <v>45961</v>
      </c>
      <c r="J590" s="6">
        <v>45964</v>
      </c>
      <c r="K590" s="5" t="s">
        <v>135</v>
      </c>
      <c r="L590" s="5" t="s">
        <v>136</v>
      </c>
      <c r="M590" s="5" t="s">
        <v>43</v>
      </c>
      <c r="N590" s="5" t="s">
        <v>137</v>
      </c>
      <c r="O590" s="7">
        <v>5800</v>
      </c>
      <c r="P590" s="5" t="s">
        <v>45</v>
      </c>
      <c r="Q590" s="19">
        <f t="shared" si="28"/>
        <v>-3866.67</v>
      </c>
      <c r="R590" s="8">
        <f t="shared" si="29"/>
        <v>1933.33</v>
      </c>
      <c r="S590" s="7">
        <v>5800</v>
      </c>
      <c r="T590" s="7">
        <f t="shared" si="27"/>
        <v>-3866.67</v>
      </c>
      <c r="U590" s="7">
        <f t="shared" si="32"/>
        <v>1933.33</v>
      </c>
      <c r="V590" s="5" t="s">
        <v>45</v>
      </c>
      <c r="W590" s="7">
        <v>1706.89</v>
      </c>
      <c r="X590" s="5" t="s">
        <v>46</v>
      </c>
      <c r="Y590" s="8">
        <f t="shared" si="30"/>
        <v>-1137.93</v>
      </c>
      <c r="Z590" s="8">
        <f t="shared" si="31"/>
        <v>568.96</v>
      </c>
    </row>
    <row r="591" spans="1:26" x14ac:dyDescent="0.25">
      <c r="A591" s="5" t="s">
        <v>34</v>
      </c>
      <c r="B591" s="5" t="s">
        <v>189</v>
      </c>
      <c r="C591" s="5" t="s">
        <v>190</v>
      </c>
      <c r="D591" s="5" t="s">
        <v>37</v>
      </c>
      <c r="E591" s="5" t="s">
        <v>100</v>
      </c>
      <c r="F591" s="5" t="s">
        <v>101</v>
      </c>
      <c r="G591" s="5" t="s">
        <v>40</v>
      </c>
      <c r="H591" s="6">
        <v>45961</v>
      </c>
      <c r="I591" s="6">
        <v>45961</v>
      </c>
      <c r="J591" s="6">
        <v>45964</v>
      </c>
      <c r="K591" s="5" t="s">
        <v>135</v>
      </c>
      <c r="L591" s="5" t="s">
        <v>136</v>
      </c>
      <c r="M591" s="5" t="s">
        <v>43</v>
      </c>
      <c r="N591" s="5" t="s">
        <v>137</v>
      </c>
      <c r="O591" s="7">
        <v>52200</v>
      </c>
      <c r="P591" s="5" t="s">
        <v>45</v>
      </c>
      <c r="Q591" s="19">
        <f t="shared" si="28"/>
        <v>-34800</v>
      </c>
      <c r="R591" s="8">
        <f t="shared" si="29"/>
        <v>17400</v>
      </c>
      <c r="S591" s="7">
        <v>52200</v>
      </c>
      <c r="T591" s="7">
        <f t="shared" si="27"/>
        <v>-34800</v>
      </c>
      <c r="U591" s="7">
        <f t="shared" si="32"/>
        <v>17400</v>
      </c>
      <c r="V591" s="5" t="s">
        <v>45</v>
      </c>
      <c r="W591" s="7">
        <v>15361.98</v>
      </c>
      <c r="X591" s="5" t="s">
        <v>46</v>
      </c>
      <c r="Y591" s="8">
        <f t="shared" si="30"/>
        <v>-10241.32</v>
      </c>
      <c r="Z591" s="8">
        <f t="shared" si="31"/>
        <v>5120.66</v>
      </c>
    </row>
    <row r="592" spans="1:26" x14ac:dyDescent="0.25">
      <c r="A592" s="5" t="s">
        <v>34</v>
      </c>
      <c r="B592" s="5" t="s">
        <v>189</v>
      </c>
      <c r="C592" s="5" t="s">
        <v>190</v>
      </c>
      <c r="D592" s="5" t="s">
        <v>37</v>
      </c>
      <c r="E592" s="5" t="s">
        <v>102</v>
      </c>
      <c r="F592" s="5" t="s">
        <v>103</v>
      </c>
      <c r="G592" s="5" t="s">
        <v>40</v>
      </c>
      <c r="H592" s="6">
        <v>45961</v>
      </c>
      <c r="I592" s="6">
        <v>45961</v>
      </c>
      <c r="J592" s="6">
        <v>45964</v>
      </c>
      <c r="K592" s="5" t="s">
        <v>135</v>
      </c>
      <c r="L592" s="5" t="s">
        <v>136</v>
      </c>
      <c r="M592" s="5" t="s">
        <v>43</v>
      </c>
      <c r="N592" s="5" t="s">
        <v>137</v>
      </c>
      <c r="O592" s="7">
        <v>258100</v>
      </c>
      <c r="P592" s="5" t="s">
        <v>45</v>
      </c>
      <c r="Q592" s="19">
        <f t="shared" si="28"/>
        <v>-172066.67</v>
      </c>
      <c r="R592" s="8">
        <f t="shared" si="29"/>
        <v>86033.329999999987</v>
      </c>
      <c r="S592" s="7">
        <v>258100</v>
      </c>
      <c r="T592" s="7">
        <f t="shared" si="27"/>
        <v>-172066.67</v>
      </c>
      <c r="U592" s="7">
        <f t="shared" si="32"/>
        <v>86033.329999999987</v>
      </c>
      <c r="V592" s="5" t="s">
        <v>45</v>
      </c>
      <c r="W592" s="7">
        <v>75956.44</v>
      </c>
      <c r="X592" s="5" t="s">
        <v>46</v>
      </c>
      <c r="Y592" s="8">
        <f t="shared" si="30"/>
        <v>-50637.63</v>
      </c>
      <c r="Z592" s="8">
        <f t="shared" si="31"/>
        <v>25318.810000000005</v>
      </c>
    </row>
    <row r="593" spans="1:26" x14ac:dyDescent="0.25">
      <c r="A593" s="5" t="s">
        <v>34</v>
      </c>
      <c r="B593" s="5" t="s">
        <v>189</v>
      </c>
      <c r="C593" s="5" t="s">
        <v>190</v>
      </c>
      <c r="D593" s="5" t="s">
        <v>37</v>
      </c>
      <c r="E593" s="5" t="s">
        <v>52</v>
      </c>
      <c r="F593" s="5" t="s">
        <v>53</v>
      </c>
      <c r="G593" s="5" t="s">
        <v>40</v>
      </c>
      <c r="H593" s="6">
        <v>45961</v>
      </c>
      <c r="I593" s="6">
        <v>45961</v>
      </c>
      <c r="J593" s="6">
        <v>45964</v>
      </c>
      <c r="K593" s="5" t="s">
        <v>135</v>
      </c>
      <c r="L593" s="5" t="s">
        <v>136</v>
      </c>
      <c r="M593" s="5" t="s">
        <v>43</v>
      </c>
      <c r="N593" s="5" t="s">
        <v>137</v>
      </c>
      <c r="O593" s="7">
        <v>8700</v>
      </c>
      <c r="P593" s="5" t="s">
        <v>45</v>
      </c>
      <c r="Q593" s="19">
        <f t="shared" si="28"/>
        <v>-5800</v>
      </c>
      <c r="R593" s="8">
        <f t="shared" si="29"/>
        <v>2900</v>
      </c>
      <c r="S593" s="7">
        <v>8700</v>
      </c>
      <c r="T593" s="7">
        <f t="shared" si="27"/>
        <v>-5800</v>
      </c>
      <c r="U593" s="7">
        <f t="shared" si="32"/>
        <v>2900</v>
      </c>
      <c r="V593" s="5" t="s">
        <v>45</v>
      </c>
      <c r="W593" s="7">
        <v>2560.33</v>
      </c>
      <c r="X593" s="5" t="s">
        <v>46</v>
      </c>
      <c r="Y593" s="8">
        <f t="shared" si="30"/>
        <v>-1706.89</v>
      </c>
      <c r="Z593" s="8">
        <f t="shared" si="31"/>
        <v>853.43999999999983</v>
      </c>
    </row>
    <row r="594" spans="1:26" x14ac:dyDescent="0.25">
      <c r="A594" s="5" t="s">
        <v>34</v>
      </c>
      <c r="B594" s="5" t="s">
        <v>189</v>
      </c>
      <c r="C594" s="5" t="s">
        <v>190</v>
      </c>
      <c r="D594" s="5" t="s">
        <v>37</v>
      </c>
      <c r="E594" s="5" t="s">
        <v>70</v>
      </c>
      <c r="F594" s="5" t="s">
        <v>71</v>
      </c>
      <c r="G594" s="5" t="s">
        <v>40</v>
      </c>
      <c r="H594" s="6">
        <v>45961</v>
      </c>
      <c r="I594" s="6">
        <v>45961</v>
      </c>
      <c r="J594" s="6">
        <v>45964</v>
      </c>
      <c r="K594" s="5" t="s">
        <v>135</v>
      </c>
      <c r="L594" s="5" t="s">
        <v>136</v>
      </c>
      <c r="M594" s="5" t="s">
        <v>43</v>
      </c>
      <c r="N594" s="5" t="s">
        <v>137</v>
      </c>
      <c r="O594" s="7">
        <v>17400</v>
      </c>
      <c r="P594" s="5" t="s">
        <v>45</v>
      </c>
      <c r="Q594" s="19">
        <f t="shared" si="28"/>
        <v>-11600</v>
      </c>
      <c r="R594" s="8">
        <f t="shared" si="29"/>
        <v>5800</v>
      </c>
      <c r="S594" s="7">
        <v>17400</v>
      </c>
      <c r="T594" s="7">
        <f>+Q594</f>
        <v>-11600</v>
      </c>
      <c r="U594" s="7">
        <f t="shared" si="32"/>
        <v>5800</v>
      </c>
      <c r="V594" s="5" t="s">
        <v>45</v>
      </c>
      <c r="W594" s="7">
        <v>5120.66</v>
      </c>
      <c r="X594" s="5" t="s">
        <v>46</v>
      </c>
      <c r="Y594" s="8">
        <f>-ROUND(W594/3*2,2)</f>
        <v>-3413.77</v>
      </c>
      <c r="Z594" s="8">
        <f t="shared" si="31"/>
        <v>1706.8899999999999</v>
      </c>
    </row>
    <row r="595" spans="1:26" x14ac:dyDescent="0.25">
      <c r="A595" s="5" t="s">
        <v>34</v>
      </c>
      <c r="B595" s="5" t="s">
        <v>191</v>
      </c>
      <c r="C595" s="5" t="s">
        <v>192</v>
      </c>
      <c r="D595" s="5" t="s">
        <v>37</v>
      </c>
      <c r="E595" s="5" t="s">
        <v>110</v>
      </c>
      <c r="F595" s="5" t="s">
        <v>111</v>
      </c>
      <c r="G595" s="5" t="s">
        <v>40</v>
      </c>
      <c r="H595" s="6">
        <v>45961</v>
      </c>
      <c r="I595" s="6">
        <v>45961</v>
      </c>
      <c r="J595" s="6">
        <v>45964</v>
      </c>
      <c r="K595" s="5" t="s">
        <v>135</v>
      </c>
      <c r="L595" s="5" t="s">
        <v>136</v>
      </c>
      <c r="M595" s="5" t="s">
        <v>43</v>
      </c>
      <c r="N595" s="5" t="s">
        <v>137</v>
      </c>
      <c r="O595" s="7">
        <v>433</v>
      </c>
      <c r="P595" s="5" t="s">
        <v>45</v>
      </c>
      <c r="Q595" s="22"/>
      <c r="R595" s="8">
        <f t="shared" si="29"/>
        <v>433</v>
      </c>
      <c r="S595" s="7">
        <v>433</v>
      </c>
      <c r="T595" s="7"/>
      <c r="U595" s="7">
        <f t="shared" si="32"/>
        <v>433</v>
      </c>
      <c r="V595" s="5" t="s">
        <v>45</v>
      </c>
      <c r="W595" s="7">
        <v>127.43</v>
      </c>
      <c r="X595" s="5" t="s">
        <v>46</v>
      </c>
      <c r="Z595" s="8">
        <f t="shared" si="31"/>
        <v>127.43</v>
      </c>
    </row>
    <row r="596" spans="1:26" x14ac:dyDescent="0.25">
      <c r="A596" s="5" t="s">
        <v>34</v>
      </c>
      <c r="B596" s="5" t="s">
        <v>191</v>
      </c>
      <c r="C596" s="5" t="s">
        <v>192</v>
      </c>
      <c r="D596" s="5" t="s">
        <v>37</v>
      </c>
      <c r="E596" s="5" t="s">
        <v>102</v>
      </c>
      <c r="F596" s="5" t="s">
        <v>103</v>
      </c>
      <c r="G596" s="5" t="s">
        <v>40</v>
      </c>
      <c r="H596" s="6">
        <v>45961</v>
      </c>
      <c r="I596" s="6">
        <v>45961</v>
      </c>
      <c r="J596" s="6">
        <v>45964</v>
      </c>
      <c r="K596" s="5" t="s">
        <v>135</v>
      </c>
      <c r="L596" s="5" t="s">
        <v>136</v>
      </c>
      <c r="M596" s="5" t="s">
        <v>43</v>
      </c>
      <c r="N596" s="5" t="s">
        <v>137</v>
      </c>
      <c r="O596" s="7">
        <v>4</v>
      </c>
      <c r="P596" s="5" t="s">
        <v>45</v>
      </c>
      <c r="Q596" s="22"/>
      <c r="R596" s="8">
        <f t="shared" ref="R596:R659" si="33">+O596+Q596</f>
        <v>4</v>
      </c>
      <c r="S596" s="7">
        <v>4</v>
      </c>
      <c r="T596" s="7"/>
      <c r="U596" s="7">
        <f t="shared" si="32"/>
        <v>4</v>
      </c>
      <c r="V596" s="5" t="s">
        <v>45</v>
      </c>
      <c r="W596" s="7">
        <v>1.18</v>
      </c>
      <c r="X596" s="5" t="s">
        <v>46</v>
      </c>
      <c r="Z596" s="8">
        <f t="shared" si="31"/>
        <v>1.18</v>
      </c>
    </row>
    <row r="597" spans="1:26" x14ac:dyDescent="0.25">
      <c r="A597" s="5" t="s">
        <v>34</v>
      </c>
      <c r="B597" s="5" t="s">
        <v>191</v>
      </c>
      <c r="C597" s="5" t="s">
        <v>192</v>
      </c>
      <c r="D597" s="5" t="s">
        <v>37</v>
      </c>
      <c r="E597" s="5" t="s">
        <v>50</v>
      </c>
      <c r="F597" s="5" t="s">
        <v>51</v>
      </c>
      <c r="G597" s="5" t="s">
        <v>40</v>
      </c>
      <c r="H597" s="6">
        <v>45961</v>
      </c>
      <c r="I597" s="6">
        <v>45961</v>
      </c>
      <c r="J597" s="6">
        <v>45964</v>
      </c>
      <c r="K597" s="5" t="s">
        <v>135</v>
      </c>
      <c r="L597" s="5" t="s">
        <v>136</v>
      </c>
      <c r="M597" s="5" t="s">
        <v>43</v>
      </c>
      <c r="N597" s="5" t="s">
        <v>137</v>
      </c>
      <c r="O597" s="7">
        <v>187</v>
      </c>
      <c r="P597" s="5" t="s">
        <v>45</v>
      </c>
      <c r="Q597" s="22"/>
      <c r="R597" s="8">
        <f t="shared" si="33"/>
        <v>187</v>
      </c>
      <c r="S597" s="7">
        <v>187</v>
      </c>
      <c r="T597" s="7"/>
      <c r="U597" s="7">
        <f t="shared" si="32"/>
        <v>187</v>
      </c>
      <c r="V597" s="5" t="s">
        <v>45</v>
      </c>
      <c r="W597" s="7">
        <v>55.03</v>
      </c>
      <c r="X597" s="5" t="s">
        <v>46</v>
      </c>
      <c r="Z597" s="8">
        <f t="shared" si="31"/>
        <v>55.03</v>
      </c>
    </row>
    <row r="598" spans="1:26" x14ac:dyDescent="0.25">
      <c r="A598" s="5" t="s">
        <v>34</v>
      </c>
      <c r="B598" s="5" t="s">
        <v>191</v>
      </c>
      <c r="C598" s="5" t="s">
        <v>192</v>
      </c>
      <c r="D598" s="5" t="s">
        <v>37</v>
      </c>
      <c r="E598" s="5" t="s">
        <v>62</v>
      </c>
      <c r="F598" s="5" t="s">
        <v>63</v>
      </c>
      <c r="G598" s="5" t="s">
        <v>40</v>
      </c>
      <c r="H598" s="6">
        <v>45961</v>
      </c>
      <c r="I598" s="6">
        <v>45961</v>
      </c>
      <c r="J598" s="6">
        <v>45964</v>
      </c>
      <c r="K598" s="5" t="s">
        <v>135</v>
      </c>
      <c r="L598" s="5" t="s">
        <v>136</v>
      </c>
      <c r="M598" s="5" t="s">
        <v>43</v>
      </c>
      <c r="N598" s="5" t="s">
        <v>137</v>
      </c>
      <c r="O598" s="7">
        <v>223</v>
      </c>
      <c r="P598" s="5" t="s">
        <v>45</v>
      </c>
      <c r="Q598" s="22"/>
      <c r="R598" s="8">
        <f t="shared" si="33"/>
        <v>223</v>
      </c>
      <c r="S598" s="7">
        <v>223</v>
      </c>
      <c r="T598" s="7"/>
      <c r="U598" s="7">
        <f t="shared" si="32"/>
        <v>223</v>
      </c>
      <c r="V598" s="5" t="s">
        <v>45</v>
      </c>
      <c r="W598" s="7">
        <v>65.63</v>
      </c>
      <c r="X598" s="5" t="s">
        <v>46</v>
      </c>
      <c r="Z598" s="8">
        <f t="shared" si="31"/>
        <v>65.63</v>
      </c>
    </row>
    <row r="599" spans="1:26" x14ac:dyDescent="0.25">
      <c r="A599" s="5" t="s">
        <v>34</v>
      </c>
      <c r="B599" s="5" t="s">
        <v>191</v>
      </c>
      <c r="C599" s="5" t="s">
        <v>192</v>
      </c>
      <c r="D599" s="5" t="s">
        <v>37</v>
      </c>
      <c r="E599" s="5" t="s">
        <v>68</v>
      </c>
      <c r="F599" s="5" t="s">
        <v>69</v>
      </c>
      <c r="G599" s="5" t="s">
        <v>40</v>
      </c>
      <c r="H599" s="6">
        <v>45961</v>
      </c>
      <c r="I599" s="6">
        <v>45961</v>
      </c>
      <c r="J599" s="6">
        <v>45964</v>
      </c>
      <c r="K599" s="5" t="s">
        <v>135</v>
      </c>
      <c r="L599" s="5" t="s">
        <v>136</v>
      </c>
      <c r="M599" s="5" t="s">
        <v>43</v>
      </c>
      <c r="N599" s="5" t="s">
        <v>137</v>
      </c>
      <c r="O599" s="7">
        <v>133</v>
      </c>
      <c r="P599" s="5" t="s">
        <v>45</v>
      </c>
      <c r="Q599" s="22"/>
      <c r="R599" s="8">
        <f t="shared" si="33"/>
        <v>133</v>
      </c>
      <c r="S599" s="7">
        <v>133</v>
      </c>
      <c r="T599" s="7"/>
      <c r="U599" s="7">
        <f t="shared" si="32"/>
        <v>133</v>
      </c>
      <c r="V599" s="5" t="s">
        <v>45</v>
      </c>
      <c r="W599" s="7">
        <v>39.14</v>
      </c>
      <c r="X599" s="5" t="s">
        <v>46</v>
      </c>
      <c r="Z599" s="8">
        <f t="shared" si="31"/>
        <v>39.14</v>
      </c>
    </row>
    <row r="600" spans="1:26" x14ac:dyDescent="0.25">
      <c r="A600" s="5" t="s">
        <v>34</v>
      </c>
      <c r="B600" s="5" t="s">
        <v>193</v>
      </c>
      <c r="C600" s="5" t="s">
        <v>194</v>
      </c>
      <c r="D600" s="5" t="s">
        <v>37</v>
      </c>
      <c r="E600" s="5" t="s">
        <v>108</v>
      </c>
      <c r="F600" s="5" t="s">
        <v>109</v>
      </c>
      <c r="G600" s="5" t="s">
        <v>40</v>
      </c>
      <c r="H600" s="6">
        <v>45961</v>
      </c>
      <c r="I600" s="6">
        <v>45961</v>
      </c>
      <c r="J600" s="6">
        <v>45964</v>
      </c>
      <c r="K600" s="5" t="s">
        <v>195</v>
      </c>
      <c r="L600" s="5" t="s">
        <v>196</v>
      </c>
      <c r="M600" s="5" t="s">
        <v>43</v>
      </c>
      <c r="N600" s="5" t="s">
        <v>197</v>
      </c>
      <c r="O600" s="7">
        <v>1112.72</v>
      </c>
      <c r="P600" s="5" t="s">
        <v>45</v>
      </c>
      <c r="Q600" s="22"/>
      <c r="R600" s="8">
        <f t="shared" si="33"/>
        <v>1112.72</v>
      </c>
      <c r="S600" s="7">
        <v>1112.72</v>
      </c>
      <c r="T600" s="7"/>
      <c r="U600" s="7">
        <f t="shared" si="32"/>
        <v>1112.72</v>
      </c>
      <c r="V600" s="5" t="s">
        <v>45</v>
      </c>
      <c r="W600" s="7">
        <v>327.45999999999998</v>
      </c>
      <c r="X600" s="5" t="s">
        <v>46</v>
      </c>
      <c r="Z600" s="8">
        <f t="shared" si="31"/>
        <v>327.45999999999998</v>
      </c>
    </row>
    <row r="601" spans="1:26" x14ac:dyDescent="0.25">
      <c r="A601" s="5" t="s">
        <v>34</v>
      </c>
      <c r="B601" s="5" t="s">
        <v>198</v>
      </c>
      <c r="C601" s="5" t="s">
        <v>199</v>
      </c>
      <c r="D601" s="5" t="s">
        <v>37</v>
      </c>
      <c r="E601" s="5" t="s">
        <v>96</v>
      </c>
      <c r="F601" s="5" t="s">
        <v>97</v>
      </c>
      <c r="G601" s="5" t="s">
        <v>40</v>
      </c>
      <c r="H601" s="6">
        <v>45961</v>
      </c>
      <c r="I601" s="6">
        <v>45961</v>
      </c>
      <c r="J601" s="6">
        <v>45964</v>
      </c>
      <c r="K601" s="5" t="s">
        <v>147</v>
      </c>
      <c r="L601" s="5" t="s">
        <v>148</v>
      </c>
      <c r="M601" s="5" t="s">
        <v>43</v>
      </c>
      <c r="N601" s="5" t="s">
        <v>149</v>
      </c>
      <c r="O601" s="7">
        <v>1651.29</v>
      </c>
      <c r="P601" s="5" t="s">
        <v>45</v>
      </c>
      <c r="Q601" s="22"/>
      <c r="R601" s="8">
        <f t="shared" si="33"/>
        <v>1651.29</v>
      </c>
      <c r="S601" s="7">
        <v>1651.29</v>
      </c>
      <c r="T601" s="7"/>
      <c r="U601" s="7">
        <f t="shared" si="32"/>
        <v>1651.29</v>
      </c>
      <c r="V601" s="5" t="s">
        <v>45</v>
      </c>
      <c r="W601" s="7">
        <v>485.96</v>
      </c>
      <c r="X601" s="5" t="s">
        <v>46</v>
      </c>
      <c r="Z601" s="8">
        <f t="shared" si="31"/>
        <v>485.96</v>
      </c>
    </row>
    <row r="602" spans="1:26" x14ac:dyDescent="0.25">
      <c r="A602" s="5" t="s">
        <v>34</v>
      </c>
      <c r="B602" s="5" t="s">
        <v>200</v>
      </c>
      <c r="C602" s="5" t="s">
        <v>201</v>
      </c>
      <c r="D602" s="5" t="s">
        <v>37</v>
      </c>
      <c r="E602" s="5" t="s">
        <v>86</v>
      </c>
      <c r="F602" s="5" t="s">
        <v>87</v>
      </c>
      <c r="G602" s="5" t="s">
        <v>40</v>
      </c>
      <c r="H602" s="6">
        <v>45961</v>
      </c>
      <c r="I602" s="6">
        <v>45961</v>
      </c>
      <c r="J602" s="6">
        <v>45964</v>
      </c>
      <c r="K602" s="5" t="s">
        <v>41</v>
      </c>
      <c r="L602" s="5" t="s">
        <v>42</v>
      </c>
      <c r="M602" s="5" t="s">
        <v>43</v>
      </c>
      <c r="N602" s="5" t="s">
        <v>44</v>
      </c>
      <c r="O602" s="7">
        <v>592.27</v>
      </c>
      <c r="P602" s="5" t="s">
        <v>45</v>
      </c>
      <c r="Q602" s="22"/>
      <c r="R602" s="8">
        <f t="shared" si="33"/>
        <v>592.27</v>
      </c>
      <c r="S602" s="7">
        <v>592.27</v>
      </c>
      <c r="T602" s="7"/>
      <c r="U602" s="7">
        <f t="shared" si="32"/>
        <v>592.27</v>
      </c>
      <c r="V602" s="5" t="s">
        <v>45</v>
      </c>
      <c r="W602" s="7">
        <v>174.3</v>
      </c>
      <c r="X602" s="5" t="s">
        <v>46</v>
      </c>
      <c r="Z602" s="8">
        <f t="shared" si="31"/>
        <v>174.3</v>
      </c>
    </row>
    <row r="603" spans="1:26" x14ac:dyDescent="0.25">
      <c r="A603" s="5" t="s">
        <v>34</v>
      </c>
      <c r="B603" s="5" t="s">
        <v>200</v>
      </c>
      <c r="C603" s="5" t="s">
        <v>201</v>
      </c>
      <c r="D603" s="5" t="s">
        <v>37</v>
      </c>
      <c r="E603" s="5" t="s">
        <v>62</v>
      </c>
      <c r="F603" s="5" t="s">
        <v>63</v>
      </c>
      <c r="G603" s="5" t="s">
        <v>40</v>
      </c>
      <c r="H603" s="6">
        <v>45961</v>
      </c>
      <c r="I603" s="6">
        <v>45961</v>
      </c>
      <c r="J603" s="6">
        <v>45964</v>
      </c>
      <c r="K603" s="5" t="s">
        <v>41</v>
      </c>
      <c r="L603" s="5" t="s">
        <v>42</v>
      </c>
      <c r="M603" s="5" t="s">
        <v>43</v>
      </c>
      <c r="N603" s="5" t="s">
        <v>44</v>
      </c>
      <c r="O603" s="7">
        <v>299.5</v>
      </c>
      <c r="P603" s="5" t="s">
        <v>45</v>
      </c>
      <c r="Q603" s="22"/>
      <c r="R603" s="8">
        <f t="shared" si="33"/>
        <v>299.5</v>
      </c>
      <c r="S603" s="7">
        <v>299.5</v>
      </c>
      <c r="T603" s="7"/>
      <c r="U603" s="7">
        <f t="shared" si="32"/>
        <v>299.5</v>
      </c>
      <c r="V603" s="5" t="s">
        <v>45</v>
      </c>
      <c r="W603" s="7">
        <v>88.14</v>
      </c>
      <c r="X603" s="5" t="s">
        <v>46</v>
      </c>
      <c r="Z603" s="8">
        <f t="shared" si="31"/>
        <v>88.14</v>
      </c>
    </row>
    <row r="604" spans="1:26" x14ac:dyDescent="0.25">
      <c r="A604" s="5" t="s">
        <v>34</v>
      </c>
      <c r="B604" s="5" t="s">
        <v>200</v>
      </c>
      <c r="C604" s="5" t="s">
        <v>201</v>
      </c>
      <c r="D604" s="5" t="s">
        <v>37</v>
      </c>
      <c r="E604" s="5" t="s">
        <v>66</v>
      </c>
      <c r="F604" s="5" t="s">
        <v>67</v>
      </c>
      <c r="G604" s="5" t="s">
        <v>40</v>
      </c>
      <c r="H604" s="6">
        <v>45961</v>
      </c>
      <c r="I604" s="6">
        <v>45961</v>
      </c>
      <c r="J604" s="6">
        <v>45964</v>
      </c>
      <c r="K604" s="5" t="s">
        <v>41</v>
      </c>
      <c r="L604" s="5" t="s">
        <v>42</v>
      </c>
      <c r="M604" s="5" t="s">
        <v>43</v>
      </c>
      <c r="N604" s="5" t="s">
        <v>44</v>
      </c>
      <c r="O604" s="7">
        <v>1472.76</v>
      </c>
      <c r="P604" s="5" t="s">
        <v>45</v>
      </c>
      <c r="Q604" s="22"/>
      <c r="R604" s="8">
        <f t="shared" si="33"/>
        <v>1472.76</v>
      </c>
      <c r="S604" s="7">
        <v>1472.76</v>
      </c>
      <c r="T604" s="7"/>
      <c r="U604" s="7">
        <f t="shared" si="32"/>
        <v>1472.76</v>
      </c>
      <c r="V604" s="5" t="s">
        <v>45</v>
      </c>
      <c r="W604" s="7">
        <v>433.42</v>
      </c>
      <c r="X604" s="5" t="s">
        <v>46</v>
      </c>
      <c r="Z604" s="8">
        <f t="shared" si="31"/>
        <v>433.42</v>
      </c>
    </row>
    <row r="605" spans="1:26" x14ac:dyDescent="0.25">
      <c r="A605" s="5" t="s">
        <v>34</v>
      </c>
      <c r="B605" s="5" t="s">
        <v>200</v>
      </c>
      <c r="C605" s="5" t="s">
        <v>201</v>
      </c>
      <c r="D605" s="5" t="s">
        <v>37</v>
      </c>
      <c r="E605" s="5" t="s">
        <v>52</v>
      </c>
      <c r="F605" s="5" t="s">
        <v>53</v>
      </c>
      <c r="G605" s="5" t="s">
        <v>40</v>
      </c>
      <c r="H605" s="6">
        <v>45961</v>
      </c>
      <c r="I605" s="6">
        <v>45961</v>
      </c>
      <c r="J605" s="6">
        <v>45964</v>
      </c>
      <c r="K605" s="5" t="s">
        <v>41</v>
      </c>
      <c r="L605" s="5" t="s">
        <v>42</v>
      </c>
      <c r="M605" s="5" t="s">
        <v>43</v>
      </c>
      <c r="N605" s="5" t="s">
        <v>44</v>
      </c>
      <c r="O605" s="7">
        <v>147.6</v>
      </c>
      <c r="P605" s="5" t="s">
        <v>45</v>
      </c>
      <c r="Q605" s="22"/>
      <c r="R605" s="8">
        <f t="shared" si="33"/>
        <v>147.6</v>
      </c>
      <c r="S605" s="7">
        <v>147.6</v>
      </c>
      <c r="T605" s="7"/>
      <c r="U605" s="7">
        <f t="shared" si="32"/>
        <v>147.6</v>
      </c>
      <c r="V605" s="5" t="s">
        <v>45</v>
      </c>
      <c r="W605" s="7">
        <v>43.44</v>
      </c>
      <c r="X605" s="5" t="s">
        <v>46</v>
      </c>
      <c r="Z605" s="8">
        <f t="shared" si="31"/>
        <v>43.44</v>
      </c>
    </row>
    <row r="606" spans="1:26" x14ac:dyDescent="0.25">
      <c r="A606" s="5" t="s">
        <v>34</v>
      </c>
      <c r="B606" s="5" t="s">
        <v>200</v>
      </c>
      <c r="C606" s="5" t="s">
        <v>201</v>
      </c>
      <c r="D606" s="5" t="s">
        <v>37</v>
      </c>
      <c r="E606" s="5" t="s">
        <v>54</v>
      </c>
      <c r="F606" s="5" t="s">
        <v>55</v>
      </c>
      <c r="G606" s="5" t="s">
        <v>40</v>
      </c>
      <c r="H606" s="6">
        <v>45961</v>
      </c>
      <c r="I606" s="6">
        <v>45961</v>
      </c>
      <c r="J606" s="6">
        <v>45964</v>
      </c>
      <c r="K606" s="5" t="s">
        <v>41</v>
      </c>
      <c r="L606" s="5" t="s">
        <v>42</v>
      </c>
      <c r="M606" s="5" t="s">
        <v>43</v>
      </c>
      <c r="N606" s="5" t="s">
        <v>44</v>
      </c>
      <c r="O606" s="7">
        <v>355.11</v>
      </c>
      <c r="P606" s="5" t="s">
        <v>45</v>
      </c>
      <c r="Q606" s="22"/>
      <c r="R606" s="8">
        <f t="shared" si="33"/>
        <v>355.11</v>
      </c>
      <c r="S606" s="7">
        <v>355.11</v>
      </c>
      <c r="T606" s="7"/>
      <c r="U606" s="7">
        <f t="shared" si="32"/>
        <v>355.11</v>
      </c>
      <c r="V606" s="5" t="s">
        <v>45</v>
      </c>
      <c r="W606" s="7">
        <v>104.51</v>
      </c>
      <c r="X606" s="5" t="s">
        <v>46</v>
      </c>
      <c r="Z606" s="8">
        <f t="shared" si="31"/>
        <v>104.51</v>
      </c>
    </row>
    <row r="607" spans="1:26" x14ac:dyDescent="0.25">
      <c r="A607" s="5" t="s">
        <v>34</v>
      </c>
      <c r="B607" s="5" t="s">
        <v>200</v>
      </c>
      <c r="C607" s="5" t="s">
        <v>201</v>
      </c>
      <c r="D607" s="5" t="s">
        <v>37</v>
      </c>
      <c r="E607" s="5" t="s">
        <v>38</v>
      </c>
      <c r="F607" s="5" t="s">
        <v>39</v>
      </c>
      <c r="G607" s="5" t="s">
        <v>40</v>
      </c>
      <c r="H607" s="6">
        <v>45961</v>
      </c>
      <c r="I607" s="6">
        <v>45961</v>
      </c>
      <c r="J607" s="6">
        <v>45964</v>
      </c>
      <c r="K607" s="5" t="s">
        <v>41</v>
      </c>
      <c r="L607" s="5" t="s">
        <v>42</v>
      </c>
      <c r="M607" s="5" t="s">
        <v>43</v>
      </c>
      <c r="N607" s="5" t="s">
        <v>44</v>
      </c>
      <c r="O607" s="7">
        <v>232.61</v>
      </c>
      <c r="P607" s="5" t="s">
        <v>45</v>
      </c>
      <c r="Q607" s="22"/>
      <c r="R607" s="8">
        <f t="shared" si="33"/>
        <v>232.61</v>
      </c>
      <c r="S607" s="7">
        <v>232.61</v>
      </c>
      <c r="T607" s="7"/>
      <c r="U607" s="7">
        <f t="shared" si="32"/>
        <v>232.61</v>
      </c>
      <c r="V607" s="5" t="s">
        <v>45</v>
      </c>
      <c r="W607" s="7">
        <v>68.45</v>
      </c>
      <c r="X607" s="5" t="s">
        <v>46</v>
      </c>
      <c r="Z607" s="8">
        <f t="shared" si="31"/>
        <v>68.45</v>
      </c>
    </row>
    <row r="608" spans="1:26" x14ac:dyDescent="0.25">
      <c r="A608" s="5" t="s">
        <v>34</v>
      </c>
      <c r="B608" s="5" t="s">
        <v>200</v>
      </c>
      <c r="C608" s="5" t="s">
        <v>201</v>
      </c>
      <c r="D608" s="5" t="s">
        <v>37</v>
      </c>
      <c r="E608" s="5" t="s">
        <v>64</v>
      </c>
      <c r="F608" s="5" t="s">
        <v>65</v>
      </c>
      <c r="G608" s="5" t="s">
        <v>40</v>
      </c>
      <c r="H608" s="6">
        <v>45961</v>
      </c>
      <c r="I608" s="6">
        <v>45961</v>
      </c>
      <c r="J608" s="6">
        <v>45964</v>
      </c>
      <c r="K608" s="5" t="s">
        <v>41</v>
      </c>
      <c r="L608" s="5" t="s">
        <v>42</v>
      </c>
      <c r="M608" s="5" t="s">
        <v>43</v>
      </c>
      <c r="N608" s="5" t="s">
        <v>44</v>
      </c>
      <c r="O608" s="7">
        <v>180.08</v>
      </c>
      <c r="P608" s="5" t="s">
        <v>45</v>
      </c>
      <c r="Q608" s="22"/>
      <c r="R608" s="8">
        <f t="shared" si="33"/>
        <v>180.08</v>
      </c>
      <c r="S608" s="7">
        <v>180.08</v>
      </c>
      <c r="T608" s="7"/>
      <c r="U608" s="7">
        <f t="shared" si="32"/>
        <v>180.08</v>
      </c>
      <c r="V608" s="5" t="s">
        <v>45</v>
      </c>
      <c r="W608" s="7">
        <v>53</v>
      </c>
      <c r="X608" s="5" t="s">
        <v>46</v>
      </c>
      <c r="Z608" s="8">
        <f t="shared" si="31"/>
        <v>53</v>
      </c>
    </row>
    <row r="609" spans="1:26" x14ac:dyDescent="0.25">
      <c r="A609" s="5" t="s">
        <v>34</v>
      </c>
      <c r="B609" s="5" t="s">
        <v>200</v>
      </c>
      <c r="C609" s="5" t="s">
        <v>201</v>
      </c>
      <c r="D609" s="5" t="s">
        <v>37</v>
      </c>
      <c r="E609" s="5" t="s">
        <v>114</v>
      </c>
      <c r="F609" s="5" t="s">
        <v>115</v>
      </c>
      <c r="G609" s="5" t="s">
        <v>40</v>
      </c>
      <c r="H609" s="6">
        <v>45961</v>
      </c>
      <c r="I609" s="6">
        <v>45961</v>
      </c>
      <c r="J609" s="6">
        <v>45964</v>
      </c>
      <c r="K609" s="5" t="s">
        <v>41</v>
      </c>
      <c r="L609" s="5" t="s">
        <v>42</v>
      </c>
      <c r="M609" s="5" t="s">
        <v>43</v>
      </c>
      <c r="N609" s="5" t="s">
        <v>44</v>
      </c>
      <c r="O609" s="7">
        <v>1831.36</v>
      </c>
      <c r="P609" s="5" t="s">
        <v>45</v>
      </c>
      <c r="Q609" s="22"/>
      <c r="R609" s="8">
        <f t="shared" si="33"/>
        <v>1831.36</v>
      </c>
      <c r="S609" s="7">
        <v>1831.36</v>
      </c>
      <c r="T609" s="7"/>
      <c r="U609" s="7">
        <f t="shared" si="32"/>
        <v>1831.36</v>
      </c>
      <c r="V609" s="5" t="s">
        <v>45</v>
      </c>
      <c r="W609" s="7">
        <v>538.95000000000005</v>
      </c>
      <c r="X609" s="5" t="s">
        <v>46</v>
      </c>
      <c r="Z609" s="8">
        <f t="shared" si="31"/>
        <v>538.95000000000005</v>
      </c>
    </row>
    <row r="610" spans="1:26" x14ac:dyDescent="0.25">
      <c r="A610" s="5" t="s">
        <v>34</v>
      </c>
      <c r="B610" s="5" t="s">
        <v>200</v>
      </c>
      <c r="C610" s="5" t="s">
        <v>201</v>
      </c>
      <c r="D610" s="5" t="s">
        <v>37</v>
      </c>
      <c r="E610" s="5" t="s">
        <v>90</v>
      </c>
      <c r="F610" s="5" t="s">
        <v>91</v>
      </c>
      <c r="G610" s="5" t="s">
        <v>40</v>
      </c>
      <c r="H610" s="6">
        <v>45961</v>
      </c>
      <c r="I610" s="6">
        <v>45961</v>
      </c>
      <c r="J610" s="6">
        <v>45964</v>
      </c>
      <c r="K610" s="5" t="s">
        <v>41</v>
      </c>
      <c r="L610" s="5" t="s">
        <v>42</v>
      </c>
      <c r="M610" s="5" t="s">
        <v>43</v>
      </c>
      <c r="N610" s="5" t="s">
        <v>44</v>
      </c>
      <c r="O610" s="7">
        <v>414.3</v>
      </c>
      <c r="P610" s="5" t="s">
        <v>45</v>
      </c>
      <c r="Q610" s="22"/>
      <c r="R610" s="8">
        <f t="shared" si="33"/>
        <v>414.3</v>
      </c>
      <c r="S610" s="7">
        <v>414.3</v>
      </c>
      <c r="T610" s="7"/>
      <c r="U610" s="7">
        <f t="shared" si="32"/>
        <v>414.3</v>
      </c>
      <c r="V610" s="5" t="s">
        <v>45</v>
      </c>
      <c r="W610" s="7">
        <v>121.92</v>
      </c>
      <c r="X610" s="5" t="s">
        <v>46</v>
      </c>
      <c r="Z610" s="8">
        <f t="shared" si="31"/>
        <v>121.92</v>
      </c>
    </row>
    <row r="611" spans="1:26" x14ac:dyDescent="0.25">
      <c r="A611" s="5" t="s">
        <v>34</v>
      </c>
      <c r="B611" s="5" t="s">
        <v>200</v>
      </c>
      <c r="C611" s="5" t="s">
        <v>201</v>
      </c>
      <c r="D611" s="5" t="s">
        <v>37</v>
      </c>
      <c r="E611" s="5" t="s">
        <v>58</v>
      </c>
      <c r="F611" s="5" t="s">
        <v>59</v>
      </c>
      <c r="G611" s="5" t="s">
        <v>40</v>
      </c>
      <c r="H611" s="6">
        <v>45961</v>
      </c>
      <c r="I611" s="6">
        <v>45961</v>
      </c>
      <c r="J611" s="6">
        <v>45964</v>
      </c>
      <c r="K611" s="5" t="s">
        <v>41</v>
      </c>
      <c r="L611" s="5" t="s">
        <v>42</v>
      </c>
      <c r="M611" s="5" t="s">
        <v>43</v>
      </c>
      <c r="N611" s="5" t="s">
        <v>44</v>
      </c>
      <c r="O611" s="7">
        <v>2451.2600000000002</v>
      </c>
      <c r="P611" s="5" t="s">
        <v>45</v>
      </c>
      <c r="Q611" s="22"/>
      <c r="R611" s="8">
        <f t="shared" si="33"/>
        <v>2451.2600000000002</v>
      </c>
      <c r="S611" s="7">
        <v>2451.2600000000002</v>
      </c>
      <c r="T611" s="7"/>
      <c r="U611" s="7">
        <f t="shared" si="32"/>
        <v>2451.2600000000002</v>
      </c>
      <c r="V611" s="5" t="s">
        <v>45</v>
      </c>
      <c r="W611" s="7">
        <v>721.38</v>
      </c>
      <c r="X611" s="5" t="s">
        <v>46</v>
      </c>
      <c r="Z611" s="8">
        <f t="shared" si="31"/>
        <v>721.38</v>
      </c>
    </row>
    <row r="612" spans="1:26" x14ac:dyDescent="0.25">
      <c r="A612" s="5" t="s">
        <v>34</v>
      </c>
      <c r="B612" s="5" t="s">
        <v>200</v>
      </c>
      <c r="C612" s="5" t="s">
        <v>201</v>
      </c>
      <c r="D612" s="5" t="s">
        <v>37</v>
      </c>
      <c r="E612" s="5" t="s">
        <v>50</v>
      </c>
      <c r="F612" s="5" t="s">
        <v>51</v>
      </c>
      <c r="G612" s="5" t="s">
        <v>40</v>
      </c>
      <c r="H612" s="6">
        <v>45961</v>
      </c>
      <c r="I612" s="6">
        <v>45961</v>
      </c>
      <c r="J612" s="6">
        <v>45964</v>
      </c>
      <c r="K612" s="5" t="s">
        <v>41</v>
      </c>
      <c r="L612" s="5" t="s">
        <v>42</v>
      </c>
      <c r="M612" s="5" t="s">
        <v>43</v>
      </c>
      <c r="N612" s="5" t="s">
        <v>44</v>
      </c>
      <c r="O612" s="7">
        <v>621.44000000000005</v>
      </c>
      <c r="P612" s="5" t="s">
        <v>45</v>
      </c>
      <c r="Q612" s="22"/>
      <c r="R612" s="8">
        <f t="shared" si="33"/>
        <v>621.44000000000005</v>
      </c>
      <c r="S612" s="7">
        <v>621.44000000000005</v>
      </c>
      <c r="T612" s="7"/>
      <c r="U612" s="7">
        <f t="shared" si="32"/>
        <v>621.44000000000005</v>
      </c>
      <c r="V612" s="5" t="s">
        <v>45</v>
      </c>
      <c r="W612" s="7">
        <v>182.88</v>
      </c>
      <c r="X612" s="5" t="s">
        <v>46</v>
      </c>
      <c r="Z612" s="8">
        <f t="shared" si="31"/>
        <v>182.88</v>
      </c>
    </row>
    <row r="613" spans="1:26" x14ac:dyDescent="0.25">
      <c r="A613" s="5" t="s">
        <v>34</v>
      </c>
      <c r="B613" s="5" t="s">
        <v>200</v>
      </c>
      <c r="C613" s="5" t="s">
        <v>201</v>
      </c>
      <c r="D613" s="5" t="s">
        <v>37</v>
      </c>
      <c r="E613" s="5" t="s">
        <v>48</v>
      </c>
      <c r="F613" s="5" t="s">
        <v>49</v>
      </c>
      <c r="G613" s="5" t="s">
        <v>40</v>
      </c>
      <c r="H613" s="6">
        <v>45961</v>
      </c>
      <c r="I613" s="6">
        <v>45961</v>
      </c>
      <c r="J613" s="6">
        <v>45964</v>
      </c>
      <c r="K613" s="5" t="s">
        <v>41</v>
      </c>
      <c r="L613" s="5" t="s">
        <v>42</v>
      </c>
      <c r="M613" s="5" t="s">
        <v>43</v>
      </c>
      <c r="N613" s="5" t="s">
        <v>44</v>
      </c>
      <c r="O613" s="7">
        <v>545.55999999999995</v>
      </c>
      <c r="P613" s="5" t="s">
        <v>45</v>
      </c>
      <c r="Q613" s="22"/>
      <c r="R613" s="8">
        <f t="shared" si="33"/>
        <v>545.55999999999995</v>
      </c>
      <c r="S613" s="7">
        <v>545.55999999999995</v>
      </c>
      <c r="T613" s="7"/>
      <c r="U613" s="7">
        <f t="shared" si="32"/>
        <v>545.55999999999995</v>
      </c>
      <c r="V613" s="5" t="s">
        <v>45</v>
      </c>
      <c r="W613" s="7">
        <v>160.55000000000001</v>
      </c>
      <c r="X613" s="5" t="s">
        <v>46</v>
      </c>
      <c r="Z613" s="8">
        <f t="shared" si="31"/>
        <v>160.55000000000001</v>
      </c>
    </row>
    <row r="614" spans="1:26" x14ac:dyDescent="0.25">
      <c r="A614" s="5" t="s">
        <v>34</v>
      </c>
      <c r="B614" s="5" t="s">
        <v>200</v>
      </c>
      <c r="C614" s="5" t="s">
        <v>201</v>
      </c>
      <c r="D614" s="5" t="s">
        <v>37</v>
      </c>
      <c r="E614" s="5" t="s">
        <v>82</v>
      </c>
      <c r="F614" s="5" t="s">
        <v>83</v>
      </c>
      <c r="G614" s="5" t="s">
        <v>40</v>
      </c>
      <c r="H614" s="6">
        <v>45961</v>
      </c>
      <c r="I614" s="6">
        <v>45961</v>
      </c>
      <c r="J614" s="6">
        <v>45964</v>
      </c>
      <c r="K614" s="5" t="s">
        <v>41</v>
      </c>
      <c r="L614" s="5" t="s">
        <v>42</v>
      </c>
      <c r="M614" s="5" t="s">
        <v>43</v>
      </c>
      <c r="N614" s="5" t="s">
        <v>44</v>
      </c>
      <c r="O614" s="7">
        <v>514.16999999999996</v>
      </c>
      <c r="P614" s="5" t="s">
        <v>45</v>
      </c>
      <c r="Q614" s="22"/>
      <c r="R614" s="8">
        <f t="shared" si="33"/>
        <v>514.16999999999996</v>
      </c>
      <c r="S614" s="7">
        <v>514.16999999999996</v>
      </c>
      <c r="T614" s="7"/>
      <c r="U614" s="7">
        <f t="shared" si="32"/>
        <v>514.16999999999996</v>
      </c>
      <c r="V614" s="5" t="s">
        <v>45</v>
      </c>
      <c r="W614" s="7">
        <v>151.32</v>
      </c>
      <c r="X614" s="5" t="s">
        <v>46</v>
      </c>
      <c r="Z614" s="8">
        <f t="shared" si="31"/>
        <v>151.32</v>
      </c>
    </row>
    <row r="615" spans="1:26" x14ac:dyDescent="0.25">
      <c r="A615" s="5" t="s">
        <v>34</v>
      </c>
      <c r="B615" s="5" t="s">
        <v>200</v>
      </c>
      <c r="C615" s="5" t="s">
        <v>201</v>
      </c>
      <c r="D615" s="5" t="s">
        <v>37</v>
      </c>
      <c r="E615" s="5" t="s">
        <v>92</v>
      </c>
      <c r="F615" s="5" t="s">
        <v>93</v>
      </c>
      <c r="G615" s="5" t="s">
        <v>40</v>
      </c>
      <c r="H615" s="6">
        <v>45961</v>
      </c>
      <c r="I615" s="6">
        <v>45961</v>
      </c>
      <c r="J615" s="6">
        <v>45964</v>
      </c>
      <c r="K615" s="5" t="s">
        <v>41</v>
      </c>
      <c r="L615" s="5" t="s">
        <v>42</v>
      </c>
      <c r="M615" s="5" t="s">
        <v>43</v>
      </c>
      <c r="N615" s="5" t="s">
        <v>44</v>
      </c>
      <c r="O615" s="7">
        <v>549</v>
      </c>
      <c r="P615" s="5" t="s">
        <v>45</v>
      </c>
      <c r="Q615" s="22"/>
      <c r="R615" s="8">
        <f t="shared" si="33"/>
        <v>549</v>
      </c>
      <c r="S615" s="7">
        <v>549</v>
      </c>
      <c r="T615" s="7"/>
      <c r="U615" s="7">
        <f t="shared" si="32"/>
        <v>549</v>
      </c>
      <c r="V615" s="5" t="s">
        <v>45</v>
      </c>
      <c r="W615" s="7">
        <v>161.57</v>
      </c>
      <c r="X615" s="5" t="s">
        <v>46</v>
      </c>
      <c r="Z615" s="8">
        <f t="shared" si="31"/>
        <v>161.57</v>
      </c>
    </row>
    <row r="616" spans="1:26" x14ac:dyDescent="0.25">
      <c r="A616" s="5" t="s">
        <v>34</v>
      </c>
      <c r="B616" s="5" t="s">
        <v>200</v>
      </c>
      <c r="C616" s="5" t="s">
        <v>201</v>
      </c>
      <c r="D616" s="5" t="s">
        <v>37</v>
      </c>
      <c r="E616" s="5" t="s">
        <v>70</v>
      </c>
      <c r="F616" s="5" t="s">
        <v>71</v>
      </c>
      <c r="G616" s="5" t="s">
        <v>40</v>
      </c>
      <c r="H616" s="6">
        <v>45961</v>
      </c>
      <c r="I616" s="6">
        <v>45961</v>
      </c>
      <c r="J616" s="6">
        <v>45964</v>
      </c>
      <c r="K616" s="5" t="s">
        <v>41</v>
      </c>
      <c r="L616" s="5" t="s">
        <v>42</v>
      </c>
      <c r="M616" s="5" t="s">
        <v>43</v>
      </c>
      <c r="N616" s="5" t="s">
        <v>44</v>
      </c>
      <c r="O616" s="7">
        <v>543.15</v>
      </c>
      <c r="P616" s="5" t="s">
        <v>45</v>
      </c>
      <c r="Q616" s="22"/>
      <c r="R616" s="8">
        <f t="shared" si="33"/>
        <v>543.15</v>
      </c>
      <c r="S616" s="7">
        <v>543.15</v>
      </c>
      <c r="T616" s="7"/>
      <c r="U616" s="7">
        <f t="shared" si="32"/>
        <v>543.15</v>
      </c>
      <c r="V616" s="5" t="s">
        <v>45</v>
      </c>
      <c r="W616" s="7">
        <v>159.84</v>
      </c>
      <c r="X616" s="5" t="s">
        <v>46</v>
      </c>
      <c r="Z616" s="8">
        <f t="shared" si="31"/>
        <v>159.84</v>
      </c>
    </row>
    <row r="617" spans="1:26" x14ac:dyDescent="0.25">
      <c r="A617" s="5" t="s">
        <v>34</v>
      </c>
      <c r="B617" s="5" t="s">
        <v>200</v>
      </c>
      <c r="C617" s="5" t="s">
        <v>201</v>
      </c>
      <c r="D617" s="5" t="s">
        <v>37</v>
      </c>
      <c r="E617" s="5" t="s">
        <v>118</v>
      </c>
      <c r="F617" s="5" t="s">
        <v>119</v>
      </c>
      <c r="G617" s="5" t="s">
        <v>40</v>
      </c>
      <c r="H617" s="6">
        <v>45961</v>
      </c>
      <c r="I617" s="6">
        <v>45961</v>
      </c>
      <c r="J617" s="6">
        <v>45964</v>
      </c>
      <c r="K617" s="5" t="s">
        <v>41</v>
      </c>
      <c r="L617" s="5" t="s">
        <v>42</v>
      </c>
      <c r="M617" s="5" t="s">
        <v>43</v>
      </c>
      <c r="N617" s="5" t="s">
        <v>44</v>
      </c>
      <c r="O617" s="7">
        <v>229.82</v>
      </c>
      <c r="P617" s="5" t="s">
        <v>45</v>
      </c>
      <c r="Q617" s="22"/>
      <c r="R617" s="8">
        <f t="shared" si="33"/>
        <v>229.82</v>
      </c>
      <c r="S617" s="7">
        <v>229.82</v>
      </c>
      <c r="T617" s="7"/>
      <c r="U617" s="7">
        <f t="shared" si="32"/>
        <v>229.82</v>
      </c>
      <c r="V617" s="5" t="s">
        <v>45</v>
      </c>
      <c r="W617" s="7">
        <v>67.63</v>
      </c>
      <c r="X617" s="5" t="s">
        <v>46</v>
      </c>
      <c r="Z617" s="8">
        <f t="shared" si="31"/>
        <v>67.63</v>
      </c>
    </row>
    <row r="618" spans="1:26" x14ac:dyDescent="0.25">
      <c r="A618" s="5" t="s">
        <v>34</v>
      </c>
      <c r="B618" s="5" t="s">
        <v>200</v>
      </c>
      <c r="C618" s="5" t="s">
        <v>201</v>
      </c>
      <c r="D618" s="5" t="s">
        <v>37</v>
      </c>
      <c r="E618" s="5" t="s">
        <v>96</v>
      </c>
      <c r="F618" s="5" t="s">
        <v>97</v>
      </c>
      <c r="G618" s="5" t="s">
        <v>40</v>
      </c>
      <c r="H618" s="6">
        <v>45961</v>
      </c>
      <c r="I618" s="6">
        <v>45961</v>
      </c>
      <c r="J618" s="6">
        <v>45964</v>
      </c>
      <c r="K618" s="5" t="s">
        <v>41</v>
      </c>
      <c r="L618" s="5" t="s">
        <v>42</v>
      </c>
      <c r="M618" s="5" t="s">
        <v>43</v>
      </c>
      <c r="N618" s="5" t="s">
        <v>44</v>
      </c>
      <c r="O618" s="7">
        <v>2467.58</v>
      </c>
      <c r="P618" s="5" t="s">
        <v>45</v>
      </c>
      <c r="Q618" s="22"/>
      <c r="R618" s="8">
        <f t="shared" si="33"/>
        <v>2467.58</v>
      </c>
      <c r="S618" s="7">
        <v>2467.58</v>
      </c>
      <c r="T618" s="7"/>
      <c r="U618" s="7">
        <f t="shared" si="32"/>
        <v>2467.58</v>
      </c>
      <c r="V618" s="5" t="s">
        <v>45</v>
      </c>
      <c r="W618" s="7">
        <v>726.19</v>
      </c>
      <c r="X618" s="5" t="s">
        <v>46</v>
      </c>
      <c r="Z618" s="8">
        <f t="shared" si="31"/>
        <v>726.19</v>
      </c>
    </row>
    <row r="619" spans="1:26" x14ac:dyDescent="0.25">
      <c r="A619" s="5" t="s">
        <v>34</v>
      </c>
      <c r="B619" s="5" t="s">
        <v>200</v>
      </c>
      <c r="C619" s="5" t="s">
        <v>201</v>
      </c>
      <c r="D619" s="5" t="s">
        <v>37</v>
      </c>
      <c r="E619" s="5" t="s">
        <v>98</v>
      </c>
      <c r="F619" s="5" t="s">
        <v>99</v>
      </c>
      <c r="G619" s="5" t="s">
        <v>40</v>
      </c>
      <c r="H619" s="6">
        <v>45961</v>
      </c>
      <c r="I619" s="6">
        <v>45961</v>
      </c>
      <c r="J619" s="6">
        <v>45964</v>
      </c>
      <c r="K619" s="5" t="s">
        <v>41</v>
      </c>
      <c r="L619" s="5" t="s">
        <v>42</v>
      </c>
      <c r="M619" s="5" t="s">
        <v>43</v>
      </c>
      <c r="N619" s="5" t="s">
        <v>44</v>
      </c>
      <c r="O619" s="7">
        <v>1463.06</v>
      </c>
      <c r="P619" s="5" t="s">
        <v>45</v>
      </c>
      <c r="Q619" s="22"/>
      <c r="R619" s="8">
        <f t="shared" si="33"/>
        <v>1463.06</v>
      </c>
      <c r="S619" s="7">
        <v>1463.06</v>
      </c>
      <c r="T619" s="7"/>
      <c r="U619" s="7">
        <f t="shared" si="32"/>
        <v>1463.06</v>
      </c>
      <c r="V619" s="5" t="s">
        <v>45</v>
      </c>
      <c r="W619" s="7">
        <v>430.57</v>
      </c>
      <c r="X619" s="5" t="s">
        <v>46</v>
      </c>
      <c r="Z619" s="8">
        <f t="shared" si="31"/>
        <v>430.57</v>
      </c>
    </row>
    <row r="620" spans="1:26" x14ac:dyDescent="0.25">
      <c r="A620" s="5" t="s">
        <v>34</v>
      </c>
      <c r="B620" s="5" t="s">
        <v>200</v>
      </c>
      <c r="C620" s="5" t="s">
        <v>201</v>
      </c>
      <c r="D620" s="5" t="s">
        <v>37</v>
      </c>
      <c r="E620" s="5" t="s">
        <v>110</v>
      </c>
      <c r="F620" s="5" t="s">
        <v>111</v>
      </c>
      <c r="G620" s="5" t="s">
        <v>40</v>
      </c>
      <c r="H620" s="6">
        <v>45961</v>
      </c>
      <c r="I620" s="6">
        <v>45961</v>
      </c>
      <c r="J620" s="6">
        <v>45964</v>
      </c>
      <c r="K620" s="5" t="s">
        <v>41</v>
      </c>
      <c r="L620" s="5" t="s">
        <v>42</v>
      </c>
      <c r="M620" s="5" t="s">
        <v>43</v>
      </c>
      <c r="N620" s="5" t="s">
        <v>44</v>
      </c>
      <c r="O620" s="7">
        <v>585.48</v>
      </c>
      <c r="P620" s="5" t="s">
        <v>45</v>
      </c>
      <c r="Q620" s="22"/>
      <c r="R620" s="8">
        <f t="shared" si="33"/>
        <v>585.48</v>
      </c>
      <c r="S620" s="7">
        <v>585.48</v>
      </c>
      <c r="T620" s="7"/>
      <c r="U620" s="7">
        <f t="shared" si="32"/>
        <v>585.48</v>
      </c>
      <c r="V620" s="5" t="s">
        <v>45</v>
      </c>
      <c r="W620" s="7">
        <v>172.3</v>
      </c>
      <c r="X620" s="5" t="s">
        <v>46</v>
      </c>
      <c r="Z620" s="8">
        <f t="shared" si="31"/>
        <v>172.3</v>
      </c>
    </row>
    <row r="621" spans="1:26" x14ac:dyDescent="0.25">
      <c r="A621" s="5" t="s">
        <v>34</v>
      </c>
      <c r="B621" s="5" t="s">
        <v>200</v>
      </c>
      <c r="C621" s="5" t="s">
        <v>201</v>
      </c>
      <c r="D621" s="5" t="s">
        <v>37</v>
      </c>
      <c r="E621" s="5" t="s">
        <v>72</v>
      </c>
      <c r="F621" s="5" t="s">
        <v>73</v>
      </c>
      <c r="G621" s="5" t="s">
        <v>40</v>
      </c>
      <c r="H621" s="6">
        <v>45961</v>
      </c>
      <c r="I621" s="6">
        <v>45961</v>
      </c>
      <c r="J621" s="6">
        <v>45964</v>
      </c>
      <c r="K621" s="5" t="s">
        <v>41</v>
      </c>
      <c r="L621" s="5" t="s">
        <v>42</v>
      </c>
      <c r="M621" s="5" t="s">
        <v>43</v>
      </c>
      <c r="N621" s="5" t="s">
        <v>44</v>
      </c>
      <c r="O621" s="7">
        <v>273.95999999999998</v>
      </c>
      <c r="P621" s="5" t="s">
        <v>45</v>
      </c>
      <c r="Q621" s="22"/>
      <c r="R621" s="8">
        <f t="shared" si="33"/>
        <v>273.95999999999998</v>
      </c>
      <c r="S621" s="7">
        <v>273.95999999999998</v>
      </c>
      <c r="T621" s="7"/>
      <c r="U621" s="7">
        <f t="shared" si="32"/>
        <v>273.95999999999998</v>
      </c>
      <c r="V621" s="5" t="s">
        <v>45</v>
      </c>
      <c r="W621" s="7">
        <v>80.62</v>
      </c>
      <c r="X621" s="5" t="s">
        <v>46</v>
      </c>
      <c r="Z621" s="8">
        <f t="shared" si="31"/>
        <v>80.62</v>
      </c>
    </row>
    <row r="622" spans="1:26" x14ac:dyDescent="0.25">
      <c r="A622" s="5" t="s">
        <v>34</v>
      </c>
      <c r="B622" s="5" t="s">
        <v>200</v>
      </c>
      <c r="C622" s="5" t="s">
        <v>201</v>
      </c>
      <c r="D622" s="5" t="s">
        <v>37</v>
      </c>
      <c r="E622" s="5" t="s">
        <v>56</v>
      </c>
      <c r="F622" s="5" t="s">
        <v>57</v>
      </c>
      <c r="G622" s="5" t="s">
        <v>40</v>
      </c>
      <c r="H622" s="6">
        <v>45961</v>
      </c>
      <c r="I622" s="6">
        <v>45961</v>
      </c>
      <c r="J622" s="6">
        <v>45964</v>
      </c>
      <c r="K622" s="5" t="s">
        <v>41</v>
      </c>
      <c r="L622" s="5" t="s">
        <v>42</v>
      </c>
      <c r="M622" s="5" t="s">
        <v>43</v>
      </c>
      <c r="N622" s="5" t="s">
        <v>44</v>
      </c>
      <c r="O622" s="7">
        <v>2620.7199999999998</v>
      </c>
      <c r="P622" s="5" t="s">
        <v>45</v>
      </c>
      <c r="Q622" s="22"/>
      <c r="R622" s="8">
        <f t="shared" si="33"/>
        <v>2620.7199999999998</v>
      </c>
      <c r="S622" s="7">
        <v>2620.7199999999998</v>
      </c>
      <c r="T622" s="7"/>
      <c r="U622" s="7">
        <f t="shared" si="32"/>
        <v>2620.7199999999998</v>
      </c>
      <c r="V622" s="5" t="s">
        <v>45</v>
      </c>
      <c r="W622" s="7">
        <v>771.25</v>
      </c>
      <c r="X622" s="5" t="s">
        <v>46</v>
      </c>
      <c r="Z622" s="8">
        <f t="shared" si="31"/>
        <v>771.25</v>
      </c>
    </row>
    <row r="623" spans="1:26" x14ac:dyDescent="0.25">
      <c r="A623" s="5" t="s">
        <v>34</v>
      </c>
      <c r="B623" s="5" t="s">
        <v>200</v>
      </c>
      <c r="C623" s="5" t="s">
        <v>201</v>
      </c>
      <c r="D623" s="5" t="s">
        <v>37</v>
      </c>
      <c r="E623" s="5" t="s">
        <v>122</v>
      </c>
      <c r="F623" s="5" t="s">
        <v>123</v>
      </c>
      <c r="G623" s="5" t="s">
        <v>40</v>
      </c>
      <c r="H623" s="6">
        <v>45961</v>
      </c>
      <c r="I623" s="6">
        <v>45961</v>
      </c>
      <c r="J623" s="6">
        <v>45964</v>
      </c>
      <c r="K623" s="5" t="s">
        <v>41</v>
      </c>
      <c r="L623" s="5" t="s">
        <v>42</v>
      </c>
      <c r="M623" s="5" t="s">
        <v>43</v>
      </c>
      <c r="N623" s="5" t="s">
        <v>44</v>
      </c>
      <c r="O623" s="7">
        <v>288.06</v>
      </c>
      <c r="P623" s="5" t="s">
        <v>45</v>
      </c>
      <c r="Q623" s="22"/>
      <c r="R623" s="8">
        <f t="shared" si="33"/>
        <v>288.06</v>
      </c>
      <c r="S623" s="7">
        <v>288.06</v>
      </c>
      <c r="T623" s="7"/>
      <c r="U623" s="7">
        <f t="shared" si="32"/>
        <v>288.06</v>
      </c>
      <c r="V623" s="5" t="s">
        <v>45</v>
      </c>
      <c r="W623" s="7">
        <v>84.77</v>
      </c>
      <c r="X623" s="5" t="s">
        <v>46</v>
      </c>
      <c r="Z623" s="8">
        <f t="shared" si="31"/>
        <v>84.77</v>
      </c>
    </row>
    <row r="624" spans="1:26" x14ac:dyDescent="0.25">
      <c r="A624" s="5" t="s">
        <v>34</v>
      </c>
      <c r="B624" s="5" t="s">
        <v>200</v>
      </c>
      <c r="C624" s="5" t="s">
        <v>201</v>
      </c>
      <c r="D624" s="5" t="s">
        <v>37</v>
      </c>
      <c r="E624" s="5" t="s">
        <v>74</v>
      </c>
      <c r="F624" s="5" t="s">
        <v>75</v>
      </c>
      <c r="G624" s="5" t="s">
        <v>40</v>
      </c>
      <c r="H624" s="6">
        <v>45961</v>
      </c>
      <c r="I624" s="6">
        <v>45961</v>
      </c>
      <c r="J624" s="6">
        <v>45964</v>
      </c>
      <c r="K624" s="5" t="s">
        <v>41</v>
      </c>
      <c r="L624" s="5" t="s">
        <v>42</v>
      </c>
      <c r="M624" s="5" t="s">
        <v>43</v>
      </c>
      <c r="N624" s="5" t="s">
        <v>44</v>
      </c>
      <c r="O624" s="7">
        <v>1564.47</v>
      </c>
      <c r="P624" s="5" t="s">
        <v>45</v>
      </c>
      <c r="Q624" s="22"/>
      <c r="R624" s="8">
        <f t="shared" si="33"/>
        <v>1564.47</v>
      </c>
      <c r="S624" s="7">
        <v>1564.47</v>
      </c>
      <c r="T624" s="7"/>
      <c r="U624" s="7">
        <f t="shared" si="32"/>
        <v>1564.47</v>
      </c>
      <c r="V624" s="5" t="s">
        <v>45</v>
      </c>
      <c r="W624" s="7">
        <v>460.41</v>
      </c>
      <c r="X624" s="5" t="s">
        <v>46</v>
      </c>
      <c r="Z624" s="8">
        <f t="shared" si="31"/>
        <v>460.41</v>
      </c>
    </row>
    <row r="625" spans="1:26" x14ac:dyDescent="0.25">
      <c r="A625" s="5" t="s">
        <v>34</v>
      </c>
      <c r="B625" s="5" t="s">
        <v>200</v>
      </c>
      <c r="C625" s="5" t="s">
        <v>201</v>
      </c>
      <c r="D625" s="5" t="s">
        <v>37</v>
      </c>
      <c r="E625" s="5" t="s">
        <v>116</v>
      </c>
      <c r="F625" s="5" t="s">
        <v>117</v>
      </c>
      <c r="G625" s="5" t="s">
        <v>40</v>
      </c>
      <c r="H625" s="6">
        <v>45961</v>
      </c>
      <c r="I625" s="6">
        <v>45961</v>
      </c>
      <c r="J625" s="6">
        <v>45964</v>
      </c>
      <c r="K625" s="5" t="s">
        <v>41</v>
      </c>
      <c r="L625" s="5" t="s">
        <v>42</v>
      </c>
      <c r="M625" s="5" t="s">
        <v>43</v>
      </c>
      <c r="N625" s="5" t="s">
        <v>44</v>
      </c>
      <c r="O625" s="7">
        <v>578.89</v>
      </c>
      <c r="P625" s="5" t="s">
        <v>45</v>
      </c>
      <c r="Q625" s="22"/>
      <c r="R625" s="8">
        <f t="shared" si="33"/>
        <v>578.89</v>
      </c>
      <c r="S625" s="7">
        <v>578.89</v>
      </c>
      <c r="T625" s="7"/>
      <c r="U625" s="7">
        <f t="shared" si="32"/>
        <v>578.89</v>
      </c>
      <c r="V625" s="5" t="s">
        <v>45</v>
      </c>
      <c r="W625" s="7">
        <v>170.36</v>
      </c>
      <c r="X625" s="5" t="s">
        <v>46</v>
      </c>
      <c r="Z625" s="8">
        <f t="shared" si="31"/>
        <v>170.36</v>
      </c>
    </row>
    <row r="626" spans="1:26" x14ac:dyDescent="0.25">
      <c r="A626" s="5" t="s">
        <v>34</v>
      </c>
      <c r="B626" s="5" t="s">
        <v>200</v>
      </c>
      <c r="C626" s="5" t="s">
        <v>201</v>
      </c>
      <c r="D626" s="5" t="s">
        <v>37</v>
      </c>
      <c r="E626" s="5" t="s">
        <v>100</v>
      </c>
      <c r="F626" s="5" t="s">
        <v>101</v>
      </c>
      <c r="G626" s="5" t="s">
        <v>40</v>
      </c>
      <c r="H626" s="6">
        <v>45961</v>
      </c>
      <c r="I626" s="6">
        <v>45961</v>
      </c>
      <c r="J626" s="6">
        <v>45964</v>
      </c>
      <c r="K626" s="5" t="s">
        <v>41</v>
      </c>
      <c r="L626" s="5" t="s">
        <v>42</v>
      </c>
      <c r="M626" s="5" t="s">
        <v>43</v>
      </c>
      <c r="N626" s="5" t="s">
        <v>44</v>
      </c>
      <c r="O626" s="7">
        <v>755.2</v>
      </c>
      <c r="P626" s="5" t="s">
        <v>45</v>
      </c>
      <c r="Q626" s="22"/>
      <c r="R626" s="8">
        <f t="shared" si="33"/>
        <v>755.2</v>
      </c>
      <c r="S626" s="7">
        <v>755.2</v>
      </c>
      <c r="T626" s="7"/>
      <c r="U626" s="7">
        <f t="shared" si="32"/>
        <v>755.2</v>
      </c>
      <c r="V626" s="5" t="s">
        <v>45</v>
      </c>
      <c r="W626" s="7">
        <v>222.25</v>
      </c>
      <c r="X626" s="5" t="s">
        <v>46</v>
      </c>
      <c r="Z626" s="8">
        <f t="shared" si="31"/>
        <v>222.25</v>
      </c>
    </row>
    <row r="627" spans="1:26" x14ac:dyDescent="0.25">
      <c r="A627" s="5" t="s">
        <v>34</v>
      </c>
      <c r="B627" s="5" t="s">
        <v>200</v>
      </c>
      <c r="C627" s="5" t="s">
        <v>201</v>
      </c>
      <c r="D627" s="5" t="s">
        <v>37</v>
      </c>
      <c r="E627" s="5" t="s">
        <v>94</v>
      </c>
      <c r="F627" s="5" t="s">
        <v>95</v>
      </c>
      <c r="G627" s="5" t="s">
        <v>40</v>
      </c>
      <c r="H627" s="6">
        <v>45961</v>
      </c>
      <c r="I627" s="6">
        <v>45961</v>
      </c>
      <c r="J627" s="6">
        <v>45964</v>
      </c>
      <c r="K627" s="5" t="s">
        <v>41</v>
      </c>
      <c r="L627" s="5" t="s">
        <v>42</v>
      </c>
      <c r="M627" s="5" t="s">
        <v>43</v>
      </c>
      <c r="N627" s="5" t="s">
        <v>44</v>
      </c>
      <c r="O627" s="7">
        <v>4066.22</v>
      </c>
      <c r="P627" s="5" t="s">
        <v>45</v>
      </c>
      <c r="Q627" s="22"/>
      <c r="R627" s="8">
        <f t="shared" si="33"/>
        <v>4066.22</v>
      </c>
      <c r="S627" s="7">
        <v>4066.22</v>
      </c>
      <c r="T627" s="7"/>
      <c r="U627" s="7">
        <f t="shared" si="32"/>
        <v>4066.22</v>
      </c>
      <c r="V627" s="5" t="s">
        <v>45</v>
      </c>
      <c r="W627" s="7">
        <v>1196.6500000000001</v>
      </c>
      <c r="X627" s="5" t="s">
        <v>46</v>
      </c>
      <c r="Z627" s="8">
        <f t="shared" si="31"/>
        <v>1196.6500000000001</v>
      </c>
    </row>
    <row r="628" spans="1:26" x14ac:dyDescent="0.25">
      <c r="A628" s="5" t="s">
        <v>34</v>
      </c>
      <c r="B628" s="5" t="s">
        <v>200</v>
      </c>
      <c r="C628" s="5" t="s">
        <v>201</v>
      </c>
      <c r="D628" s="5" t="s">
        <v>37</v>
      </c>
      <c r="E628" s="5" t="s">
        <v>102</v>
      </c>
      <c r="F628" s="5" t="s">
        <v>103</v>
      </c>
      <c r="G628" s="5" t="s">
        <v>40</v>
      </c>
      <c r="H628" s="6">
        <v>45961</v>
      </c>
      <c r="I628" s="6">
        <v>45961</v>
      </c>
      <c r="J628" s="6">
        <v>45964</v>
      </c>
      <c r="K628" s="5" t="s">
        <v>41</v>
      </c>
      <c r="L628" s="5" t="s">
        <v>42</v>
      </c>
      <c r="M628" s="5" t="s">
        <v>43</v>
      </c>
      <c r="N628" s="5" t="s">
        <v>44</v>
      </c>
      <c r="O628" s="7">
        <v>651.14</v>
      </c>
      <c r="P628" s="5" t="s">
        <v>45</v>
      </c>
      <c r="Q628" s="22"/>
      <c r="R628" s="8">
        <f t="shared" si="33"/>
        <v>651.14</v>
      </c>
      <c r="S628" s="7">
        <v>651.14</v>
      </c>
      <c r="T628" s="7"/>
      <c r="U628" s="7">
        <f t="shared" si="32"/>
        <v>651.14</v>
      </c>
      <c r="V628" s="5" t="s">
        <v>45</v>
      </c>
      <c r="W628" s="7">
        <v>191.62</v>
      </c>
      <c r="X628" s="5" t="s">
        <v>46</v>
      </c>
      <c r="Z628" s="8">
        <f t="shared" si="31"/>
        <v>191.62</v>
      </c>
    </row>
    <row r="629" spans="1:26" x14ac:dyDescent="0.25">
      <c r="A629" s="5" t="s">
        <v>34</v>
      </c>
      <c r="B629" s="5" t="s">
        <v>200</v>
      </c>
      <c r="C629" s="5" t="s">
        <v>201</v>
      </c>
      <c r="D629" s="5" t="s">
        <v>37</v>
      </c>
      <c r="E629" s="5" t="s">
        <v>84</v>
      </c>
      <c r="F629" s="5" t="s">
        <v>85</v>
      </c>
      <c r="G629" s="5" t="s">
        <v>40</v>
      </c>
      <c r="H629" s="6">
        <v>45961</v>
      </c>
      <c r="I629" s="6">
        <v>45961</v>
      </c>
      <c r="J629" s="6">
        <v>45964</v>
      </c>
      <c r="K629" s="5" t="s">
        <v>41</v>
      </c>
      <c r="L629" s="5" t="s">
        <v>42</v>
      </c>
      <c r="M629" s="5" t="s">
        <v>43</v>
      </c>
      <c r="N629" s="5" t="s">
        <v>44</v>
      </c>
      <c r="O629" s="7">
        <v>1297.1300000000001</v>
      </c>
      <c r="P629" s="5" t="s">
        <v>45</v>
      </c>
      <c r="Q629" s="22"/>
      <c r="R629" s="8">
        <f t="shared" si="33"/>
        <v>1297.1300000000001</v>
      </c>
      <c r="S629" s="7">
        <v>1297.1300000000001</v>
      </c>
      <c r="T629" s="7"/>
      <c r="U629" s="7">
        <f t="shared" si="32"/>
        <v>1297.1300000000001</v>
      </c>
      <c r="V629" s="5" t="s">
        <v>45</v>
      </c>
      <c r="W629" s="7">
        <v>381.73</v>
      </c>
      <c r="X629" s="5" t="s">
        <v>46</v>
      </c>
      <c r="Z629" s="8">
        <f t="shared" si="31"/>
        <v>381.73</v>
      </c>
    </row>
    <row r="630" spans="1:26" x14ac:dyDescent="0.25">
      <c r="A630" s="5" t="s">
        <v>34</v>
      </c>
      <c r="B630" s="5" t="s">
        <v>200</v>
      </c>
      <c r="C630" s="5" t="s">
        <v>201</v>
      </c>
      <c r="D630" s="5" t="s">
        <v>37</v>
      </c>
      <c r="E630" s="5" t="s">
        <v>108</v>
      </c>
      <c r="F630" s="5" t="s">
        <v>109</v>
      </c>
      <c r="G630" s="5" t="s">
        <v>40</v>
      </c>
      <c r="H630" s="6">
        <v>45961</v>
      </c>
      <c r="I630" s="6">
        <v>45961</v>
      </c>
      <c r="J630" s="6">
        <v>45964</v>
      </c>
      <c r="K630" s="5" t="s">
        <v>41</v>
      </c>
      <c r="L630" s="5" t="s">
        <v>42</v>
      </c>
      <c r="M630" s="5" t="s">
        <v>43</v>
      </c>
      <c r="N630" s="5" t="s">
        <v>44</v>
      </c>
      <c r="O630" s="7">
        <v>533.79</v>
      </c>
      <c r="P630" s="5" t="s">
        <v>45</v>
      </c>
      <c r="Q630" s="22"/>
      <c r="R630" s="8">
        <f t="shared" si="33"/>
        <v>533.79</v>
      </c>
      <c r="S630" s="7">
        <v>533.79</v>
      </c>
      <c r="T630" s="7"/>
      <c r="U630" s="7">
        <f t="shared" si="32"/>
        <v>533.79</v>
      </c>
      <c r="V630" s="5" t="s">
        <v>45</v>
      </c>
      <c r="W630" s="7">
        <v>157.09</v>
      </c>
      <c r="X630" s="5" t="s">
        <v>46</v>
      </c>
      <c r="Z630" s="8">
        <f t="shared" si="31"/>
        <v>157.09</v>
      </c>
    </row>
    <row r="631" spans="1:26" x14ac:dyDescent="0.25">
      <c r="A631" s="5" t="s">
        <v>34</v>
      </c>
      <c r="B631" s="5" t="s">
        <v>200</v>
      </c>
      <c r="C631" s="5" t="s">
        <v>201</v>
      </c>
      <c r="D631" s="5" t="s">
        <v>37</v>
      </c>
      <c r="E631" s="5" t="s">
        <v>76</v>
      </c>
      <c r="F631" s="5" t="s">
        <v>77</v>
      </c>
      <c r="G631" s="5" t="s">
        <v>40</v>
      </c>
      <c r="H631" s="6">
        <v>45961</v>
      </c>
      <c r="I631" s="6">
        <v>45961</v>
      </c>
      <c r="J631" s="6">
        <v>45964</v>
      </c>
      <c r="K631" s="5" t="s">
        <v>41</v>
      </c>
      <c r="L631" s="5" t="s">
        <v>42</v>
      </c>
      <c r="M631" s="5" t="s">
        <v>43</v>
      </c>
      <c r="N631" s="5" t="s">
        <v>44</v>
      </c>
      <c r="O631" s="7">
        <v>200.67</v>
      </c>
      <c r="P631" s="5" t="s">
        <v>45</v>
      </c>
      <c r="Q631" s="22"/>
      <c r="R631" s="8">
        <f t="shared" si="33"/>
        <v>200.67</v>
      </c>
      <c r="S631" s="7">
        <v>200.67</v>
      </c>
      <c r="T631" s="7"/>
      <c r="U631" s="7">
        <f t="shared" si="32"/>
        <v>200.67</v>
      </c>
      <c r="V631" s="5" t="s">
        <v>45</v>
      </c>
      <c r="W631" s="7">
        <v>59.06</v>
      </c>
      <c r="X631" s="5" t="s">
        <v>46</v>
      </c>
      <c r="Z631" s="8">
        <f t="shared" si="31"/>
        <v>59.06</v>
      </c>
    </row>
    <row r="632" spans="1:26" x14ac:dyDescent="0.25">
      <c r="A632" s="5" t="s">
        <v>34</v>
      </c>
      <c r="B632" s="5" t="s">
        <v>200</v>
      </c>
      <c r="C632" s="5" t="s">
        <v>201</v>
      </c>
      <c r="D632" s="5" t="s">
        <v>37</v>
      </c>
      <c r="E632" s="5" t="s">
        <v>68</v>
      </c>
      <c r="F632" s="5" t="s">
        <v>69</v>
      </c>
      <c r="G632" s="5" t="s">
        <v>40</v>
      </c>
      <c r="H632" s="6">
        <v>45961</v>
      </c>
      <c r="I632" s="6">
        <v>45961</v>
      </c>
      <c r="J632" s="6">
        <v>45964</v>
      </c>
      <c r="K632" s="5" t="s">
        <v>41</v>
      </c>
      <c r="L632" s="5" t="s">
        <v>42</v>
      </c>
      <c r="M632" s="5" t="s">
        <v>43</v>
      </c>
      <c r="N632" s="5" t="s">
        <v>44</v>
      </c>
      <c r="O632" s="7">
        <v>288.14</v>
      </c>
      <c r="P632" s="5" t="s">
        <v>45</v>
      </c>
      <c r="Q632" s="22"/>
      <c r="R632" s="8">
        <f t="shared" si="33"/>
        <v>288.14</v>
      </c>
      <c r="S632" s="7">
        <v>288.14</v>
      </c>
      <c r="T632" s="7"/>
      <c r="U632" s="7">
        <f t="shared" si="32"/>
        <v>288.14</v>
      </c>
      <c r="V632" s="5" t="s">
        <v>45</v>
      </c>
      <c r="W632" s="7">
        <v>84.8</v>
      </c>
      <c r="X632" s="5" t="s">
        <v>46</v>
      </c>
      <c r="Z632" s="8">
        <f t="shared" si="31"/>
        <v>84.8</v>
      </c>
    </row>
    <row r="633" spans="1:26" x14ac:dyDescent="0.25">
      <c r="A633" s="5" t="s">
        <v>34</v>
      </c>
      <c r="B633" s="5" t="s">
        <v>200</v>
      </c>
      <c r="C633" s="5" t="s">
        <v>201</v>
      </c>
      <c r="D633" s="5" t="s">
        <v>37</v>
      </c>
      <c r="E633" s="5" t="s">
        <v>88</v>
      </c>
      <c r="F633" s="5" t="s">
        <v>89</v>
      </c>
      <c r="G633" s="5" t="s">
        <v>40</v>
      </c>
      <c r="H633" s="6">
        <v>45961</v>
      </c>
      <c r="I633" s="6">
        <v>45961</v>
      </c>
      <c r="J633" s="6">
        <v>45964</v>
      </c>
      <c r="K633" s="5" t="s">
        <v>41</v>
      </c>
      <c r="L633" s="5" t="s">
        <v>42</v>
      </c>
      <c r="M633" s="5" t="s">
        <v>43</v>
      </c>
      <c r="N633" s="5" t="s">
        <v>44</v>
      </c>
      <c r="O633" s="7">
        <v>305.56</v>
      </c>
      <c r="P633" s="5" t="s">
        <v>45</v>
      </c>
      <c r="Q633" s="22"/>
      <c r="R633" s="8">
        <f t="shared" si="33"/>
        <v>305.56</v>
      </c>
      <c r="S633" s="7">
        <v>305.56</v>
      </c>
      <c r="T633" s="7"/>
      <c r="U633" s="7">
        <f t="shared" si="32"/>
        <v>305.56</v>
      </c>
      <c r="V633" s="5" t="s">
        <v>45</v>
      </c>
      <c r="W633" s="7">
        <v>89.92</v>
      </c>
      <c r="X633" s="5" t="s">
        <v>46</v>
      </c>
      <c r="Z633" s="8">
        <f t="shared" si="31"/>
        <v>89.92</v>
      </c>
    </row>
    <row r="634" spans="1:26" x14ac:dyDescent="0.25">
      <c r="A634" s="5" t="s">
        <v>34</v>
      </c>
      <c r="B634" s="5" t="s">
        <v>200</v>
      </c>
      <c r="C634" s="5" t="s">
        <v>201</v>
      </c>
      <c r="D634" s="5" t="s">
        <v>37</v>
      </c>
      <c r="E634" s="5" t="s">
        <v>112</v>
      </c>
      <c r="F634" s="5" t="s">
        <v>113</v>
      </c>
      <c r="G634" s="5" t="s">
        <v>40</v>
      </c>
      <c r="H634" s="6">
        <v>45961</v>
      </c>
      <c r="I634" s="6">
        <v>45961</v>
      </c>
      <c r="J634" s="6">
        <v>45964</v>
      </c>
      <c r="K634" s="5" t="s">
        <v>41</v>
      </c>
      <c r="L634" s="5" t="s">
        <v>42</v>
      </c>
      <c r="M634" s="5" t="s">
        <v>43</v>
      </c>
      <c r="N634" s="5" t="s">
        <v>44</v>
      </c>
      <c r="O634" s="7">
        <v>197.17</v>
      </c>
      <c r="P634" s="5" t="s">
        <v>45</v>
      </c>
      <c r="Q634" s="22"/>
      <c r="R634" s="8">
        <f t="shared" si="33"/>
        <v>197.17</v>
      </c>
      <c r="S634" s="7">
        <v>197.17</v>
      </c>
      <c r="T634" s="7"/>
      <c r="U634" s="7">
        <f t="shared" si="32"/>
        <v>197.17</v>
      </c>
      <c r="V634" s="5" t="s">
        <v>45</v>
      </c>
      <c r="W634" s="7">
        <v>58.03</v>
      </c>
      <c r="X634" s="5" t="s">
        <v>46</v>
      </c>
      <c r="Z634" s="8">
        <f t="shared" si="31"/>
        <v>58.03</v>
      </c>
    </row>
    <row r="635" spans="1:26" x14ac:dyDescent="0.25">
      <c r="A635" s="5" t="s">
        <v>34</v>
      </c>
      <c r="B635" s="5" t="s">
        <v>200</v>
      </c>
      <c r="C635" s="5" t="s">
        <v>201</v>
      </c>
      <c r="D635" s="5" t="s">
        <v>37</v>
      </c>
      <c r="E635" s="5" t="s">
        <v>80</v>
      </c>
      <c r="F635" s="5" t="s">
        <v>81</v>
      </c>
      <c r="G635" s="5" t="s">
        <v>40</v>
      </c>
      <c r="H635" s="6">
        <v>45961</v>
      </c>
      <c r="I635" s="6">
        <v>45961</v>
      </c>
      <c r="J635" s="6">
        <v>45964</v>
      </c>
      <c r="K635" s="5" t="s">
        <v>41</v>
      </c>
      <c r="L635" s="5" t="s">
        <v>42</v>
      </c>
      <c r="M635" s="5" t="s">
        <v>43</v>
      </c>
      <c r="N635" s="5" t="s">
        <v>44</v>
      </c>
      <c r="O635" s="7">
        <v>468.22</v>
      </c>
      <c r="P635" s="5" t="s">
        <v>45</v>
      </c>
      <c r="Q635" s="22"/>
      <c r="R635" s="8">
        <f t="shared" si="33"/>
        <v>468.22</v>
      </c>
      <c r="S635" s="7">
        <v>468.22</v>
      </c>
      <c r="T635" s="7"/>
      <c r="U635" s="7">
        <f t="shared" si="32"/>
        <v>468.22</v>
      </c>
      <c r="V635" s="5" t="s">
        <v>45</v>
      </c>
      <c r="W635" s="7">
        <v>137.79</v>
      </c>
      <c r="X635" s="5" t="s">
        <v>46</v>
      </c>
      <c r="Z635" s="8">
        <f t="shared" si="31"/>
        <v>137.79</v>
      </c>
    </row>
    <row r="636" spans="1:26" x14ac:dyDescent="0.25">
      <c r="A636" s="5" t="s">
        <v>34</v>
      </c>
      <c r="B636" s="5" t="s">
        <v>200</v>
      </c>
      <c r="C636" s="5" t="s">
        <v>201</v>
      </c>
      <c r="D636" s="5" t="s">
        <v>37</v>
      </c>
      <c r="E636" s="5" t="s">
        <v>106</v>
      </c>
      <c r="F636" s="5" t="s">
        <v>107</v>
      </c>
      <c r="G636" s="5" t="s">
        <v>40</v>
      </c>
      <c r="H636" s="6">
        <v>45961</v>
      </c>
      <c r="I636" s="6">
        <v>45961</v>
      </c>
      <c r="J636" s="6">
        <v>45964</v>
      </c>
      <c r="K636" s="5" t="s">
        <v>41</v>
      </c>
      <c r="L636" s="5" t="s">
        <v>42</v>
      </c>
      <c r="M636" s="5" t="s">
        <v>43</v>
      </c>
      <c r="N636" s="5" t="s">
        <v>44</v>
      </c>
      <c r="O636" s="7">
        <v>506.7</v>
      </c>
      <c r="P636" s="5" t="s">
        <v>45</v>
      </c>
      <c r="Q636" s="22"/>
      <c r="R636" s="8">
        <f t="shared" si="33"/>
        <v>506.7</v>
      </c>
      <c r="S636" s="7">
        <v>506.7</v>
      </c>
      <c r="T636" s="7"/>
      <c r="U636" s="7">
        <f t="shared" si="32"/>
        <v>506.7</v>
      </c>
      <c r="V636" s="5" t="s">
        <v>45</v>
      </c>
      <c r="W636" s="7">
        <v>149.12</v>
      </c>
      <c r="X636" s="5" t="s">
        <v>46</v>
      </c>
      <c r="Z636" s="8">
        <f t="shared" si="31"/>
        <v>149.12</v>
      </c>
    </row>
    <row r="637" spans="1:26" x14ac:dyDescent="0.25">
      <c r="A637" s="5" t="s">
        <v>34</v>
      </c>
      <c r="B637" s="5" t="s">
        <v>200</v>
      </c>
      <c r="C637" s="5" t="s">
        <v>201</v>
      </c>
      <c r="D637" s="5" t="s">
        <v>37</v>
      </c>
      <c r="E637" s="5" t="s">
        <v>78</v>
      </c>
      <c r="F637" s="5" t="s">
        <v>79</v>
      </c>
      <c r="G637" s="5" t="s">
        <v>40</v>
      </c>
      <c r="H637" s="6">
        <v>45961</v>
      </c>
      <c r="I637" s="6">
        <v>45961</v>
      </c>
      <c r="J637" s="6">
        <v>45964</v>
      </c>
      <c r="K637" s="5" t="s">
        <v>41</v>
      </c>
      <c r="L637" s="5" t="s">
        <v>42</v>
      </c>
      <c r="M637" s="5" t="s">
        <v>43</v>
      </c>
      <c r="N637" s="5" t="s">
        <v>44</v>
      </c>
      <c r="O637" s="7">
        <v>225.88</v>
      </c>
      <c r="P637" s="5" t="s">
        <v>45</v>
      </c>
      <c r="Q637" s="22"/>
      <c r="R637" s="8">
        <f t="shared" si="33"/>
        <v>225.88</v>
      </c>
      <c r="S637" s="7">
        <v>225.88</v>
      </c>
      <c r="T637" s="7"/>
      <c r="U637" s="7">
        <f t="shared" si="32"/>
        <v>225.88</v>
      </c>
      <c r="V637" s="5" t="s">
        <v>45</v>
      </c>
      <c r="W637" s="7">
        <v>66.47</v>
      </c>
      <c r="X637" s="5" t="s">
        <v>46</v>
      </c>
      <c r="Z637" s="8">
        <f t="shared" si="31"/>
        <v>66.47</v>
      </c>
    </row>
    <row r="638" spans="1:26" x14ac:dyDescent="0.25">
      <c r="A638" s="5" t="s">
        <v>34</v>
      </c>
      <c r="B638" s="5" t="s">
        <v>200</v>
      </c>
      <c r="C638" s="5" t="s">
        <v>201</v>
      </c>
      <c r="D638" s="5" t="s">
        <v>37</v>
      </c>
      <c r="E638" s="5" t="s">
        <v>60</v>
      </c>
      <c r="F638" s="5" t="s">
        <v>61</v>
      </c>
      <c r="G638" s="5" t="s">
        <v>40</v>
      </c>
      <c r="H638" s="6">
        <v>45961</v>
      </c>
      <c r="I638" s="6">
        <v>45961</v>
      </c>
      <c r="J638" s="6">
        <v>45964</v>
      </c>
      <c r="K638" s="5" t="s">
        <v>41</v>
      </c>
      <c r="L638" s="5" t="s">
        <v>42</v>
      </c>
      <c r="M638" s="5" t="s">
        <v>43</v>
      </c>
      <c r="N638" s="5" t="s">
        <v>44</v>
      </c>
      <c r="O638" s="7">
        <v>3122.39</v>
      </c>
      <c r="P638" s="5" t="s">
        <v>45</v>
      </c>
      <c r="Q638" s="22"/>
      <c r="R638" s="8">
        <f t="shared" si="33"/>
        <v>3122.39</v>
      </c>
      <c r="S638" s="7">
        <v>3122.39</v>
      </c>
      <c r="T638" s="7"/>
      <c r="U638" s="7">
        <f t="shared" si="32"/>
        <v>3122.39</v>
      </c>
      <c r="V638" s="5" t="s">
        <v>45</v>
      </c>
      <c r="W638" s="7">
        <v>918.89</v>
      </c>
      <c r="X638" s="5" t="s">
        <v>46</v>
      </c>
      <c r="Z638" s="8">
        <f t="shared" si="31"/>
        <v>918.89</v>
      </c>
    </row>
    <row r="639" spans="1:26" x14ac:dyDescent="0.25">
      <c r="A639" s="5" t="s">
        <v>34</v>
      </c>
      <c r="B639" s="5" t="s">
        <v>200</v>
      </c>
      <c r="C639" s="5" t="s">
        <v>201</v>
      </c>
      <c r="D639" s="5" t="s">
        <v>37</v>
      </c>
      <c r="E639" s="5" t="s">
        <v>104</v>
      </c>
      <c r="F639" s="5" t="s">
        <v>105</v>
      </c>
      <c r="G639" s="5" t="s">
        <v>40</v>
      </c>
      <c r="H639" s="6">
        <v>45961</v>
      </c>
      <c r="I639" s="6">
        <v>45961</v>
      </c>
      <c r="J639" s="6">
        <v>45964</v>
      </c>
      <c r="K639" s="5" t="s">
        <v>41</v>
      </c>
      <c r="L639" s="5" t="s">
        <v>42</v>
      </c>
      <c r="M639" s="5" t="s">
        <v>43</v>
      </c>
      <c r="N639" s="5" t="s">
        <v>44</v>
      </c>
      <c r="O639" s="7">
        <v>1288.32</v>
      </c>
      <c r="P639" s="5" t="s">
        <v>45</v>
      </c>
      <c r="Q639" s="22"/>
      <c r="R639" s="8">
        <f t="shared" si="33"/>
        <v>1288.32</v>
      </c>
      <c r="S639" s="7">
        <v>1288.32</v>
      </c>
      <c r="T639" s="7"/>
      <c r="U639" s="7">
        <f t="shared" si="32"/>
        <v>1288.32</v>
      </c>
      <c r="V639" s="5" t="s">
        <v>45</v>
      </c>
      <c r="W639" s="7">
        <v>379.14</v>
      </c>
      <c r="X639" s="5" t="s">
        <v>46</v>
      </c>
      <c r="Z639" s="8">
        <f t="shared" si="31"/>
        <v>379.14</v>
      </c>
    </row>
    <row r="640" spans="1:26" x14ac:dyDescent="0.25">
      <c r="A640" s="5" t="s">
        <v>34</v>
      </c>
      <c r="B640" s="5" t="s">
        <v>202</v>
      </c>
      <c r="C640" s="5" t="s">
        <v>203</v>
      </c>
      <c r="D640" s="5" t="s">
        <v>37</v>
      </c>
      <c r="E640" s="5" t="s">
        <v>60</v>
      </c>
      <c r="F640" s="5" t="s">
        <v>61</v>
      </c>
      <c r="G640" s="5" t="s">
        <v>40</v>
      </c>
      <c r="H640" s="6">
        <v>45944</v>
      </c>
      <c r="I640" s="6">
        <v>45944</v>
      </c>
      <c r="J640" s="6">
        <v>45961</v>
      </c>
      <c r="K640" s="5" t="s">
        <v>204</v>
      </c>
      <c r="L640" s="5" t="s">
        <v>205</v>
      </c>
      <c r="M640" s="5" t="s">
        <v>43</v>
      </c>
      <c r="N640" s="5" t="s">
        <v>206</v>
      </c>
      <c r="O640" s="7">
        <v>385.04</v>
      </c>
      <c r="P640" s="5" t="s">
        <v>45</v>
      </c>
      <c r="Q640" s="22"/>
      <c r="R640" s="8">
        <f t="shared" si="33"/>
        <v>385.04</v>
      </c>
      <c r="S640" s="7">
        <v>385.04</v>
      </c>
      <c r="T640" s="7"/>
      <c r="U640" s="7">
        <f t="shared" si="32"/>
        <v>385.04</v>
      </c>
      <c r="V640" s="5" t="s">
        <v>45</v>
      </c>
      <c r="W640" s="7">
        <v>111.96</v>
      </c>
      <c r="X640" s="5" t="s">
        <v>46</v>
      </c>
      <c r="Z640" s="8">
        <f t="shared" si="31"/>
        <v>111.96</v>
      </c>
    </row>
    <row r="641" spans="1:26" x14ac:dyDescent="0.25">
      <c r="A641" s="5" t="s">
        <v>34</v>
      </c>
      <c r="B641" s="5" t="s">
        <v>202</v>
      </c>
      <c r="C641" s="5" t="s">
        <v>203</v>
      </c>
      <c r="D641" s="5" t="s">
        <v>37</v>
      </c>
      <c r="E641" s="5" t="s">
        <v>62</v>
      </c>
      <c r="F641" s="5" t="s">
        <v>63</v>
      </c>
      <c r="G641" s="5" t="s">
        <v>40</v>
      </c>
      <c r="H641" s="6">
        <v>45944</v>
      </c>
      <c r="I641" s="6">
        <v>45944</v>
      </c>
      <c r="J641" s="6">
        <v>45961</v>
      </c>
      <c r="K641" s="5" t="s">
        <v>207</v>
      </c>
      <c r="L641" s="5" t="s">
        <v>208</v>
      </c>
      <c r="M641" s="5" t="s">
        <v>43</v>
      </c>
      <c r="N641" s="5" t="s">
        <v>209</v>
      </c>
      <c r="O641" s="7">
        <v>752.47</v>
      </c>
      <c r="P641" s="5" t="s">
        <v>45</v>
      </c>
      <c r="Q641" s="22"/>
      <c r="R641" s="8">
        <f t="shared" si="33"/>
        <v>752.47</v>
      </c>
      <c r="S641" s="7">
        <v>752.47</v>
      </c>
      <c r="T641" s="7"/>
      <c r="U641" s="7">
        <f t="shared" si="32"/>
        <v>752.47</v>
      </c>
      <c r="V641" s="5" t="s">
        <v>45</v>
      </c>
      <c r="W641" s="7">
        <v>218.79</v>
      </c>
      <c r="X641" s="5" t="s">
        <v>46</v>
      </c>
      <c r="Z641" s="8">
        <f t="shared" si="31"/>
        <v>218.79</v>
      </c>
    </row>
    <row r="642" spans="1:26" x14ac:dyDescent="0.25">
      <c r="A642" s="5" t="s">
        <v>34</v>
      </c>
      <c r="B642" s="5" t="s">
        <v>202</v>
      </c>
      <c r="C642" s="5" t="s">
        <v>203</v>
      </c>
      <c r="D642" s="5" t="s">
        <v>37</v>
      </c>
      <c r="E642" s="5" t="s">
        <v>142</v>
      </c>
      <c r="F642" s="5" t="s">
        <v>143</v>
      </c>
      <c r="G642" s="5" t="s">
        <v>40</v>
      </c>
      <c r="H642" s="6">
        <v>45954</v>
      </c>
      <c r="I642" s="6">
        <v>45954</v>
      </c>
      <c r="J642" s="6">
        <v>45961</v>
      </c>
      <c r="K642" s="5" t="s">
        <v>210</v>
      </c>
      <c r="L642" s="5" t="s">
        <v>211</v>
      </c>
      <c r="M642" s="5" t="s">
        <v>43</v>
      </c>
      <c r="N642" s="5" t="s">
        <v>212</v>
      </c>
      <c r="O642" s="7">
        <v>1774.04</v>
      </c>
      <c r="P642" s="5" t="s">
        <v>45</v>
      </c>
      <c r="Q642" s="22"/>
      <c r="R642" s="8">
        <f t="shared" si="33"/>
        <v>1774.04</v>
      </c>
      <c r="S642" s="7">
        <v>1774.04</v>
      </c>
      <c r="T642" s="7"/>
      <c r="U642" s="7">
        <f t="shared" si="32"/>
        <v>1774.04</v>
      </c>
      <c r="V642" s="5" t="s">
        <v>45</v>
      </c>
      <c r="W642" s="7">
        <v>521.77</v>
      </c>
      <c r="X642" s="5" t="s">
        <v>46</v>
      </c>
      <c r="Z642" s="8">
        <f t="shared" ref="Z642:Z705" si="34">+W642+Y642</f>
        <v>521.77</v>
      </c>
    </row>
    <row r="643" spans="1:26" x14ac:dyDescent="0.25">
      <c r="A643" s="5" t="s">
        <v>34</v>
      </c>
      <c r="B643" s="5" t="s">
        <v>202</v>
      </c>
      <c r="C643" s="5" t="s">
        <v>203</v>
      </c>
      <c r="D643" s="5" t="s">
        <v>37</v>
      </c>
      <c r="E643" s="5" t="s">
        <v>38</v>
      </c>
      <c r="F643" s="5" t="s">
        <v>39</v>
      </c>
      <c r="G643" s="5" t="s">
        <v>40</v>
      </c>
      <c r="H643" s="6">
        <v>45961</v>
      </c>
      <c r="I643" s="6">
        <v>45961</v>
      </c>
      <c r="J643" s="6">
        <v>45964</v>
      </c>
      <c r="K643" s="5" t="s">
        <v>135</v>
      </c>
      <c r="L643" s="5" t="s">
        <v>136</v>
      </c>
      <c r="M643" s="5" t="s">
        <v>43</v>
      </c>
      <c r="N643" s="5" t="s">
        <v>137</v>
      </c>
      <c r="O643" s="7">
        <v>4205.3999999999996</v>
      </c>
      <c r="P643" s="5" t="s">
        <v>45</v>
      </c>
      <c r="Q643" s="22"/>
      <c r="R643" s="8">
        <f t="shared" si="33"/>
        <v>4205.3999999999996</v>
      </c>
      <c r="S643" s="7">
        <v>4205.3999999999996</v>
      </c>
      <c r="T643" s="7"/>
      <c r="U643" s="7">
        <f t="shared" ref="U643:U706" si="35">+S643+T643</f>
        <v>4205.3999999999996</v>
      </c>
      <c r="V643" s="5" t="s">
        <v>45</v>
      </c>
      <c r="W643" s="7">
        <v>1237.6099999999999</v>
      </c>
      <c r="X643" s="5" t="s">
        <v>46</v>
      </c>
      <c r="Z643" s="8">
        <f t="shared" si="34"/>
        <v>1237.6099999999999</v>
      </c>
    </row>
    <row r="644" spans="1:26" x14ac:dyDescent="0.25">
      <c r="A644" s="5" t="s">
        <v>34</v>
      </c>
      <c r="B644" s="5" t="s">
        <v>202</v>
      </c>
      <c r="C644" s="5" t="s">
        <v>203</v>
      </c>
      <c r="D644" s="5" t="s">
        <v>37</v>
      </c>
      <c r="E644" s="5" t="s">
        <v>86</v>
      </c>
      <c r="F644" s="5" t="s">
        <v>87</v>
      </c>
      <c r="G644" s="5" t="s">
        <v>40</v>
      </c>
      <c r="H644" s="6">
        <v>45961</v>
      </c>
      <c r="I644" s="6">
        <v>45961</v>
      </c>
      <c r="J644" s="6">
        <v>45964</v>
      </c>
      <c r="K644" s="5" t="s">
        <v>135</v>
      </c>
      <c r="L644" s="5" t="s">
        <v>136</v>
      </c>
      <c r="M644" s="5" t="s">
        <v>43</v>
      </c>
      <c r="N644" s="5" t="s">
        <v>137</v>
      </c>
      <c r="O644" s="7">
        <v>13803.18</v>
      </c>
      <c r="P644" s="5" t="s">
        <v>45</v>
      </c>
      <c r="Q644" s="22"/>
      <c r="R644" s="8">
        <f t="shared" si="33"/>
        <v>13803.18</v>
      </c>
      <c r="S644" s="7">
        <v>13803.18</v>
      </c>
      <c r="T644" s="7"/>
      <c r="U644" s="7">
        <f t="shared" si="35"/>
        <v>13803.18</v>
      </c>
      <c r="V644" s="5" t="s">
        <v>45</v>
      </c>
      <c r="W644" s="7">
        <v>4062.15</v>
      </c>
      <c r="X644" s="5" t="s">
        <v>46</v>
      </c>
      <c r="Z644" s="8">
        <f t="shared" si="34"/>
        <v>4062.15</v>
      </c>
    </row>
    <row r="645" spans="1:26" x14ac:dyDescent="0.25">
      <c r="A645" s="5" t="s">
        <v>34</v>
      </c>
      <c r="B645" s="5" t="s">
        <v>202</v>
      </c>
      <c r="C645" s="5" t="s">
        <v>203</v>
      </c>
      <c r="D645" s="5" t="s">
        <v>37</v>
      </c>
      <c r="E645" s="5" t="s">
        <v>80</v>
      </c>
      <c r="F645" s="5" t="s">
        <v>81</v>
      </c>
      <c r="G645" s="5" t="s">
        <v>40</v>
      </c>
      <c r="H645" s="6">
        <v>45961</v>
      </c>
      <c r="I645" s="6">
        <v>45961</v>
      </c>
      <c r="J645" s="6">
        <v>45964</v>
      </c>
      <c r="K645" s="5" t="s">
        <v>135</v>
      </c>
      <c r="L645" s="5" t="s">
        <v>136</v>
      </c>
      <c r="M645" s="5" t="s">
        <v>43</v>
      </c>
      <c r="N645" s="5" t="s">
        <v>137</v>
      </c>
      <c r="O645" s="7">
        <v>2086.21</v>
      </c>
      <c r="P645" s="5" t="s">
        <v>45</v>
      </c>
      <c r="Q645" s="22"/>
      <c r="R645" s="8">
        <f t="shared" si="33"/>
        <v>2086.21</v>
      </c>
      <c r="S645" s="7">
        <v>2086.21</v>
      </c>
      <c r="T645" s="7"/>
      <c r="U645" s="7">
        <f t="shared" si="35"/>
        <v>2086.21</v>
      </c>
      <c r="V645" s="5" t="s">
        <v>45</v>
      </c>
      <c r="W645" s="7">
        <v>613.95000000000005</v>
      </c>
      <c r="X645" s="5" t="s">
        <v>46</v>
      </c>
      <c r="Z645" s="8">
        <f t="shared" si="34"/>
        <v>613.95000000000005</v>
      </c>
    </row>
    <row r="646" spans="1:26" x14ac:dyDescent="0.25">
      <c r="A646" s="5" t="s">
        <v>34</v>
      </c>
      <c r="B646" s="5" t="s">
        <v>202</v>
      </c>
      <c r="C646" s="5" t="s">
        <v>203</v>
      </c>
      <c r="D646" s="5" t="s">
        <v>37</v>
      </c>
      <c r="E646" s="5" t="s">
        <v>48</v>
      </c>
      <c r="F646" s="5" t="s">
        <v>49</v>
      </c>
      <c r="G646" s="5" t="s">
        <v>40</v>
      </c>
      <c r="H646" s="6">
        <v>45961</v>
      </c>
      <c r="I646" s="6">
        <v>45961</v>
      </c>
      <c r="J646" s="6">
        <v>45964</v>
      </c>
      <c r="K646" s="5" t="s">
        <v>135</v>
      </c>
      <c r="L646" s="5" t="s">
        <v>136</v>
      </c>
      <c r="M646" s="5" t="s">
        <v>43</v>
      </c>
      <c r="N646" s="5" t="s">
        <v>137</v>
      </c>
      <c r="O646" s="7">
        <v>9032.73</v>
      </c>
      <c r="P646" s="5" t="s">
        <v>45</v>
      </c>
      <c r="Q646" s="22"/>
      <c r="R646" s="8">
        <f t="shared" si="33"/>
        <v>9032.73</v>
      </c>
      <c r="S646" s="7">
        <v>9032.73</v>
      </c>
      <c r="T646" s="7"/>
      <c r="U646" s="7">
        <f t="shared" si="35"/>
        <v>9032.73</v>
      </c>
      <c r="V646" s="5" t="s">
        <v>45</v>
      </c>
      <c r="W646" s="7">
        <v>2658.25</v>
      </c>
      <c r="X646" s="5" t="s">
        <v>46</v>
      </c>
      <c r="Z646" s="8">
        <f t="shared" si="34"/>
        <v>2658.25</v>
      </c>
    </row>
    <row r="647" spans="1:26" x14ac:dyDescent="0.25">
      <c r="A647" s="5" t="s">
        <v>34</v>
      </c>
      <c r="B647" s="5" t="s">
        <v>202</v>
      </c>
      <c r="C647" s="5" t="s">
        <v>203</v>
      </c>
      <c r="D647" s="5" t="s">
        <v>37</v>
      </c>
      <c r="E647" s="5" t="s">
        <v>118</v>
      </c>
      <c r="F647" s="5" t="s">
        <v>119</v>
      </c>
      <c r="G647" s="5" t="s">
        <v>40</v>
      </c>
      <c r="H647" s="6">
        <v>45961</v>
      </c>
      <c r="I647" s="6">
        <v>45961</v>
      </c>
      <c r="J647" s="6">
        <v>45964</v>
      </c>
      <c r="K647" s="5" t="s">
        <v>135</v>
      </c>
      <c r="L647" s="5" t="s">
        <v>136</v>
      </c>
      <c r="M647" s="5" t="s">
        <v>43</v>
      </c>
      <c r="N647" s="5" t="s">
        <v>137</v>
      </c>
      <c r="O647" s="7">
        <v>5285.35</v>
      </c>
      <c r="P647" s="5" t="s">
        <v>45</v>
      </c>
      <c r="Q647" s="22"/>
      <c r="R647" s="8">
        <f t="shared" si="33"/>
        <v>5285.35</v>
      </c>
      <c r="S647" s="7">
        <v>5285.35</v>
      </c>
      <c r="T647" s="7"/>
      <c r="U647" s="7">
        <f t="shared" si="35"/>
        <v>5285.35</v>
      </c>
      <c r="V647" s="5" t="s">
        <v>45</v>
      </c>
      <c r="W647" s="7">
        <v>1555.43</v>
      </c>
      <c r="X647" s="5" t="s">
        <v>46</v>
      </c>
      <c r="Z647" s="8">
        <f t="shared" si="34"/>
        <v>1555.43</v>
      </c>
    </row>
    <row r="648" spans="1:26" x14ac:dyDescent="0.25">
      <c r="A648" s="5" t="s">
        <v>34</v>
      </c>
      <c r="B648" s="5" t="s">
        <v>202</v>
      </c>
      <c r="C648" s="5" t="s">
        <v>203</v>
      </c>
      <c r="D648" s="5" t="s">
        <v>37</v>
      </c>
      <c r="E648" s="5" t="s">
        <v>116</v>
      </c>
      <c r="F648" s="5" t="s">
        <v>117</v>
      </c>
      <c r="G648" s="5" t="s">
        <v>40</v>
      </c>
      <c r="H648" s="6">
        <v>45961</v>
      </c>
      <c r="I648" s="6">
        <v>45961</v>
      </c>
      <c r="J648" s="6">
        <v>45964</v>
      </c>
      <c r="K648" s="5" t="s">
        <v>135</v>
      </c>
      <c r="L648" s="5" t="s">
        <v>136</v>
      </c>
      <c r="M648" s="5" t="s">
        <v>43</v>
      </c>
      <c r="N648" s="5" t="s">
        <v>137</v>
      </c>
      <c r="O648" s="7">
        <v>5028.38</v>
      </c>
      <c r="P648" s="5" t="s">
        <v>45</v>
      </c>
      <c r="Q648" s="22"/>
      <c r="R648" s="8">
        <f t="shared" si="33"/>
        <v>5028.38</v>
      </c>
      <c r="S648" s="7">
        <v>5028.38</v>
      </c>
      <c r="T648" s="7"/>
      <c r="U648" s="7">
        <f t="shared" si="35"/>
        <v>5028.38</v>
      </c>
      <c r="V648" s="5" t="s">
        <v>45</v>
      </c>
      <c r="W648" s="7">
        <v>1479.81</v>
      </c>
      <c r="X648" s="5" t="s">
        <v>46</v>
      </c>
      <c r="Z648" s="8">
        <f t="shared" si="34"/>
        <v>1479.81</v>
      </c>
    </row>
    <row r="649" spans="1:26" x14ac:dyDescent="0.25">
      <c r="A649" s="5" t="s">
        <v>34</v>
      </c>
      <c r="B649" s="5" t="s">
        <v>202</v>
      </c>
      <c r="C649" s="5" t="s">
        <v>203</v>
      </c>
      <c r="D649" s="5" t="s">
        <v>37</v>
      </c>
      <c r="E649" s="5" t="s">
        <v>50</v>
      </c>
      <c r="F649" s="5" t="s">
        <v>51</v>
      </c>
      <c r="G649" s="5" t="s">
        <v>40</v>
      </c>
      <c r="H649" s="6">
        <v>45961</v>
      </c>
      <c r="I649" s="6">
        <v>45961</v>
      </c>
      <c r="J649" s="6">
        <v>45964</v>
      </c>
      <c r="K649" s="5" t="s">
        <v>135</v>
      </c>
      <c r="L649" s="5" t="s">
        <v>136</v>
      </c>
      <c r="M649" s="5" t="s">
        <v>43</v>
      </c>
      <c r="N649" s="5" t="s">
        <v>137</v>
      </c>
      <c r="O649" s="7">
        <v>8625.08</v>
      </c>
      <c r="P649" s="5" t="s">
        <v>45</v>
      </c>
      <c r="Q649" s="22"/>
      <c r="R649" s="8">
        <f t="shared" si="33"/>
        <v>8625.08</v>
      </c>
      <c r="S649" s="7">
        <v>8625.08</v>
      </c>
      <c r="T649" s="7"/>
      <c r="U649" s="7">
        <f t="shared" si="35"/>
        <v>8625.08</v>
      </c>
      <c r="V649" s="5" t="s">
        <v>45</v>
      </c>
      <c r="W649" s="7">
        <v>2538.2800000000002</v>
      </c>
      <c r="X649" s="5" t="s">
        <v>46</v>
      </c>
      <c r="Z649" s="8">
        <f t="shared" si="34"/>
        <v>2538.2800000000002</v>
      </c>
    </row>
    <row r="650" spans="1:26" x14ac:dyDescent="0.25">
      <c r="A650" s="5" t="s">
        <v>34</v>
      </c>
      <c r="B650" s="5" t="s">
        <v>202</v>
      </c>
      <c r="C650" s="5" t="s">
        <v>203</v>
      </c>
      <c r="D650" s="5" t="s">
        <v>37</v>
      </c>
      <c r="E650" s="5" t="s">
        <v>96</v>
      </c>
      <c r="F650" s="5" t="s">
        <v>97</v>
      </c>
      <c r="G650" s="5" t="s">
        <v>40</v>
      </c>
      <c r="H650" s="6">
        <v>45961</v>
      </c>
      <c r="I650" s="6">
        <v>45961</v>
      </c>
      <c r="J650" s="6">
        <v>45964</v>
      </c>
      <c r="K650" s="5" t="s">
        <v>147</v>
      </c>
      <c r="L650" s="5" t="s">
        <v>148</v>
      </c>
      <c r="M650" s="5" t="s">
        <v>43</v>
      </c>
      <c r="N650" s="5" t="s">
        <v>149</v>
      </c>
      <c r="O650" s="7">
        <v>291.11</v>
      </c>
      <c r="P650" s="5" t="s">
        <v>45</v>
      </c>
      <c r="Q650" s="22"/>
      <c r="R650" s="8">
        <f t="shared" si="33"/>
        <v>291.11</v>
      </c>
      <c r="S650" s="7">
        <v>291.11</v>
      </c>
      <c r="T650" s="7"/>
      <c r="U650" s="7">
        <f t="shared" si="35"/>
        <v>291.11</v>
      </c>
      <c r="V650" s="5" t="s">
        <v>45</v>
      </c>
      <c r="W650" s="7">
        <v>85.67</v>
      </c>
      <c r="X650" s="5" t="s">
        <v>46</v>
      </c>
      <c r="Z650" s="8">
        <f t="shared" si="34"/>
        <v>85.67</v>
      </c>
    </row>
    <row r="651" spans="1:26" x14ac:dyDescent="0.25">
      <c r="A651" s="5" t="s">
        <v>34</v>
      </c>
      <c r="B651" s="5" t="s">
        <v>202</v>
      </c>
      <c r="C651" s="5" t="s">
        <v>203</v>
      </c>
      <c r="D651" s="5" t="s">
        <v>37</v>
      </c>
      <c r="E651" s="5" t="s">
        <v>64</v>
      </c>
      <c r="F651" s="5" t="s">
        <v>65</v>
      </c>
      <c r="G651" s="5" t="s">
        <v>40</v>
      </c>
      <c r="H651" s="6">
        <v>45961</v>
      </c>
      <c r="I651" s="6">
        <v>45961</v>
      </c>
      <c r="J651" s="6">
        <v>45964</v>
      </c>
      <c r="K651" s="5" t="s">
        <v>135</v>
      </c>
      <c r="L651" s="5" t="s">
        <v>136</v>
      </c>
      <c r="M651" s="5" t="s">
        <v>43</v>
      </c>
      <c r="N651" s="5" t="s">
        <v>137</v>
      </c>
      <c r="O651" s="7">
        <v>4626.8900000000003</v>
      </c>
      <c r="P651" s="5" t="s">
        <v>45</v>
      </c>
      <c r="Q651" s="22"/>
      <c r="R651" s="8">
        <f t="shared" si="33"/>
        <v>4626.8900000000003</v>
      </c>
      <c r="S651" s="7">
        <v>4626.8900000000003</v>
      </c>
      <c r="T651" s="7"/>
      <c r="U651" s="7">
        <f t="shared" si="35"/>
        <v>4626.8900000000003</v>
      </c>
      <c r="V651" s="5" t="s">
        <v>45</v>
      </c>
      <c r="W651" s="7">
        <v>1361.65</v>
      </c>
      <c r="X651" s="5" t="s">
        <v>46</v>
      </c>
      <c r="Z651" s="8">
        <f t="shared" si="34"/>
        <v>1361.65</v>
      </c>
    </row>
    <row r="652" spans="1:26" x14ac:dyDescent="0.25">
      <c r="A652" s="5" t="s">
        <v>34</v>
      </c>
      <c r="B652" s="5" t="s">
        <v>202</v>
      </c>
      <c r="C652" s="5" t="s">
        <v>203</v>
      </c>
      <c r="D652" s="5" t="s">
        <v>37</v>
      </c>
      <c r="E652" s="5" t="s">
        <v>142</v>
      </c>
      <c r="F652" s="5" t="s">
        <v>143</v>
      </c>
      <c r="G652" s="5" t="s">
        <v>40</v>
      </c>
      <c r="H652" s="6">
        <v>45961</v>
      </c>
      <c r="I652" s="6">
        <v>45961</v>
      </c>
      <c r="J652" s="6">
        <v>45961</v>
      </c>
      <c r="K652" s="5" t="s">
        <v>144</v>
      </c>
      <c r="L652" s="5" t="s">
        <v>145</v>
      </c>
      <c r="M652" s="5" t="s">
        <v>43</v>
      </c>
      <c r="N652" s="5" t="s">
        <v>146</v>
      </c>
      <c r="O652" s="7">
        <v>235.36</v>
      </c>
      <c r="P652" s="5" t="s">
        <v>45</v>
      </c>
      <c r="Q652" s="22"/>
      <c r="R652" s="8">
        <f t="shared" si="33"/>
        <v>235.36</v>
      </c>
      <c r="S652" s="7">
        <v>235.36</v>
      </c>
      <c r="T652" s="7"/>
      <c r="U652" s="7">
        <f t="shared" si="35"/>
        <v>235.36</v>
      </c>
      <c r="V652" s="5" t="s">
        <v>45</v>
      </c>
      <c r="W652" s="7">
        <v>69.260000000000005</v>
      </c>
      <c r="X652" s="5" t="s">
        <v>46</v>
      </c>
      <c r="Z652" s="8">
        <f t="shared" si="34"/>
        <v>69.260000000000005</v>
      </c>
    </row>
    <row r="653" spans="1:26" x14ac:dyDescent="0.25">
      <c r="A653" s="5" t="s">
        <v>34</v>
      </c>
      <c r="B653" s="5" t="s">
        <v>202</v>
      </c>
      <c r="C653" s="5" t="s">
        <v>203</v>
      </c>
      <c r="D653" s="5" t="s">
        <v>37</v>
      </c>
      <c r="E653" s="5" t="s">
        <v>58</v>
      </c>
      <c r="F653" s="5" t="s">
        <v>59</v>
      </c>
      <c r="G653" s="5" t="s">
        <v>40</v>
      </c>
      <c r="H653" s="6">
        <v>45961</v>
      </c>
      <c r="I653" s="6">
        <v>45961</v>
      </c>
      <c r="J653" s="6">
        <v>45964</v>
      </c>
      <c r="K653" s="5" t="s">
        <v>135</v>
      </c>
      <c r="L653" s="5" t="s">
        <v>136</v>
      </c>
      <c r="M653" s="5" t="s">
        <v>43</v>
      </c>
      <c r="N653" s="5" t="s">
        <v>137</v>
      </c>
      <c r="O653" s="7">
        <v>414.59</v>
      </c>
      <c r="P653" s="5" t="s">
        <v>45</v>
      </c>
      <c r="Q653" s="22"/>
      <c r="R653" s="8">
        <f t="shared" si="33"/>
        <v>414.59</v>
      </c>
      <c r="S653" s="7">
        <v>414.59</v>
      </c>
      <c r="T653" s="7"/>
      <c r="U653" s="7">
        <f t="shared" si="35"/>
        <v>414.59</v>
      </c>
      <c r="V653" s="5" t="s">
        <v>45</v>
      </c>
      <c r="W653" s="7">
        <v>122.01</v>
      </c>
      <c r="X653" s="5" t="s">
        <v>46</v>
      </c>
      <c r="Z653" s="8">
        <f t="shared" si="34"/>
        <v>122.01</v>
      </c>
    </row>
    <row r="654" spans="1:26" x14ac:dyDescent="0.25">
      <c r="A654" s="5" t="s">
        <v>34</v>
      </c>
      <c r="B654" s="5" t="s">
        <v>202</v>
      </c>
      <c r="C654" s="5" t="s">
        <v>203</v>
      </c>
      <c r="D654" s="5" t="s">
        <v>37</v>
      </c>
      <c r="E654" s="5" t="s">
        <v>98</v>
      </c>
      <c r="F654" s="5" t="s">
        <v>99</v>
      </c>
      <c r="G654" s="5" t="s">
        <v>40</v>
      </c>
      <c r="H654" s="6">
        <v>45961</v>
      </c>
      <c r="I654" s="6">
        <v>45961</v>
      </c>
      <c r="J654" s="6">
        <v>45964</v>
      </c>
      <c r="K654" s="5" t="s">
        <v>135</v>
      </c>
      <c r="L654" s="5" t="s">
        <v>136</v>
      </c>
      <c r="M654" s="5" t="s">
        <v>43</v>
      </c>
      <c r="N654" s="5" t="s">
        <v>137</v>
      </c>
      <c r="O654" s="7">
        <v>399.33</v>
      </c>
      <c r="P654" s="5" t="s">
        <v>45</v>
      </c>
      <c r="Q654" s="22"/>
      <c r="R654" s="8">
        <f t="shared" si="33"/>
        <v>399.33</v>
      </c>
      <c r="S654" s="7">
        <v>399.33</v>
      </c>
      <c r="T654" s="7"/>
      <c r="U654" s="7">
        <f t="shared" si="35"/>
        <v>399.33</v>
      </c>
      <c r="V654" s="5" t="s">
        <v>45</v>
      </c>
      <c r="W654" s="7">
        <v>117.52</v>
      </c>
      <c r="X654" s="5" t="s">
        <v>46</v>
      </c>
      <c r="Z654" s="8">
        <f t="shared" si="34"/>
        <v>117.52</v>
      </c>
    </row>
    <row r="655" spans="1:26" x14ac:dyDescent="0.25">
      <c r="A655" s="5" t="s">
        <v>34</v>
      </c>
      <c r="B655" s="5" t="s">
        <v>202</v>
      </c>
      <c r="C655" s="5" t="s">
        <v>203</v>
      </c>
      <c r="D655" s="5" t="s">
        <v>37</v>
      </c>
      <c r="E655" s="5" t="s">
        <v>100</v>
      </c>
      <c r="F655" s="5" t="s">
        <v>101</v>
      </c>
      <c r="G655" s="5" t="s">
        <v>40</v>
      </c>
      <c r="H655" s="6">
        <v>45961</v>
      </c>
      <c r="I655" s="6">
        <v>45961</v>
      </c>
      <c r="J655" s="6">
        <v>45964</v>
      </c>
      <c r="K655" s="5" t="s">
        <v>135</v>
      </c>
      <c r="L655" s="5" t="s">
        <v>136</v>
      </c>
      <c r="M655" s="5" t="s">
        <v>43</v>
      </c>
      <c r="N655" s="5" t="s">
        <v>137</v>
      </c>
      <c r="O655" s="7">
        <v>3319.13</v>
      </c>
      <c r="P655" s="5" t="s">
        <v>45</v>
      </c>
      <c r="Q655" s="22"/>
      <c r="R655" s="8">
        <f t="shared" si="33"/>
        <v>3319.13</v>
      </c>
      <c r="S655" s="7">
        <v>3319.13</v>
      </c>
      <c r="T655" s="7"/>
      <c r="U655" s="7">
        <f t="shared" si="35"/>
        <v>3319.13</v>
      </c>
      <c r="V655" s="5" t="s">
        <v>45</v>
      </c>
      <c r="W655" s="7">
        <v>976.79</v>
      </c>
      <c r="X655" s="5" t="s">
        <v>46</v>
      </c>
      <c r="Z655" s="8">
        <f t="shared" si="34"/>
        <v>976.79</v>
      </c>
    </row>
    <row r="656" spans="1:26" x14ac:dyDescent="0.25">
      <c r="A656" s="5" t="s">
        <v>34</v>
      </c>
      <c r="B656" s="5" t="s">
        <v>202</v>
      </c>
      <c r="C656" s="5" t="s">
        <v>203</v>
      </c>
      <c r="D656" s="5" t="s">
        <v>37</v>
      </c>
      <c r="E656" s="5" t="s">
        <v>54</v>
      </c>
      <c r="F656" s="5" t="s">
        <v>55</v>
      </c>
      <c r="G656" s="5" t="s">
        <v>40</v>
      </c>
      <c r="H656" s="6">
        <v>45961</v>
      </c>
      <c r="I656" s="6">
        <v>45961</v>
      </c>
      <c r="J656" s="6">
        <v>45964</v>
      </c>
      <c r="K656" s="5" t="s">
        <v>135</v>
      </c>
      <c r="L656" s="5" t="s">
        <v>136</v>
      </c>
      <c r="M656" s="5" t="s">
        <v>43</v>
      </c>
      <c r="N656" s="5" t="s">
        <v>137</v>
      </c>
      <c r="O656" s="7">
        <v>1211.49</v>
      </c>
      <c r="P656" s="5" t="s">
        <v>45</v>
      </c>
      <c r="Q656" s="22"/>
      <c r="R656" s="8">
        <f t="shared" si="33"/>
        <v>1211.49</v>
      </c>
      <c r="S656" s="7">
        <v>1211.49</v>
      </c>
      <c r="T656" s="7"/>
      <c r="U656" s="7">
        <f t="shared" si="35"/>
        <v>1211.49</v>
      </c>
      <c r="V656" s="5" t="s">
        <v>45</v>
      </c>
      <c r="W656" s="7">
        <v>356.53</v>
      </c>
      <c r="X656" s="5" t="s">
        <v>46</v>
      </c>
      <c r="Z656" s="8">
        <f t="shared" si="34"/>
        <v>356.53</v>
      </c>
    </row>
    <row r="657" spans="1:26" x14ac:dyDescent="0.25">
      <c r="A657" s="5" t="s">
        <v>34</v>
      </c>
      <c r="B657" s="5" t="s">
        <v>202</v>
      </c>
      <c r="C657" s="5" t="s">
        <v>203</v>
      </c>
      <c r="D657" s="5" t="s">
        <v>37</v>
      </c>
      <c r="E657" s="5" t="s">
        <v>84</v>
      </c>
      <c r="F657" s="5" t="s">
        <v>85</v>
      </c>
      <c r="G657" s="5" t="s">
        <v>40</v>
      </c>
      <c r="H657" s="6">
        <v>45961</v>
      </c>
      <c r="I657" s="6">
        <v>45961</v>
      </c>
      <c r="J657" s="6">
        <v>45964</v>
      </c>
      <c r="K657" s="5" t="s">
        <v>135</v>
      </c>
      <c r="L657" s="5" t="s">
        <v>136</v>
      </c>
      <c r="M657" s="5" t="s">
        <v>43</v>
      </c>
      <c r="N657" s="5" t="s">
        <v>137</v>
      </c>
      <c r="O657" s="7">
        <v>1643.46</v>
      </c>
      <c r="P657" s="5" t="s">
        <v>45</v>
      </c>
      <c r="Q657" s="22"/>
      <c r="R657" s="8">
        <f t="shared" si="33"/>
        <v>1643.46</v>
      </c>
      <c r="S657" s="7">
        <v>1643.46</v>
      </c>
      <c r="T657" s="7"/>
      <c r="U657" s="7">
        <f t="shared" si="35"/>
        <v>1643.46</v>
      </c>
      <c r="V657" s="5" t="s">
        <v>45</v>
      </c>
      <c r="W657" s="7">
        <v>483.66</v>
      </c>
      <c r="X657" s="5" t="s">
        <v>46</v>
      </c>
      <c r="Z657" s="8">
        <f t="shared" si="34"/>
        <v>483.66</v>
      </c>
    </row>
    <row r="658" spans="1:26" x14ac:dyDescent="0.25">
      <c r="A658" s="5" t="s">
        <v>34</v>
      </c>
      <c r="B658" s="5" t="s">
        <v>202</v>
      </c>
      <c r="C658" s="5" t="s">
        <v>203</v>
      </c>
      <c r="D658" s="5" t="s">
        <v>37</v>
      </c>
      <c r="E658" s="5" t="s">
        <v>74</v>
      </c>
      <c r="F658" s="5" t="s">
        <v>75</v>
      </c>
      <c r="G658" s="5" t="s">
        <v>40</v>
      </c>
      <c r="H658" s="6">
        <v>45961</v>
      </c>
      <c r="I658" s="6">
        <v>45961</v>
      </c>
      <c r="J658" s="6">
        <v>45964</v>
      </c>
      <c r="K658" s="5" t="s">
        <v>135</v>
      </c>
      <c r="L658" s="5" t="s">
        <v>136</v>
      </c>
      <c r="M658" s="5" t="s">
        <v>43</v>
      </c>
      <c r="N658" s="5" t="s">
        <v>137</v>
      </c>
      <c r="O658" s="7">
        <v>50366.720000000001</v>
      </c>
      <c r="P658" s="5" t="s">
        <v>45</v>
      </c>
      <c r="Q658" s="22"/>
      <c r="R658" s="8">
        <f t="shared" si="33"/>
        <v>50366.720000000001</v>
      </c>
      <c r="S658" s="7">
        <v>50366.720000000001</v>
      </c>
      <c r="T658" s="7"/>
      <c r="U658" s="7">
        <f t="shared" si="35"/>
        <v>50366.720000000001</v>
      </c>
      <c r="V658" s="5" t="s">
        <v>45</v>
      </c>
      <c r="W658" s="7">
        <v>14822.46</v>
      </c>
      <c r="X658" s="5" t="s">
        <v>46</v>
      </c>
      <c r="Z658" s="8">
        <f t="shared" si="34"/>
        <v>14822.46</v>
      </c>
    </row>
    <row r="659" spans="1:26" x14ac:dyDescent="0.25">
      <c r="A659" s="5" t="s">
        <v>34</v>
      </c>
      <c r="B659" s="5" t="s">
        <v>202</v>
      </c>
      <c r="C659" s="5" t="s">
        <v>203</v>
      </c>
      <c r="D659" s="5" t="s">
        <v>37</v>
      </c>
      <c r="E659" s="5" t="s">
        <v>122</v>
      </c>
      <c r="F659" s="5" t="s">
        <v>123</v>
      </c>
      <c r="G659" s="5" t="s">
        <v>40</v>
      </c>
      <c r="H659" s="6">
        <v>45961</v>
      </c>
      <c r="I659" s="6">
        <v>45961</v>
      </c>
      <c r="J659" s="6">
        <v>45964</v>
      </c>
      <c r="K659" s="5" t="s">
        <v>135</v>
      </c>
      <c r="L659" s="5" t="s">
        <v>136</v>
      </c>
      <c r="M659" s="5" t="s">
        <v>43</v>
      </c>
      <c r="N659" s="5" t="s">
        <v>137</v>
      </c>
      <c r="O659" s="7">
        <v>168.71</v>
      </c>
      <c r="P659" s="5" t="s">
        <v>45</v>
      </c>
      <c r="Q659" s="22"/>
      <c r="R659" s="8">
        <f t="shared" si="33"/>
        <v>168.71</v>
      </c>
      <c r="S659" s="7">
        <v>168.71</v>
      </c>
      <c r="T659" s="7"/>
      <c r="U659" s="7">
        <f t="shared" si="35"/>
        <v>168.71</v>
      </c>
      <c r="V659" s="5" t="s">
        <v>45</v>
      </c>
      <c r="W659" s="7">
        <v>49.65</v>
      </c>
      <c r="X659" s="5" t="s">
        <v>46</v>
      </c>
      <c r="Z659" s="8">
        <f t="shared" si="34"/>
        <v>49.65</v>
      </c>
    </row>
    <row r="660" spans="1:26" x14ac:dyDescent="0.25">
      <c r="A660" s="5" t="s">
        <v>34</v>
      </c>
      <c r="B660" s="5" t="s">
        <v>202</v>
      </c>
      <c r="C660" s="5" t="s">
        <v>203</v>
      </c>
      <c r="D660" s="5" t="s">
        <v>37</v>
      </c>
      <c r="E660" s="5" t="s">
        <v>60</v>
      </c>
      <c r="F660" s="5" t="s">
        <v>61</v>
      </c>
      <c r="G660" s="5" t="s">
        <v>40</v>
      </c>
      <c r="H660" s="6">
        <v>45961</v>
      </c>
      <c r="I660" s="6">
        <v>45961</v>
      </c>
      <c r="J660" s="6">
        <v>45964</v>
      </c>
      <c r="K660" s="5" t="s">
        <v>135</v>
      </c>
      <c r="L660" s="5" t="s">
        <v>136</v>
      </c>
      <c r="M660" s="5" t="s">
        <v>43</v>
      </c>
      <c r="N660" s="5" t="s">
        <v>137</v>
      </c>
      <c r="O660" s="7">
        <v>10547.56</v>
      </c>
      <c r="P660" s="5" t="s">
        <v>45</v>
      </c>
      <c r="Q660" s="22"/>
      <c r="R660" s="8">
        <f t="shared" ref="R660:R723" si="36">+O660+Q660</f>
        <v>10547.56</v>
      </c>
      <c r="S660" s="7">
        <v>10547.56</v>
      </c>
      <c r="T660" s="7"/>
      <c r="U660" s="7">
        <f t="shared" si="35"/>
        <v>10547.56</v>
      </c>
      <c r="V660" s="5" t="s">
        <v>45</v>
      </c>
      <c r="W660" s="7">
        <v>3104.05</v>
      </c>
      <c r="X660" s="5" t="s">
        <v>46</v>
      </c>
      <c r="Z660" s="8">
        <f t="shared" si="34"/>
        <v>3104.05</v>
      </c>
    </row>
    <row r="661" spans="1:26" x14ac:dyDescent="0.25">
      <c r="A661" s="5" t="s">
        <v>34</v>
      </c>
      <c r="B661" s="5" t="s">
        <v>202</v>
      </c>
      <c r="C661" s="5" t="s">
        <v>203</v>
      </c>
      <c r="D661" s="5" t="s">
        <v>37</v>
      </c>
      <c r="E661" s="5" t="s">
        <v>64</v>
      </c>
      <c r="F661" s="5" t="s">
        <v>65</v>
      </c>
      <c r="G661" s="5" t="s">
        <v>40</v>
      </c>
      <c r="H661" s="6">
        <v>45961</v>
      </c>
      <c r="I661" s="6">
        <v>45961</v>
      </c>
      <c r="J661" s="6">
        <v>45950</v>
      </c>
      <c r="K661" s="5" t="s">
        <v>132</v>
      </c>
      <c r="L661" s="5" t="s">
        <v>133</v>
      </c>
      <c r="M661" s="5" t="s">
        <v>43</v>
      </c>
      <c r="N661" s="5" t="s">
        <v>134</v>
      </c>
      <c r="O661" s="7">
        <v>101.7</v>
      </c>
      <c r="P661" s="5" t="s">
        <v>45</v>
      </c>
      <c r="Q661" s="22"/>
      <c r="R661" s="8">
        <f t="shared" si="36"/>
        <v>101.7</v>
      </c>
      <c r="S661" s="7">
        <v>101.7</v>
      </c>
      <c r="T661" s="7"/>
      <c r="U661" s="7">
        <f t="shared" si="35"/>
        <v>101.7</v>
      </c>
      <c r="V661" s="5" t="s">
        <v>45</v>
      </c>
      <c r="W661" s="7">
        <v>30.01</v>
      </c>
      <c r="X661" s="5" t="s">
        <v>46</v>
      </c>
      <c r="Z661" s="8">
        <f t="shared" si="34"/>
        <v>30.01</v>
      </c>
    </row>
    <row r="662" spans="1:26" x14ac:dyDescent="0.25">
      <c r="A662" s="5" t="s">
        <v>34</v>
      </c>
      <c r="B662" s="5" t="s">
        <v>202</v>
      </c>
      <c r="C662" s="5" t="s">
        <v>203</v>
      </c>
      <c r="D662" s="5" t="s">
        <v>37</v>
      </c>
      <c r="E662" s="5" t="s">
        <v>78</v>
      </c>
      <c r="F662" s="5" t="s">
        <v>79</v>
      </c>
      <c r="G662" s="5" t="s">
        <v>40</v>
      </c>
      <c r="H662" s="6">
        <v>45961</v>
      </c>
      <c r="I662" s="6">
        <v>45961</v>
      </c>
      <c r="J662" s="6">
        <v>45964</v>
      </c>
      <c r="K662" s="5" t="s">
        <v>135</v>
      </c>
      <c r="L662" s="5" t="s">
        <v>136</v>
      </c>
      <c r="M662" s="5" t="s">
        <v>43</v>
      </c>
      <c r="N662" s="5" t="s">
        <v>137</v>
      </c>
      <c r="O662" s="7">
        <v>14499.77</v>
      </c>
      <c r="P662" s="5" t="s">
        <v>45</v>
      </c>
      <c r="Q662" s="22"/>
      <c r="R662" s="8">
        <f t="shared" si="36"/>
        <v>14499.77</v>
      </c>
      <c r="S662" s="7">
        <v>14499.77</v>
      </c>
      <c r="T662" s="7"/>
      <c r="U662" s="7">
        <f t="shared" si="35"/>
        <v>14499.77</v>
      </c>
      <c r="V662" s="5" t="s">
        <v>45</v>
      </c>
      <c r="W662" s="7">
        <v>4267.1499999999996</v>
      </c>
      <c r="X662" s="5" t="s">
        <v>46</v>
      </c>
      <c r="Z662" s="8">
        <f t="shared" si="34"/>
        <v>4267.1499999999996</v>
      </c>
    </row>
    <row r="663" spans="1:26" x14ac:dyDescent="0.25">
      <c r="A663" s="5" t="s">
        <v>34</v>
      </c>
      <c r="B663" s="5" t="s">
        <v>202</v>
      </c>
      <c r="C663" s="5" t="s">
        <v>203</v>
      </c>
      <c r="D663" s="5" t="s">
        <v>37</v>
      </c>
      <c r="E663" s="5" t="s">
        <v>102</v>
      </c>
      <c r="F663" s="5" t="s">
        <v>103</v>
      </c>
      <c r="G663" s="5" t="s">
        <v>40</v>
      </c>
      <c r="H663" s="6">
        <v>45961</v>
      </c>
      <c r="I663" s="6">
        <v>45961</v>
      </c>
      <c r="J663" s="6">
        <v>45964</v>
      </c>
      <c r="K663" s="5" t="s">
        <v>135</v>
      </c>
      <c r="L663" s="5" t="s">
        <v>136</v>
      </c>
      <c r="M663" s="5" t="s">
        <v>43</v>
      </c>
      <c r="N663" s="5" t="s">
        <v>137</v>
      </c>
      <c r="O663" s="7">
        <v>13804.03</v>
      </c>
      <c r="P663" s="5" t="s">
        <v>45</v>
      </c>
      <c r="Q663" s="22"/>
      <c r="R663" s="8">
        <f t="shared" si="36"/>
        <v>13804.03</v>
      </c>
      <c r="S663" s="7">
        <v>13804.03</v>
      </c>
      <c r="T663" s="7"/>
      <c r="U663" s="7">
        <f t="shared" si="35"/>
        <v>13804.03</v>
      </c>
      <c r="V663" s="5" t="s">
        <v>45</v>
      </c>
      <c r="W663" s="7">
        <v>4062.4</v>
      </c>
      <c r="X663" s="5" t="s">
        <v>46</v>
      </c>
      <c r="Z663" s="8">
        <f t="shared" si="34"/>
        <v>4062.4</v>
      </c>
    </row>
    <row r="664" spans="1:26" x14ac:dyDescent="0.25">
      <c r="A664" s="5" t="s">
        <v>34</v>
      </c>
      <c r="B664" s="5" t="s">
        <v>202</v>
      </c>
      <c r="C664" s="5" t="s">
        <v>203</v>
      </c>
      <c r="D664" s="5" t="s">
        <v>37</v>
      </c>
      <c r="E664" s="5" t="s">
        <v>92</v>
      </c>
      <c r="F664" s="5" t="s">
        <v>93</v>
      </c>
      <c r="G664" s="5" t="s">
        <v>40</v>
      </c>
      <c r="H664" s="6">
        <v>45961</v>
      </c>
      <c r="I664" s="6">
        <v>45961</v>
      </c>
      <c r="J664" s="6">
        <v>45964</v>
      </c>
      <c r="K664" s="5" t="s">
        <v>135</v>
      </c>
      <c r="L664" s="5" t="s">
        <v>136</v>
      </c>
      <c r="M664" s="5" t="s">
        <v>43</v>
      </c>
      <c r="N664" s="5" t="s">
        <v>137</v>
      </c>
      <c r="O664" s="7">
        <v>653.30999999999995</v>
      </c>
      <c r="P664" s="5" t="s">
        <v>45</v>
      </c>
      <c r="Q664" s="22"/>
      <c r="R664" s="8">
        <f t="shared" si="36"/>
        <v>653.30999999999995</v>
      </c>
      <c r="S664" s="7">
        <v>653.30999999999995</v>
      </c>
      <c r="T664" s="7"/>
      <c r="U664" s="7">
        <f t="shared" si="35"/>
        <v>653.30999999999995</v>
      </c>
      <c r="V664" s="5" t="s">
        <v>45</v>
      </c>
      <c r="W664" s="7">
        <v>192.26</v>
      </c>
      <c r="X664" s="5" t="s">
        <v>46</v>
      </c>
      <c r="Z664" s="8">
        <f t="shared" si="34"/>
        <v>192.26</v>
      </c>
    </row>
    <row r="665" spans="1:26" x14ac:dyDescent="0.25">
      <c r="A665" s="5" t="s">
        <v>34</v>
      </c>
      <c r="B665" s="5" t="s">
        <v>202</v>
      </c>
      <c r="C665" s="5" t="s">
        <v>203</v>
      </c>
      <c r="D665" s="5" t="s">
        <v>37</v>
      </c>
      <c r="E665" s="5" t="s">
        <v>142</v>
      </c>
      <c r="F665" s="5" t="s">
        <v>143</v>
      </c>
      <c r="G665" s="5" t="s">
        <v>40</v>
      </c>
      <c r="H665" s="6">
        <v>45961</v>
      </c>
      <c r="I665" s="6">
        <v>45961</v>
      </c>
      <c r="J665" s="6">
        <v>45964</v>
      </c>
      <c r="K665" s="5" t="s">
        <v>135</v>
      </c>
      <c r="L665" s="5" t="s">
        <v>136</v>
      </c>
      <c r="M665" s="5" t="s">
        <v>43</v>
      </c>
      <c r="N665" s="5" t="s">
        <v>137</v>
      </c>
      <c r="O665" s="7">
        <v>159.85</v>
      </c>
      <c r="P665" s="5" t="s">
        <v>45</v>
      </c>
      <c r="Q665" s="22"/>
      <c r="R665" s="8">
        <f t="shared" si="36"/>
        <v>159.85</v>
      </c>
      <c r="S665" s="7">
        <v>159.85</v>
      </c>
      <c r="T665" s="7"/>
      <c r="U665" s="7">
        <f t="shared" si="35"/>
        <v>159.85</v>
      </c>
      <c r="V665" s="5" t="s">
        <v>45</v>
      </c>
      <c r="W665" s="7">
        <v>47.04</v>
      </c>
      <c r="X665" s="5" t="s">
        <v>46</v>
      </c>
      <c r="Z665" s="8">
        <f t="shared" si="34"/>
        <v>47.04</v>
      </c>
    </row>
    <row r="666" spans="1:26" x14ac:dyDescent="0.25">
      <c r="A666" s="5" t="s">
        <v>34</v>
      </c>
      <c r="B666" s="5" t="s">
        <v>202</v>
      </c>
      <c r="C666" s="5" t="s">
        <v>203</v>
      </c>
      <c r="D666" s="5" t="s">
        <v>37</v>
      </c>
      <c r="E666" s="5" t="s">
        <v>106</v>
      </c>
      <c r="F666" s="5" t="s">
        <v>107</v>
      </c>
      <c r="G666" s="5" t="s">
        <v>40</v>
      </c>
      <c r="H666" s="6">
        <v>45961</v>
      </c>
      <c r="I666" s="6">
        <v>45961</v>
      </c>
      <c r="J666" s="6">
        <v>45964</v>
      </c>
      <c r="K666" s="5" t="s">
        <v>135</v>
      </c>
      <c r="L666" s="5" t="s">
        <v>136</v>
      </c>
      <c r="M666" s="5" t="s">
        <v>43</v>
      </c>
      <c r="N666" s="5" t="s">
        <v>137</v>
      </c>
      <c r="O666" s="7">
        <v>1204.56</v>
      </c>
      <c r="P666" s="5" t="s">
        <v>45</v>
      </c>
      <c r="Q666" s="22"/>
      <c r="R666" s="8">
        <f t="shared" si="36"/>
        <v>1204.56</v>
      </c>
      <c r="S666" s="7">
        <v>1204.56</v>
      </c>
      <c r="T666" s="7"/>
      <c r="U666" s="7">
        <f t="shared" si="35"/>
        <v>1204.56</v>
      </c>
      <c r="V666" s="5" t="s">
        <v>45</v>
      </c>
      <c r="W666" s="7">
        <v>354.49</v>
      </c>
      <c r="X666" s="5" t="s">
        <v>46</v>
      </c>
      <c r="Z666" s="8">
        <f t="shared" si="34"/>
        <v>354.49</v>
      </c>
    </row>
    <row r="667" spans="1:26" x14ac:dyDescent="0.25">
      <c r="A667" s="5" t="s">
        <v>34</v>
      </c>
      <c r="B667" s="5" t="s">
        <v>202</v>
      </c>
      <c r="C667" s="5" t="s">
        <v>203</v>
      </c>
      <c r="D667" s="5" t="s">
        <v>37</v>
      </c>
      <c r="E667" s="5" t="s">
        <v>138</v>
      </c>
      <c r="F667" s="5" t="s">
        <v>139</v>
      </c>
      <c r="G667" s="5" t="s">
        <v>40</v>
      </c>
      <c r="H667" s="6">
        <v>45961</v>
      </c>
      <c r="I667" s="6">
        <v>45961</v>
      </c>
      <c r="J667" s="6">
        <v>45964</v>
      </c>
      <c r="K667" s="5" t="s">
        <v>135</v>
      </c>
      <c r="L667" s="5" t="s">
        <v>136</v>
      </c>
      <c r="M667" s="5" t="s">
        <v>43</v>
      </c>
      <c r="N667" s="5" t="s">
        <v>137</v>
      </c>
      <c r="O667" s="7">
        <v>2622.05</v>
      </c>
      <c r="P667" s="5" t="s">
        <v>45</v>
      </c>
      <c r="Q667" s="22"/>
      <c r="R667" s="8">
        <f t="shared" si="36"/>
        <v>2622.05</v>
      </c>
      <c r="S667" s="7">
        <v>2622.05</v>
      </c>
      <c r="T667" s="7"/>
      <c r="U667" s="7">
        <f t="shared" si="35"/>
        <v>2622.05</v>
      </c>
      <c r="V667" s="5" t="s">
        <v>45</v>
      </c>
      <c r="W667" s="7">
        <v>771.65</v>
      </c>
      <c r="X667" s="5" t="s">
        <v>46</v>
      </c>
      <c r="Z667" s="8">
        <f t="shared" si="34"/>
        <v>771.65</v>
      </c>
    </row>
    <row r="668" spans="1:26" x14ac:dyDescent="0.25">
      <c r="A668" s="5" t="s">
        <v>34</v>
      </c>
      <c r="B668" s="5" t="s">
        <v>202</v>
      </c>
      <c r="C668" s="5" t="s">
        <v>203</v>
      </c>
      <c r="D668" s="5" t="s">
        <v>37</v>
      </c>
      <c r="E668" s="5" t="s">
        <v>70</v>
      </c>
      <c r="F668" s="5" t="s">
        <v>71</v>
      </c>
      <c r="G668" s="5" t="s">
        <v>40</v>
      </c>
      <c r="H668" s="6">
        <v>45961</v>
      </c>
      <c r="I668" s="6">
        <v>45961</v>
      </c>
      <c r="J668" s="6">
        <v>45964</v>
      </c>
      <c r="K668" s="5" t="s">
        <v>135</v>
      </c>
      <c r="L668" s="5" t="s">
        <v>136</v>
      </c>
      <c r="M668" s="5" t="s">
        <v>43</v>
      </c>
      <c r="N668" s="5" t="s">
        <v>137</v>
      </c>
      <c r="O668" s="7">
        <v>1101.42</v>
      </c>
      <c r="P668" s="5" t="s">
        <v>45</v>
      </c>
      <c r="Q668" s="22"/>
      <c r="R668" s="8">
        <f t="shared" si="36"/>
        <v>1101.42</v>
      </c>
      <c r="S668" s="7">
        <v>1101.42</v>
      </c>
      <c r="T668" s="7"/>
      <c r="U668" s="7">
        <f t="shared" si="35"/>
        <v>1101.42</v>
      </c>
      <c r="V668" s="5" t="s">
        <v>45</v>
      </c>
      <c r="W668" s="7">
        <v>324.14</v>
      </c>
      <c r="X668" s="5" t="s">
        <v>46</v>
      </c>
      <c r="Z668" s="8">
        <f t="shared" si="34"/>
        <v>324.14</v>
      </c>
    </row>
    <row r="669" spans="1:26" x14ac:dyDescent="0.25">
      <c r="A669" s="5" t="s">
        <v>34</v>
      </c>
      <c r="B669" s="5" t="s">
        <v>202</v>
      </c>
      <c r="C669" s="5" t="s">
        <v>203</v>
      </c>
      <c r="D669" s="5" t="s">
        <v>37</v>
      </c>
      <c r="E669" s="5" t="s">
        <v>96</v>
      </c>
      <c r="F669" s="5" t="s">
        <v>97</v>
      </c>
      <c r="G669" s="5" t="s">
        <v>40</v>
      </c>
      <c r="H669" s="6">
        <v>45961</v>
      </c>
      <c r="I669" s="6">
        <v>45961</v>
      </c>
      <c r="J669" s="6">
        <v>45964</v>
      </c>
      <c r="K669" s="5" t="s">
        <v>135</v>
      </c>
      <c r="L669" s="5" t="s">
        <v>136</v>
      </c>
      <c r="M669" s="5" t="s">
        <v>43</v>
      </c>
      <c r="N669" s="5" t="s">
        <v>137</v>
      </c>
      <c r="O669" s="7">
        <v>35733.449999999997</v>
      </c>
      <c r="P669" s="5" t="s">
        <v>45</v>
      </c>
      <c r="Q669" s="22"/>
      <c r="R669" s="8">
        <f t="shared" si="36"/>
        <v>35733.449999999997</v>
      </c>
      <c r="S669" s="7">
        <v>35733.449999999997</v>
      </c>
      <c r="T669" s="7"/>
      <c r="U669" s="7">
        <f t="shared" si="35"/>
        <v>35733.449999999997</v>
      </c>
      <c r="V669" s="5" t="s">
        <v>45</v>
      </c>
      <c r="W669" s="7">
        <v>10516.02</v>
      </c>
      <c r="X669" s="5" t="s">
        <v>46</v>
      </c>
      <c r="Z669" s="8">
        <f t="shared" si="34"/>
        <v>10516.02</v>
      </c>
    </row>
    <row r="670" spans="1:26" x14ac:dyDescent="0.25">
      <c r="A670" s="5" t="s">
        <v>34</v>
      </c>
      <c r="B670" s="5" t="s">
        <v>202</v>
      </c>
      <c r="C670" s="5" t="s">
        <v>203</v>
      </c>
      <c r="D670" s="5" t="s">
        <v>37</v>
      </c>
      <c r="E670" s="5" t="s">
        <v>82</v>
      </c>
      <c r="F670" s="5" t="s">
        <v>83</v>
      </c>
      <c r="G670" s="5" t="s">
        <v>40</v>
      </c>
      <c r="H670" s="6">
        <v>45961</v>
      </c>
      <c r="I670" s="6">
        <v>45961</v>
      </c>
      <c r="J670" s="6">
        <v>45964</v>
      </c>
      <c r="K670" s="5" t="s">
        <v>135</v>
      </c>
      <c r="L670" s="5" t="s">
        <v>136</v>
      </c>
      <c r="M670" s="5" t="s">
        <v>43</v>
      </c>
      <c r="N670" s="5" t="s">
        <v>137</v>
      </c>
      <c r="O670" s="7">
        <v>7446.36</v>
      </c>
      <c r="P670" s="5" t="s">
        <v>45</v>
      </c>
      <c r="Q670" s="22"/>
      <c r="R670" s="8">
        <f t="shared" si="36"/>
        <v>7446.36</v>
      </c>
      <c r="S670" s="7">
        <v>7446.36</v>
      </c>
      <c r="T670" s="7"/>
      <c r="U670" s="7">
        <f t="shared" si="35"/>
        <v>7446.36</v>
      </c>
      <c r="V670" s="5" t="s">
        <v>45</v>
      </c>
      <c r="W670" s="7">
        <v>2191.39</v>
      </c>
      <c r="X670" s="5" t="s">
        <v>46</v>
      </c>
      <c r="Z670" s="8">
        <f t="shared" si="34"/>
        <v>2191.39</v>
      </c>
    </row>
    <row r="671" spans="1:26" x14ac:dyDescent="0.25">
      <c r="A671" s="5" t="s">
        <v>34</v>
      </c>
      <c r="B671" s="5" t="s">
        <v>202</v>
      </c>
      <c r="C671" s="5" t="s">
        <v>203</v>
      </c>
      <c r="D671" s="5" t="s">
        <v>37</v>
      </c>
      <c r="E671" s="5" t="s">
        <v>104</v>
      </c>
      <c r="F671" s="5" t="s">
        <v>105</v>
      </c>
      <c r="G671" s="5" t="s">
        <v>40</v>
      </c>
      <c r="H671" s="6">
        <v>45961</v>
      </c>
      <c r="I671" s="6">
        <v>45961</v>
      </c>
      <c r="J671" s="6">
        <v>45964</v>
      </c>
      <c r="K671" s="5" t="s">
        <v>135</v>
      </c>
      <c r="L671" s="5" t="s">
        <v>136</v>
      </c>
      <c r="M671" s="5" t="s">
        <v>43</v>
      </c>
      <c r="N671" s="5" t="s">
        <v>137</v>
      </c>
      <c r="O671" s="7">
        <v>4696.72</v>
      </c>
      <c r="P671" s="5" t="s">
        <v>45</v>
      </c>
      <c r="Q671" s="22"/>
      <c r="R671" s="8">
        <f t="shared" si="36"/>
        <v>4696.72</v>
      </c>
      <c r="S671" s="7">
        <v>4696.72</v>
      </c>
      <c r="T671" s="7"/>
      <c r="U671" s="7">
        <f t="shared" si="35"/>
        <v>4696.72</v>
      </c>
      <c r="V671" s="5" t="s">
        <v>45</v>
      </c>
      <c r="W671" s="7">
        <v>1382.2</v>
      </c>
      <c r="X671" s="5" t="s">
        <v>46</v>
      </c>
      <c r="Z671" s="8">
        <f t="shared" si="34"/>
        <v>1382.2</v>
      </c>
    </row>
    <row r="672" spans="1:26" x14ac:dyDescent="0.25">
      <c r="A672" s="5" t="s">
        <v>34</v>
      </c>
      <c r="B672" s="5" t="s">
        <v>202</v>
      </c>
      <c r="C672" s="5" t="s">
        <v>203</v>
      </c>
      <c r="D672" s="5" t="s">
        <v>37</v>
      </c>
      <c r="E672" s="5" t="s">
        <v>68</v>
      </c>
      <c r="F672" s="5" t="s">
        <v>69</v>
      </c>
      <c r="G672" s="5" t="s">
        <v>40</v>
      </c>
      <c r="H672" s="6">
        <v>45961</v>
      </c>
      <c r="I672" s="6">
        <v>45961</v>
      </c>
      <c r="J672" s="6">
        <v>45964</v>
      </c>
      <c r="K672" s="5" t="s">
        <v>135</v>
      </c>
      <c r="L672" s="5" t="s">
        <v>136</v>
      </c>
      <c r="M672" s="5" t="s">
        <v>43</v>
      </c>
      <c r="N672" s="5" t="s">
        <v>137</v>
      </c>
      <c r="O672" s="7">
        <v>3706.46</v>
      </c>
      <c r="P672" s="5" t="s">
        <v>45</v>
      </c>
      <c r="Q672" s="22"/>
      <c r="R672" s="8">
        <f t="shared" si="36"/>
        <v>3706.46</v>
      </c>
      <c r="S672" s="7">
        <v>3706.46</v>
      </c>
      <c r="T672" s="7"/>
      <c r="U672" s="7">
        <f t="shared" si="35"/>
        <v>3706.46</v>
      </c>
      <c r="V672" s="5" t="s">
        <v>45</v>
      </c>
      <c r="W672" s="7">
        <v>1090.78</v>
      </c>
      <c r="X672" s="5" t="s">
        <v>46</v>
      </c>
      <c r="Z672" s="8">
        <f t="shared" si="34"/>
        <v>1090.78</v>
      </c>
    </row>
    <row r="673" spans="1:26" x14ac:dyDescent="0.25">
      <c r="A673" s="5" t="s">
        <v>34</v>
      </c>
      <c r="B673" s="5" t="s">
        <v>202</v>
      </c>
      <c r="C673" s="5" t="s">
        <v>203</v>
      </c>
      <c r="D673" s="5" t="s">
        <v>37</v>
      </c>
      <c r="E673" s="5" t="s">
        <v>110</v>
      </c>
      <c r="F673" s="5" t="s">
        <v>111</v>
      </c>
      <c r="G673" s="5" t="s">
        <v>40</v>
      </c>
      <c r="H673" s="6">
        <v>45961</v>
      </c>
      <c r="I673" s="6">
        <v>45961</v>
      </c>
      <c r="J673" s="6">
        <v>45964</v>
      </c>
      <c r="K673" s="5" t="s">
        <v>135</v>
      </c>
      <c r="L673" s="5" t="s">
        <v>136</v>
      </c>
      <c r="M673" s="5" t="s">
        <v>43</v>
      </c>
      <c r="N673" s="5" t="s">
        <v>137</v>
      </c>
      <c r="O673" s="7">
        <v>12325.85</v>
      </c>
      <c r="P673" s="5" t="s">
        <v>45</v>
      </c>
      <c r="Q673" s="22"/>
      <c r="R673" s="8">
        <f t="shared" si="36"/>
        <v>12325.85</v>
      </c>
      <c r="S673" s="7">
        <v>12325.85</v>
      </c>
      <c r="T673" s="7"/>
      <c r="U673" s="7">
        <f t="shared" si="35"/>
        <v>12325.85</v>
      </c>
      <c r="V673" s="5" t="s">
        <v>45</v>
      </c>
      <c r="W673" s="7">
        <v>3627.38</v>
      </c>
      <c r="X673" s="5" t="s">
        <v>46</v>
      </c>
      <c r="Z673" s="8">
        <f t="shared" si="34"/>
        <v>3627.38</v>
      </c>
    </row>
    <row r="674" spans="1:26" x14ac:dyDescent="0.25">
      <c r="A674" s="5" t="s">
        <v>34</v>
      </c>
      <c r="B674" s="5" t="s">
        <v>202</v>
      </c>
      <c r="C674" s="5" t="s">
        <v>203</v>
      </c>
      <c r="D674" s="5" t="s">
        <v>37</v>
      </c>
      <c r="E674" s="5" t="s">
        <v>52</v>
      </c>
      <c r="F674" s="5" t="s">
        <v>53</v>
      </c>
      <c r="G674" s="5" t="s">
        <v>40</v>
      </c>
      <c r="H674" s="6">
        <v>45961</v>
      </c>
      <c r="I674" s="6">
        <v>45961</v>
      </c>
      <c r="J674" s="6">
        <v>45964</v>
      </c>
      <c r="K674" s="5" t="s">
        <v>135</v>
      </c>
      <c r="L674" s="5" t="s">
        <v>136</v>
      </c>
      <c r="M674" s="5" t="s">
        <v>43</v>
      </c>
      <c r="N674" s="5" t="s">
        <v>137</v>
      </c>
      <c r="O674" s="7">
        <v>455.01</v>
      </c>
      <c r="P674" s="5" t="s">
        <v>45</v>
      </c>
      <c r="Q674" s="22"/>
      <c r="R674" s="8">
        <f t="shared" si="36"/>
        <v>455.01</v>
      </c>
      <c r="S674" s="7">
        <v>455.01</v>
      </c>
      <c r="T674" s="7"/>
      <c r="U674" s="7">
        <f t="shared" si="35"/>
        <v>455.01</v>
      </c>
      <c r="V674" s="5" t="s">
        <v>45</v>
      </c>
      <c r="W674" s="7">
        <v>133.91</v>
      </c>
      <c r="X674" s="5" t="s">
        <v>46</v>
      </c>
      <c r="Z674" s="8">
        <f t="shared" si="34"/>
        <v>133.91</v>
      </c>
    </row>
    <row r="675" spans="1:26" x14ac:dyDescent="0.25">
      <c r="A675" s="5" t="s">
        <v>34</v>
      </c>
      <c r="B675" s="5" t="s">
        <v>202</v>
      </c>
      <c r="C675" s="5" t="s">
        <v>203</v>
      </c>
      <c r="D675" s="5" t="s">
        <v>37</v>
      </c>
      <c r="E675" s="5" t="s">
        <v>110</v>
      </c>
      <c r="F675" s="5" t="s">
        <v>111</v>
      </c>
      <c r="G675" s="5" t="s">
        <v>40</v>
      </c>
      <c r="H675" s="6">
        <v>45961</v>
      </c>
      <c r="I675" s="6">
        <v>45961</v>
      </c>
      <c r="J675" s="6">
        <v>45960</v>
      </c>
      <c r="K675" s="5" t="s">
        <v>150</v>
      </c>
      <c r="L675" s="5" t="s">
        <v>151</v>
      </c>
      <c r="M675" s="5" t="s">
        <v>43</v>
      </c>
      <c r="N675" s="5" t="s">
        <v>152</v>
      </c>
      <c r="O675" s="7">
        <v>208.01</v>
      </c>
      <c r="P675" s="5" t="s">
        <v>45</v>
      </c>
      <c r="Q675" s="22"/>
      <c r="R675" s="8">
        <f t="shared" si="36"/>
        <v>208.01</v>
      </c>
      <c r="S675" s="7">
        <v>208.01</v>
      </c>
      <c r="T675" s="7"/>
      <c r="U675" s="7">
        <f t="shared" si="35"/>
        <v>208.01</v>
      </c>
      <c r="V675" s="5" t="s">
        <v>45</v>
      </c>
      <c r="W675" s="7">
        <v>61.29</v>
      </c>
      <c r="X675" s="5" t="s">
        <v>46</v>
      </c>
      <c r="Z675" s="8">
        <f t="shared" si="34"/>
        <v>61.29</v>
      </c>
    </row>
    <row r="676" spans="1:26" x14ac:dyDescent="0.25">
      <c r="A676" s="5" t="s">
        <v>34</v>
      </c>
      <c r="B676" s="5" t="s">
        <v>202</v>
      </c>
      <c r="C676" s="5" t="s">
        <v>203</v>
      </c>
      <c r="D676" s="5" t="s">
        <v>37</v>
      </c>
      <c r="E676" s="5" t="s">
        <v>62</v>
      </c>
      <c r="F676" s="5" t="s">
        <v>63</v>
      </c>
      <c r="G676" s="5" t="s">
        <v>40</v>
      </c>
      <c r="H676" s="6">
        <v>45961</v>
      </c>
      <c r="I676" s="6">
        <v>45961</v>
      </c>
      <c r="J676" s="6">
        <v>45964</v>
      </c>
      <c r="K676" s="5" t="s">
        <v>135</v>
      </c>
      <c r="L676" s="5" t="s">
        <v>136</v>
      </c>
      <c r="M676" s="5" t="s">
        <v>43</v>
      </c>
      <c r="N676" s="5" t="s">
        <v>137</v>
      </c>
      <c r="O676" s="7">
        <v>7007.68</v>
      </c>
      <c r="P676" s="5" t="s">
        <v>45</v>
      </c>
      <c r="Q676" s="22"/>
      <c r="R676" s="8">
        <f t="shared" si="36"/>
        <v>7007.68</v>
      </c>
      <c r="S676" s="7">
        <v>7007.68</v>
      </c>
      <c r="T676" s="7"/>
      <c r="U676" s="7">
        <f t="shared" si="35"/>
        <v>7007.68</v>
      </c>
      <c r="V676" s="5" t="s">
        <v>45</v>
      </c>
      <c r="W676" s="7">
        <v>2062.3000000000002</v>
      </c>
      <c r="X676" s="5" t="s">
        <v>46</v>
      </c>
      <c r="Z676" s="8">
        <f t="shared" si="34"/>
        <v>2062.3000000000002</v>
      </c>
    </row>
    <row r="677" spans="1:26" x14ac:dyDescent="0.25">
      <c r="A677" s="5" t="s">
        <v>34</v>
      </c>
      <c r="B677" s="5" t="s">
        <v>202</v>
      </c>
      <c r="C677" s="5" t="s">
        <v>203</v>
      </c>
      <c r="D677" s="5" t="s">
        <v>37</v>
      </c>
      <c r="E677" s="5" t="s">
        <v>72</v>
      </c>
      <c r="F677" s="5" t="s">
        <v>73</v>
      </c>
      <c r="G677" s="5" t="s">
        <v>40</v>
      </c>
      <c r="H677" s="6">
        <v>45961</v>
      </c>
      <c r="I677" s="6">
        <v>45961</v>
      </c>
      <c r="J677" s="6">
        <v>45964</v>
      </c>
      <c r="K677" s="5" t="s">
        <v>135</v>
      </c>
      <c r="L677" s="5" t="s">
        <v>136</v>
      </c>
      <c r="M677" s="5" t="s">
        <v>43</v>
      </c>
      <c r="N677" s="5" t="s">
        <v>137</v>
      </c>
      <c r="O677" s="7">
        <v>897.58</v>
      </c>
      <c r="P677" s="5" t="s">
        <v>45</v>
      </c>
      <c r="Q677" s="22"/>
      <c r="R677" s="8">
        <f t="shared" si="36"/>
        <v>897.58</v>
      </c>
      <c r="S677" s="7">
        <v>897.58</v>
      </c>
      <c r="T677" s="7"/>
      <c r="U677" s="7">
        <f t="shared" si="35"/>
        <v>897.58</v>
      </c>
      <c r="V677" s="5" t="s">
        <v>45</v>
      </c>
      <c r="W677" s="7">
        <v>264.14999999999998</v>
      </c>
      <c r="X677" s="5" t="s">
        <v>46</v>
      </c>
      <c r="Z677" s="8">
        <f t="shared" si="34"/>
        <v>264.14999999999998</v>
      </c>
    </row>
    <row r="678" spans="1:26" x14ac:dyDescent="0.25">
      <c r="A678" s="5" t="s">
        <v>34</v>
      </c>
      <c r="B678" s="5" t="s">
        <v>213</v>
      </c>
      <c r="C678" s="5" t="s">
        <v>214</v>
      </c>
      <c r="D678" s="5" t="s">
        <v>37</v>
      </c>
      <c r="E678" s="5" t="s">
        <v>52</v>
      </c>
      <c r="F678" s="5" t="s">
        <v>53</v>
      </c>
      <c r="G678" s="5" t="s">
        <v>40</v>
      </c>
      <c r="H678" s="6">
        <v>45961</v>
      </c>
      <c r="I678" s="6">
        <v>45961</v>
      </c>
      <c r="J678" s="6">
        <v>45964</v>
      </c>
      <c r="K678" s="5" t="s">
        <v>41</v>
      </c>
      <c r="L678" s="5" t="s">
        <v>42</v>
      </c>
      <c r="M678" s="5" t="s">
        <v>43</v>
      </c>
      <c r="N678" s="5" t="s">
        <v>44</v>
      </c>
      <c r="O678" s="7">
        <v>8.85</v>
      </c>
      <c r="P678" s="5" t="s">
        <v>45</v>
      </c>
      <c r="Q678" s="22"/>
      <c r="R678" s="8">
        <f t="shared" si="36"/>
        <v>8.85</v>
      </c>
      <c r="S678" s="7">
        <v>8.85</v>
      </c>
      <c r="T678" s="7"/>
      <c r="U678" s="7">
        <f t="shared" si="35"/>
        <v>8.85</v>
      </c>
      <c r="V678" s="5" t="s">
        <v>45</v>
      </c>
      <c r="W678" s="7">
        <v>2.6</v>
      </c>
      <c r="X678" s="5" t="s">
        <v>46</v>
      </c>
      <c r="Z678" s="8">
        <f t="shared" si="34"/>
        <v>2.6</v>
      </c>
    </row>
    <row r="679" spans="1:26" x14ac:dyDescent="0.25">
      <c r="A679" s="5" t="s">
        <v>34</v>
      </c>
      <c r="B679" s="5" t="s">
        <v>213</v>
      </c>
      <c r="C679" s="5" t="s">
        <v>214</v>
      </c>
      <c r="D679" s="5" t="s">
        <v>37</v>
      </c>
      <c r="E679" s="5" t="s">
        <v>62</v>
      </c>
      <c r="F679" s="5" t="s">
        <v>63</v>
      </c>
      <c r="G679" s="5" t="s">
        <v>40</v>
      </c>
      <c r="H679" s="6">
        <v>45961</v>
      </c>
      <c r="I679" s="6">
        <v>45961</v>
      </c>
      <c r="J679" s="6">
        <v>45964</v>
      </c>
      <c r="K679" s="5" t="s">
        <v>41</v>
      </c>
      <c r="L679" s="5" t="s">
        <v>42</v>
      </c>
      <c r="M679" s="5" t="s">
        <v>43</v>
      </c>
      <c r="N679" s="5" t="s">
        <v>44</v>
      </c>
      <c r="O679" s="7">
        <v>17.97</v>
      </c>
      <c r="P679" s="5" t="s">
        <v>45</v>
      </c>
      <c r="Q679" s="22"/>
      <c r="R679" s="8">
        <f t="shared" si="36"/>
        <v>17.97</v>
      </c>
      <c r="S679" s="7">
        <v>17.97</v>
      </c>
      <c r="T679" s="7"/>
      <c r="U679" s="7">
        <f t="shared" si="35"/>
        <v>17.97</v>
      </c>
      <c r="V679" s="5" t="s">
        <v>45</v>
      </c>
      <c r="W679" s="7">
        <v>5.29</v>
      </c>
      <c r="X679" s="5" t="s">
        <v>46</v>
      </c>
      <c r="Z679" s="8">
        <f t="shared" si="34"/>
        <v>5.29</v>
      </c>
    </row>
    <row r="680" spans="1:26" x14ac:dyDescent="0.25">
      <c r="A680" s="5" t="s">
        <v>34</v>
      </c>
      <c r="B680" s="5" t="s">
        <v>213</v>
      </c>
      <c r="C680" s="5" t="s">
        <v>214</v>
      </c>
      <c r="D680" s="5" t="s">
        <v>37</v>
      </c>
      <c r="E680" s="5" t="s">
        <v>72</v>
      </c>
      <c r="F680" s="5" t="s">
        <v>73</v>
      </c>
      <c r="G680" s="5" t="s">
        <v>40</v>
      </c>
      <c r="H680" s="6">
        <v>45961</v>
      </c>
      <c r="I680" s="6">
        <v>45961</v>
      </c>
      <c r="J680" s="6">
        <v>45964</v>
      </c>
      <c r="K680" s="5" t="s">
        <v>41</v>
      </c>
      <c r="L680" s="5" t="s">
        <v>42</v>
      </c>
      <c r="M680" s="5" t="s">
        <v>43</v>
      </c>
      <c r="N680" s="5" t="s">
        <v>44</v>
      </c>
      <c r="O680" s="7">
        <v>16.440000000000001</v>
      </c>
      <c r="P680" s="5" t="s">
        <v>45</v>
      </c>
      <c r="Q680" s="22"/>
      <c r="R680" s="8">
        <f t="shared" si="36"/>
        <v>16.440000000000001</v>
      </c>
      <c r="S680" s="7">
        <v>16.440000000000001</v>
      </c>
      <c r="T680" s="7"/>
      <c r="U680" s="7">
        <f t="shared" si="35"/>
        <v>16.440000000000001</v>
      </c>
      <c r="V680" s="5" t="s">
        <v>45</v>
      </c>
      <c r="W680" s="7">
        <v>4.84</v>
      </c>
      <c r="X680" s="5" t="s">
        <v>46</v>
      </c>
      <c r="Z680" s="8">
        <f t="shared" si="34"/>
        <v>4.84</v>
      </c>
    </row>
    <row r="681" spans="1:26" x14ac:dyDescent="0.25">
      <c r="A681" s="5" t="s">
        <v>34</v>
      </c>
      <c r="B681" s="5" t="s">
        <v>213</v>
      </c>
      <c r="C681" s="5" t="s">
        <v>214</v>
      </c>
      <c r="D681" s="5" t="s">
        <v>37</v>
      </c>
      <c r="E681" s="5" t="s">
        <v>64</v>
      </c>
      <c r="F681" s="5" t="s">
        <v>65</v>
      </c>
      <c r="G681" s="5" t="s">
        <v>40</v>
      </c>
      <c r="H681" s="6">
        <v>45961</v>
      </c>
      <c r="I681" s="6">
        <v>45961</v>
      </c>
      <c r="J681" s="6">
        <v>45964</v>
      </c>
      <c r="K681" s="5" t="s">
        <v>41</v>
      </c>
      <c r="L681" s="5" t="s">
        <v>42</v>
      </c>
      <c r="M681" s="5" t="s">
        <v>43</v>
      </c>
      <c r="N681" s="5" t="s">
        <v>44</v>
      </c>
      <c r="O681" s="7">
        <v>10.8</v>
      </c>
      <c r="P681" s="5" t="s">
        <v>45</v>
      </c>
      <c r="Q681" s="22"/>
      <c r="R681" s="8">
        <f t="shared" si="36"/>
        <v>10.8</v>
      </c>
      <c r="S681" s="7">
        <v>10.8</v>
      </c>
      <c r="T681" s="7"/>
      <c r="U681" s="7">
        <f t="shared" si="35"/>
        <v>10.8</v>
      </c>
      <c r="V681" s="5" t="s">
        <v>45</v>
      </c>
      <c r="W681" s="7">
        <v>3.18</v>
      </c>
      <c r="X681" s="5" t="s">
        <v>46</v>
      </c>
      <c r="Z681" s="8">
        <f t="shared" si="34"/>
        <v>3.18</v>
      </c>
    </row>
    <row r="682" spans="1:26" x14ac:dyDescent="0.25">
      <c r="A682" s="5" t="s">
        <v>34</v>
      </c>
      <c r="B682" s="5" t="s">
        <v>213</v>
      </c>
      <c r="C682" s="5" t="s">
        <v>214</v>
      </c>
      <c r="D682" s="5" t="s">
        <v>37</v>
      </c>
      <c r="E682" s="5" t="s">
        <v>94</v>
      </c>
      <c r="F682" s="5" t="s">
        <v>95</v>
      </c>
      <c r="G682" s="5" t="s">
        <v>40</v>
      </c>
      <c r="H682" s="6">
        <v>45961</v>
      </c>
      <c r="I682" s="6">
        <v>45961</v>
      </c>
      <c r="J682" s="6">
        <v>45964</v>
      </c>
      <c r="K682" s="5" t="s">
        <v>41</v>
      </c>
      <c r="L682" s="5" t="s">
        <v>42</v>
      </c>
      <c r="M682" s="5" t="s">
        <v>43</v>
      </c>
      <c r="N682" s="5" t="s">
        <v>44</v>
      </c>
      <c r="O682" s="7">
        <v>203.79</v>
      </c>
      <c r="P682" s="5" t="s">
        <v>45</v>
      </c>
      <c r="Q682" s="22"/>
      <c r="R682" s="8">
        <f t="shared" si="36"/>
        <v>203.79</v>
      </c>
      <c r="S682" s="7">
        <v>203.79</v>
      </c>
      <c r="T682" s="7"/>
      <c r="U682" s="7">
        <f t="shared" si="35"/>
        <v>203.79</v>
      </c>
      <c r="V682" s="5" t="s">
        <v>45</v>
      </c>
      <c r="W682" s="7">
        <v>59.97</v>
      </c>
      <c r="X682" s="5" t="s">
        <v>46</v>
      </c>
      <c r="Z682" s="8">
        <f t="shared" si="34"/>
        <v>59.97</v>
      </c>
    </row>
    <row r="683" spans="1:26" x14ac:dyDescent="0.25">
      <c r="A683" s="5" t="s">
        <v>34</v>
      </c>
      <c r="B683" s="5" t="s">
        <v>213</v>
      </c>
      <c r="C683" s="5" t="s">
        <v>214</v>
      </c>
      <c r="D683" s="5" t="s">
        <v>37</v>
      </c>
      <c r="E683" s="5" t="s">
        <v>56</v>
      </c>
      <c r="F683" s="5" t="s">
        <v>57</v>
      </c>
      <c r="G683" s="5" t="s">
        <v>40</v>
      </c>
      <c r="H683" s="6">
        <v>45961</v>
      </c>
      <c r="I683" s="6">
        <v>45961</v>
      </c>
      <c r="J683" s="6">
        <v>45964</v>
      </c>
      <c r="K683" s="5" t="s">
        <v>41</v>
      </c>
      <c r="L683" s="5" t="s">
        <v>42</v>
      </c>
      <c r="M683" s="5" t="s">
        <v>43</v>
      </c>
      <c r="N683" s="5" t="s">
        <v>44</v>
      </c>
      <c r="O683" s="7">
        <v>157.25</v>
      </c>
      <c r="P683" s="5" t="s">
        <v>45</v>
      </c>
      <c r="Q683" s="22"/>
      <c r="R683" s="8">
        <f t="shared" si="36"/>
        <v>157.25</v>
      </c>
      <c r="S683" s="7">
        <v>157.25</v>
      </c>
      <c r="T683" s="7"/>
      <c r="U683" s="7">
        <f t="shared" si="35"/>
        <v>157.25</v>
      </c>
      <c r="V683" s="5" t="s">
        <v>45</v>
      </c>
      <c r="W683" s="7">
        <v>46.28</v>
      </c>
      <c r="X683" s="5" t="s">
        <v>46</v>
      </c>
      <c r="Z683" s="8">
        <f t="shared" si="34"/>
        <v>46.28</v>
      </c>
    </row>
    <row r="684" spans="1:26" x14ac:dyDescent="0.25">
      <c r="A684" s="5" t="s">
        <v>34</v>
      </c>
      <c r="B684" s="5" t="s">
        <v>213</v>
      </c>
      <c r="C684" s="5" t="s">
        <v>214</v>
      </c>
      <c r="D684" s="5" t="s">
        <v>37</v>
      </c>
      <c r="E684" s="5" t="s">
        <v>108</v>
      </c>
      <c r="F684" s="5" t="s">
        <v>109</v>
      </c>
      <c r="G684" s="5" t="s">
        <v>40</v>
      </c>
      <c r="H684" s="6">
        <v>45961</v>
      </c>
      <c r="I684" s="6">
        <v>45961</v>
      </c>
      <c r="J684" s="6">
        <v>45964</v>
      </c>
      <c r="K684" s="5" t="s">
        <v>41</v>
      </c>
      <c r="L684" s="5" t="s">
        <v>42</v>
      </c>
      <c r="M684" s="5" t="s">
        <v>43</v>
      </c>
      <c r="N684" s="5" t="s">
        <v>44</v>
      </c>
      <c r="O684" s="7">
        <v>32.03</v>
      </c>
      <c r="P684" s="5" t="s">
        <v>45</v>
      </c>
      <c r="Q684" s="22"/>
      <c r="R684" s="8">
        <f t="shared" si="36"/>
        <v>32.03</v>
      </c>
      <c r="S684" s="7">
        <v>32.03</v>
      </c>
      <c r="T684" s="7"/>
      <c r="U684" s="7">
        <f t="shared" si="35"/>
        <v>32.03</v>
      </c>
      <c r="V684" s="5" t="s">
        <v>45</v>
      </c>
      <c r="W684" s="7">
        <v>9.43</v>
      </c>
      <c r="X684" s="5" t="s">
        <v>46</v>
      </c>
      <c r="Z684" s="8">
        <f t="shared" si="34"/>
        <v>9.43</v>
      </c>
    </row>
    <row r="685" spans="1:26" x14ac:dyDescent="0.25">
      <c r="A685" s="5" t="s">
        <v>34</v>
      </c>
      <c r="B685" s="5" t="s">
        <v>213</v>
      </c>
      <c r="C685" s="5" t="s">
        <v>214</v>
      </c>
      <c r="D685" s="5" t="s">
        <v>37</v>
      </c>
      <c r="E685" s="5" t="s">
        <v>86</v>
      </c>
      <c r="F685" s="5" t="s">
        <v>87</v>
      </c>
      <c r="G685" s="5" t="s">
        <v>40</v>
      </c>
      <c r="H685" s="6">
        <v>45961</v>
      </c>
      <c r="I685" s="6">
        <v>45961</v>
      </c>
      <c r="J685" s="6">
        <v>45964</v>
      </c>
      <c r="K685" s="5" t="s">
        <v>41</v>
      </c>
      <c r="L685" s="5" t="s">
        <v>42</v>
      </c>
      <c r="M685" s="5" t="s">
        <v>43</v>
      </c>
      <c r="N685" s="5" t="s">
        <v>44</v>
      </c>
      <c r="O685" s="7">
        <v>35.53</v>
      </c>
      <c r="P685" s="5" t="s">
        <v>45</v>
      </c>
      <c r="Q685" s="22"/>
      <c r="R685" s="8">
        <f t="shared" si="36"/>
        <v>35.53</v>
      </c>
      <c r="S685" s="7">
        <v>35.53</v>
      </c>
      <c r="T685" s="7"/>
      <c r="U685" s="7">
        <f t="shared" si="35"/>
        <v>35.53</v>
      </c>
      <c r="V685" s="5" t="s">
        <v>45</v>
      </c>
      <c r="W685" s="7">
        <v>10.46</v>
      </c>
      <c r="X685" s="5" t="s">
        <v>46</v>
      </c>
      <c r="Z685" s="8">
        <f t="shared" si="34"/>
        <v>10.46</v>
      </c>
    </row>
    <row r="686" spans="1:26" x14ac:dyDescent="0.25">
      <c r="A686" s="5" t="s">
        <v>34</v>
      </c>
      <c r="B686" s="5" t="s">
        <v>213</v>
      </c>
      <c r="C686" s="5" t="s">
        <v>214</v>
      </c>
      <c r="D686" s="5" t="s">
        <v>37</v>
      </c>
      <c r="E686" s="5" t="s">
        <v>112</v>
      </c>
      <c r="F686" s="5" t="s">
        <v>113</v>
      </c>
      <c r="G686" s="5" t="s">
        <v>40</v>
      </c>
      <c r="H686" s="6">
        <v>45961</v>
      </c>
      <c r="I686" s="6">
        <v>45961</v>
      </c>
      <c r="J686" s="6">
        <v>45964</v>
      </c>
      <c r="K686" s="5" t="s">
        <v>41</v>
      </c>
      <c r="L686" s="5" t="s">
        <v>42</v>
      </c>
      <c r="M686" s="5" t="s">
        <v>43</v>
      </c>
      <c r="N686" s="5" t="s">
        <v>44</v>
      </c>
      <c r="O686" s="7">
        <v>11.83</v>
      </c>
      <c r="P686" s="5" t="s">
        <v>45</v>
      </c>
      <c r="Q686" s="22"/>
      <c r="R686" s="8">
        <f t="shared" si="36"/>
        <v>11.83</v>
      </c>
      <c r="S686" s="7">
        <v>11.83</v>
      </c>
      <c r="T686" s="7"/>
      <c r="U686" s="7">
        <f t="shared" si="35"/>
        <v>11.83</v>
      </c>
      <c r="V686" s="5" t="s">
        <v>45</v>
      </c>
      <c r="W686" s="7">
        <v>3.48</v>
      </c>
      <c r="X686" s="5" t="s">
        <v>46</v>
      </c>
      <c r="Z686" s="8">
        <f t="shared" si="34"/>
        <v>3.48</v>
      </c>
    </row>
    <row r="687" spans="1:26" x14ac:dyDescent="0.25">
      <c r="A687" s="5" t="s">
        <v>34</v>
      </c>
      <c r="B687" s="5" t="s">
        <v>213</v>
      </c>
      <c r="C687" s="5" t="s">
        <v>214</v>
      </c>
      <c r="D687" s="5" t="s">
        <v>37</v>
      </c>
      <c r="E687" s="5" t="s">
        <v>50</v>
      </c>
      <c r="F687" s="5" t="s">
        <v>51</v>
      </c>
      <c r="G687" s="5" t="s">
        <v>40</v>
      </c>
      <c r="H687" s="6">
        <v>45961</v>
      </c>
      <c r="I687" s="6">
        <v>45961</v>
      </c>
      <c r="J687" s="6">
        <v>45964</v>
      </c>
      <c r="K687" s="5" t="s">
        <v>41</v>
      </c>
      <c r="L687" s="5" t="s">
        <v>42</v>
      </c>
      <c r="M687" s="5" t="s">
        <v>43</v>
      </c>
      <c r="N687" s="5" t="s">
        <v>44</v>
      </c>
      <c r="O687" s="7">
        <v>37.29</v>
      </c>
      <c r="P687" s="5" t="s">
        <v>45</v>
      </c>
      <c r="Q687" s="22"/>
      <c r="R687" s="8">
        <f t="shared" si="36"/>
        <v>37.29</v>
      </c>
      <c r="S687" s="7">
        <v>37.29</v>
      </c>
      <c r="T687" s="7"/>
      <c r="U687" s="7">
        <f t="shared" si="35"/>
        <v>37.29</v>
      </c>
      <c r="V687" s="5" t="s">
        <v>45</v>
      </c>
      <c r="W687" s="7">
        <v>10.97</v>
      </c>
      <c r="X687" s="5" t="s">
        <v>46</v>
      </c>
      <c r="Z687" s="8">
        <f t="shared" si="34"/>
        <v>10.97</v>
      </c>
    </row>
    <row r="688" spans="1:26" x14ac:dyDescent="0.25">
      <c r="A688" s="5" t="s">
        <v>34</v>
      </c>
      <c r="B688" s="5" t="s">
        <v>213</v>
      </c>
      <c r="C688" s="5" t="s">
        <v>214</v>
      </c>
      <c r="D688" s="5" t="s">
        <v>37</v>
      </c>
      <c r="E688" s="5" t="s">
        <v>102</v>
      </c>
      <c r="F688" s="5" t="s">
        <v>103</v>
      </c>
      <c r="G688" s="5" t="s">
        <v>40</v>
      </c>
      <c r="H688" s="6">
        <v>45961</v>
      </c>
      <c r="I688" s="6">
        <v>45961</v>
      </c>
      <c r="J688" s="6">
        <v>45964</v>
      </c>
      <c r="K688" s="5" t="s">
        <v>41</v>
      </c>
      <c r="L688" s="5" t="s">
        <v>42</v>
      </c>
      <c r="M688" s="5" t="s">
        <v>43</v>
      </c>
      <c r="N688" s="5" t="s">
        <v>44</v>
      </c>
      <c r="O688" s="7">
        <v>48.96</v>
      </c>
      <c r="P688" s="5" t="s">
        <v>45</v>
      </c>
      <c r="Q688" s="22"/>
      <c r="R688" s="8">
        <f t="shared" si="36"/>
        <v>48.96</v>
      </c>
      <c r="S688" s="7">
        <v>48.96</v>
      </c>
      <c r="T688" s="7"/>
      <c r="U688" s="7">
        <f t="shared" si="35"/>
        <v>48.96</v>
      </c>
      <c r="V688" s="5" t="s">
        <v>45</v>
      </c>
      <c r="W688" s="7">
        <v>14.41</v>
      </c>
      <c r="X688" s="5" t="s">
        <v>46</v>
      </c>
      <c r="Z688" s="8">
        <f t="shared" si="34"/>
        <v>14.41</v>
      </c>
    </row>
    <row r="689" spans="1:26" x14ac:dyDescent="0.25">
      <c r="A689" s="5" t="s">
        <v>34</v>
      </c>
      <c r="B689" s="5" t="s">
        <v>213</v>
      </c>
      <c r="C689" s="5" t="s">
        <v>214</v>
      </c>
      <c r="D689" s="5" t="s">
        <v>37</v>
      </c>
      <c r="E689" s="5" t="s">
        <v>116</v>
      </c>
      <c r="F689" s="5" t="s">
        <v>117</v>
      </c>
      <c r="G689" s="5" t="s">
        <v>40</v>
      </c>
      <c r="H689" s="6">
        <v>45961</v>
      </c>
      <c r="I689" s="6">
        <v>45961</v>
      </c>
      <c r="J689" s="6">
        <v>45964</v>
      </c>
      <c r="K689" s="5" t="s">
        <v>41</v>
      </c>
      <c r="L689" s="5" t="s">
        <v>42</v>
      </c>
      <c r="M689" s="5" t="s">
        <v>43</v>
      </c>
      <c r="N689" s="5" t="s">
        <v>44</v>
      </c>
      <c r="O689" s="7">
        <v>34.74</v>
      </c>
      <c r="P689" s="5" t="s">
        <v>45</v>
      </c>
      <c r="Q689" s="22"/>
      <c r="R689" s="8">
        <f t="shared" si="36"/>
        <v>34.74</v>
      </c>
      <c r="S689" s="7">
        <v>34.74</v>
      </c>
      <c r="T689" s="7"/>
      <c r="U689" s="7">
        <f t="shared" si="35"/>
        <v>34.74</v>
      </c>
      <c r="V689" s="5" t="s">
        <v>45</v>
      </c>
      <c r="W689" s="7">
        <v>10.220000000000001</v>
      </c>
      <c r="X689" s="5" t="s">
        <v>46</v>
      </c>
      <c r="Z689" s="8">
        <f t="shared" si="34"/>
        <v>10.220000000000001</v>
      </c>
    </row>
    <row r="690" spans="1:26" x14ac:dyDescent="0.25">
      <c r="A690" s="5" t="s">
        <v>34</v>
      </c>
      <c r="B690" s="5" t="s">
        <v>213</v>
      </c>
      <c r="C690" s="5" t="s">
        <v>214</v>
      </c>
      <c r="D690" s="5" t="s">
        <v>37</v>
      </c>
      <c r="E690" s="5" t="s">
        <v>80</v>
      </c>
      <c r="F690" s="5" t="s">
        <v>81</v>
      </c>
      <c r="G690" s="5" t="s">
        <v>40</v>
      </c>
      <c r="H690" s="6">
        <v>45961</v>
      </c>
      <c r="I690" s="6">
        <v>45961</v>
      </c>
      <c r="J690" s="6">
        <v>45964</v>
      </c>
      <c r="K690" s="5" t="s">
        <v>41</v>
      </c>
      <c r="L690" s="5" t="s">
        <v>42</v>
      </c>
      <c r="M690" s="5" t="s">
        <v>43</v>
      </c>
      <c r="N690" s="5" t="s">
        <v>44</v>
      </c>
      <c r="O690" s="7">
        <v>28.09</v>
      </c>
      <c r="P690" s="5" t="s">
        <v>45</v>
      </c>
      <c r="Q690" s="22"/>
      <c r="R690" s="8">
        <f t="shared" si="36"/>
        <v>28.09</v>
      </c>
      <c r="S690" s="7">
        <v>28.09</v>
      </c>
      <c r="T690" s="7"/>
      <c r="U690" s="7">
        <f t="shared" si="35"/>
        <v>28.09</v>
      </c>
      <c r="V690" s="5" t="s">
        <v>45</v>
      </c>
      <c r="W690" s="7">
        <v>8.27</v>
      </c>
      <c r="X690" s="5" t="s">
        <v>46</v>
      </c>
      <c r="Z690" s="8">
        <f t="shared" si="34"/>
        <v>8.27</v>
      </c>
    </row>
    <row r="691" spans="1:26" x14ac:dyDescent="0.25">
      <c r="A691" s="5" t="s">
        <v>34</v>
      </c>
      <c r="B691" s="5" t="s">
        <v>213</v>
      </c>
      <c r="C691" s="5" t="s">
        <v>214</v>
      </c>
      <c r="D691" s="5" t="s">
        <v>37</v>
      </c>
      <c r="E691" s="5" t="s">
        <v>100</v>
      </c>
      <c r="F691" s="5" t="s">
        <v>101</v>
      </c>
      <c r="G691" s="5" t="s">
        <v>40</v>
      </c>
      <c r="H691" s="6">
        <v>45961</v>
      </c>
      <c r="I691" s="6">
        <v>45961</v>
      </c>
      <c r="J691" s="6">
        <v>45964</v>
      </c>
      <c r="K691" s="5" t="s">
        <v>41</v>
      </c>
      <c r="L691" s="5" t="s">
        <v>42</v>
      </c>
      <c r="M691" s="5" t="s">
        <v>43</v>
      </c>
      <c r="N691" s="5" t="s">
        <v>44</v>
      </c>
      <c r="O691" s="7">
        <v>46.28</v>
      </c>
      <c r="P691" s="5" t="s">
        <v>45</v>
      </c>
      <c r="Q691" s="22"/>
      <c r="R691" s="8">
        <f t="shared" si="36"/>
        <v>46.28</v>
      </c>
      <c r="S691" s="7">
        <v>46.28</v>
      </c>
      <c r="T691" s="7"/>
      <c r="U691" s="7">
        <f t="shared" si="35"/>
        <v>46.28</v>
      </c>
      <c r="V691" s="5" t="s">
        <v>45</v>
      </c>
      <c r="W691" s="7">
        <v>13.62</v>
      </c>
      <c r="X691" s="5" t="s">
        <v>46</v>
      </c>
      <c r="Z691" s="8">
        <f t="shared" si="34"/>
        <v>13.62</v>
      </c>
    </row>
    <row r="692" spans="1:26" x14ac:dyDescent="0.25">
      <c r="A692" s="5" t="s">
        <v>34</v>
      </c>
      <c r="B692" s="5" t="s">
        <v>213</v>
      </c>
      <c r="C692" s="5" t="s">
        <v>214</v>
      </c>
      <c r="D692" s="5" t="s">
        <v>37</v>
      </c>
      <c r="E692" s="5" t="s">
        <v>66</v>
      </c>
      <c r="F692" s="5" t="s">
        <v>67</v>
      </c>
      <c r="G692" s="5" t="s">
        <v>40</v>
      </c>
      <c r="H692" s="6">
        <v>45961</v>
      </c>
      <c r="I692" s="6">
        <v>45961</v>
      </c>
      <c r="J692" s="6">
        <v>45964</v>
      </c>
      <c r="K692" s="5" t="s">
        <v>41</v>
      </c>
      <c r="L692" s="5" t="s">
        <v>42</v>
      </c>
      <c r="M692" s="5" t="s">
        <v>43</v>
      </c>
      <c r="N692" s="5" t="s">
        <v>44</v>
      </c>
      <c r="O692" s="7">
        <v>88.36</v>
      </c>
      <c r="P692" s="5" t="s">
        <v>45</v>
      </c>
      <c r="Q692" s="22"/>
      <c r="R692" s="8">
        <f t="shared" si="36"/>
        <v>88.36</v>
      </c>
      <c r="S692" s="7">
        <v>88.36</v>
      </c>
      <c r="T692" s="7"/>
      <c r="U692" s="7">
        <f t="shared" si="35"/>
        <v>88.36</v>
      </c>
      <c r="V692" s="5" t="s">
        <v>45</v>
      </c>
      <c r="W692" s="7">
        <v>26</v>
      </c>
      <c r="X692" s="5" t="s">
        <v>46</v>
      </c>
      <c r="Z692" s="8">
        <f t="shared" si="34"/>
        <v>26</v>
      </c>
    </row>
    <row r="693" spans="1:26" x14ac:dyDescent="0.25">
      <c r="A693" s="5" t="s">
        <v>34</v>
      </c>
      <c r="B693" s="5" t="s">
        <v>213</v>
      </c>
      <c r="C693" s="5" t="s">
        <v>214</v>
      </c>
      <c r="D693" s="5" t="s">
        <v>37</v>
      </c>
      <c r="E693" s="5" t="s">
        <v>70</v>
      </c>
      <c r="F693" s="5" t="s">
        <v>71</v>
      </c>
      <c r="G693" s="5" t="s">
        <v>40</v>
      </c>
      <c r="H693" s="6">
        <v>45961</v>
      </c>
      <c r="I693" s="6">
        <v>45961</v>
      </c>
      <c r="J693" s="6">
        <v>45964</v>
      </c>
      <c r="K693" s="5" t="s">
        <v>41</v>
      </c>
      <c r="L693" s="5" t="s">
        <v>42</v>
      </c>
      <c r="M693" s="5" t="s">
        <v>43</v>
      </c>
      <c r="N693" s="5" t="s">
        <v>44</v>
      </c>
      <c r="O693" s="7">
        <v>32.590000000000003</v>
      </c>
      <c r="P693" s="5" t="s">
        <v>45</v>
      </c>
      <c r="Q693" s="22"/>
      <c r="R693" s="8">
        <f t="shared" si="36"/>
        <v>32.590000000000003</v>
      </c>
      <c r="S693" s="7">
        <v>32.590000000000003</v>
      </c>
      <c r="T693" s="7"/>
      <c r="U693" s="7">
        <f t="shared" si="35"/>
        <v>32.590000000000003</v>
      </c>
      <c r="V693" s="5" t="s">
        <v>45</v>
      </c>
      <c r="W693" s="7">
        <v>9.59</v>
      </c>
      <c r="X693" s="5" t="s">
        <v>46</v>
      </c>
      <c r="Z693" s="8">
        <f t="shared" si="34"/>
        <v>9.59</v>
      </c>
    </row>
    <row r="694" spans="1:26" x14ac:dyDescent="0.25">
      <c r="A694" s="5" t="s">
        <v>34</v>
      </c>
      <c r="B694" s="5" t="s">
        <v>213</v>
      </c>
      <c r="C694" s="5" t="s">
        <v>214</v>
      </c>
      <c r="D694" s="5" t="s">
        <v>37</v>
      </c>
      <c r="E694" s="5" t="s">
        <v>54</v>
      </c>
      <c r="F694" s="5" t="s">
        <v>55</v>
      </c>
      <c r="G694" s="5" t="s">
        <v>40</v>
      </c>
      <c r="H694" s="6">
        <v>45961</v>
      </c>
      <c r="I694" s="6">
        <v>45961</v>
      </c>
      <c r="J694" s="6">
        <v>45964</v>
      </c>
      <c r="K694" s="5" t="s">
        <v>41</v>
      </c>
      <c r="L694" s="5" t="s">
        <v>42</v>
      </c>
      <c r="M694" s="5" t="s">
        <v>43</v>
      </c>
      <c r="N694" s="5" t="s">
        <v>44</v>
      </c>
      <c r="O694" s="7">
        <v>21.3</v>
      </c>
      <c r="P694" s="5" t="s">
        <v>45</v>
      </c>
      <c r="Q694" s="22"/>
      <c r="R694" s="8">
        <f t="shared" si="36"/>
        <v>21.3</v>
      </c>
      <c r="S694" s="7">
        <v>21.3</v>
      </c>
      <c r="T694" s="7"/>
      <c r="U694" s="7">
        <f t="shared" si="35"/>
        <v>21.3</v>
      </c>
      <c r="V694" s="5" t="s">
        <v>45</v>
      </c>
      <c r="W694" s="7">
        <v>6.27</v>
      </c>
      <c r="X694" s="5" t="s">
        <v>46</v>
      </c>
      <c r="Z694" s="8">
        <f t="shared" si="34"/>
        <v>6.27</v>
      </c>
    </row>
    <row r="695" spans="1:26" x14ac:dyDescent="0.25">
      <c r="A695" s="5" t="s">
        <v>34</v>
      </c>
      <c r="B695" s="5" t="s">
        <v>213</v>
      </c>
      <c r="C695" s="5" t="s">
        <v>214</v>
      </c>
      <c r="D695" s="5" t="s">
        <v>37</v>
      </c>
      <c r="E695" s="5" t="s">
        <v>122</v>
      </c>
      <c r="F695" s="5" t="s">
        <v>123</v>
      </c>
      <c r="G695" s="5" t="s">
        <v>40</v>
      </c>
      <c r="H695" s="6">
        <v>45961</v>
      </c>
      <c r="I695" s="6">
        <v>45961</v>
      </c>
      <c r="J695" s="6">
        <v>45964</v>
      </c>
      <c r="K695" s="5" t="s">
        <v>41</v>
      </c>
      <c r="L695" s="5" t="s">
        <v>42</v>
      </c>
      <c r="M695" s="5" t="s">
        <v>43</v>
      </c>
      <c r="N695" s="5" t="s">
        <v>44</v>
      </c>
      <c r="O695" s="7">
        <v>17.28</v>
      </c>
      <c r="P695" s="5" t="s">
        <v>45</v>
      </c>
      <c r="Q695" s="22"/>
      <c r="R695" s="8">
        <f t="shared" si="36"/>
        <v>17.28</v>
      </c>
      <c r="S695" s="7">
        <v>17.28</v>
      </c>
      <c r="T695" s="7"/>
      <c r="U695" s="7">
        <f t="shared" si="35"/>
        <v>17.28</v>
      </c>
      <c r="V695" s="5" t="s">
        <v>45</v>
      </c>
      <c r="W695" s="7">
        <v>5.09</v>
      </c>
      <c r="X695" s="5" t="s">
        <v>46</v>
      </c>
      <c r="Z695" s="8">
        <f t="shared" si="34"/>
        <v>5.09</v>
      </c>
    </row>
    <row r="696" spans="1:26" x14ac:dyDescent="0.25">
      <c r="A696" s="5" t="s">
        <v>34</v>
      </c>
      <c r="B696" s="5" t="s">
        <v>213</v>
      </c>
      <c r="C696" s="5" t="s">
        <v>214</v>
      </c>
      <c r="D696" s="5" t="s">
        <v>37</v>
      </c>
      <c r="E696" s="5" t="s">
        <v>96</v>
      </c>
      <c r="F696" s="5" t="s">
        <v>97</v>
      </c>
      <c r="G696" s="5" t="s">
        <v>40</v>
      </c>
      <c r="H696" s="6">
        <v>45961</v>
      </c>
      <c r="I696" s="6">
        <v>45961</v>
      </c>
      <c r="J696" s="6">
        <v>45964</v>
      </c>
      <c r="K696" s="5" t="s">
        <v>41</v>
      </c>
      <c r="L696" s="5" t="s">
        <v>42</v>
      </c>
      <c r="M696" s="5" t="s">
        <v>43</v>
      </c>
      <c r="N696" s="5" t="s">
        <v>44</v>
      </c>
      <c r="O696" s="7">
        <v>148.05000000000001</v>
      </c>
      <c r="P696" s="5" t="s">
        <v>45</v>
      </c>
      <c r="Q696" s="22"/>
      <c r="R696" s="8">
        <f t="shared" si="36"/>
        <v>148.05000000000001</v>
      </c>
      <c r="S696" s="7">
        <v>148.05000000000001</v>
      </c>
      <c r="T696" s="7"/>
      <c r="U696" s="7">
        <f t="shared" si="35"/>
        <v>148.05000000000001</v>
      </c>
      <c r="V696" s="5" t="s">
        <v>45</v>
      </c>
      <c r="W696" s="7">
        <v>43.57</v>
      </c>
      <c r="X696" s="5" t="s">
        <v>46</v>
      </c>
      <c r="Z696" s="8">
        <f t="shared" si="34"/>
        <v>43.57</v>
      </c>
    </row>
    <row r="697" spans="1:26" x14ac:dyDescent="0.25">
      <c r="A697" s="5" t="s">
        <v>34</v>
      </c>
      <c r="B697" s="5" t="s">
        <v>213</v>
      </c>
      <c r="C697" s="5" t="s">
        <v>214</v>
      </c>
      <c r="D697" s="5" t="s">
        <v>37</v>
      </c>
      <c r="E697" s="5" t="s">
        <v>114</v>
      </c>
      <c r="F697" s="5" t="s">
        <v>115</v>
      </c>
      <c r="G697" s="5" t="s">
        <v>40</v>
      </c>
      <c r="H697" s="6">
        <v>45961</v>
      </c>
      <c r="I697" s="6">
        <v>45961</v>
      </c>
      <c r="J697" s="6">
        <v>45964</v>
      </c>
      <c r="K697" s="5" t="s">
        <v>41</v>
      </c>
      <c r="L697" s="5" t="s">
        <v>42</v>
      </c>
      <c r="M697" s="5" t="s">
        <v>43</v>
      </c>
      <c r="N697" s="5" t="s">
        <v>44</v>
      </c>
      <c r="O697" s="7">
        <v>106.89</v>
      </c>
      <c r="P697" s="5" t="s">
        <v>45</v>
      </c>
      <c r="Q697" s="22"/>
      <c r="R697" s="8">
        <f t="shared" si="36"/>
        <v>106.89</v>
      </c>
      <c r="S697" s="7">
        <v>106.89</v>
      </c>
      <c r="T697" s="7"/>
      <c r="U697" s="7">
        <f t="shared" si="35"/>
        <v>106.89</v>
      </c>
      <c r="V697" s="5" t="s">
        <v>45</v>
      </c>
      <c r="W697" s="7">
        <v>31.46</v>
      </c>
      <c r="X697" s="5" t="s">
        <v>46</v>
      </c>
      <c r="Z697" s="8">
        <f t="shared" si="34"/>
        <v>31.46</v>
      </c>
    </row>
    <row r="698" spans="1:26" x14ac:dyDescent="0.25">
      <c r="A698" s="5" t="s">
        <v>34</v>
      </c>
      <c r="B698" s="5" t="s">
        <v>213</v>
      </c>
      <c r="C698" s="5" t="s">
        <v>214</v>
      </c>
      <c r="D698" s="5" t="s">
        <v>37</v>
      </c>
      <c r="E698" s="5" t="s">
        <v>90</v>
      </c>
      <c r="F698" s="5" t="s">
        <v>91</v>
      </c>
      <c r="G698" s="5" t="s">
        <v>40</v>
      </c>
      <c r="H698" s="6">
        <v>45961</v>
      </c>
      <c r="I698" s="6">
        <v>45961</v>
      </c>
      <c r="J698" s="6">
        <v>45964</v>
      </c>
      <c r="K698" s="5" t="s">
        <v>41</v>
      </c>
      <c r="L698" s="5" t="s">
        <v>42</v>
      </c>
      <c r="M698" s="5" t="s">
        <v>43</v>
      </c>
      <c r="N698" s="5" t="s">
        <v>44</v>
      </c>
      <c r="O698" s="7">
        <v>24.86</v>
      </c>
      <c r="P698" s="5" t="s">
        <v>45</v>
      </c>
      <c r="Q698" s="22"/>
      <c r="R698" s="8">
        <f t="shared" si="36"/>
        <v>24.86</v>
      </c>
      <c r="S698" s="7">
        <v>24.86</v>
      </c>
      <c r="T698" s="7"/>
      <c r="U698" s="7">
        <f t="shared" si="35"/>
        <v>24.86</v>
      </c>
      <c r="V698" s="5" t="s">
        <v>45</v>
      </c>
      <c r="W698" s="7">
        <v>7.32</v>
      </c>
      <c r="X698" s="5" t="s">
        <v>46</v>
      </c>
      <c r="Z698" s="8">
        <f t="shared" si="34"/>
        <v>7.32</v>
      </c>
    </row>
    <row r="699" spans="1:26" x14ac:dyDescent="0.25">
      <c r="A699" s="5" t="s">
        <v>34</v>
      </c>
      <c r="B699" s="5" t="s">
        <v>213</v>
      </c>
      <c r="C699" s="5" t="s">
        <v>214</v>
      </c>
      <c r="D699" s="5" t="s">
        <v>37</v>
      </c>
      <c r="E699" s="5" t="s">
        <v>60</v>
      </c>
      <c r="F699" s="5" t="s">
        <v>61</v>
      </c>
      <c r="G699" s="5" t="s">
        <v>40</v>
      </c>
      <c r="H699" s="6">
        <v>45961</v>
      </c>
      <c r="I699" s="6">
        <v>45961</v>
      </c>
      <c r="J699" s="6">
        <v>45964</v>
      </c>
      <c r="K699" s="5" t="s">
        <v>41</v>
      </c>
      <c r="L699" s="5" t="s">
        <v>42</v>
      </c>
      <c r="M699" s="5" t="s">
        <v>43</v>
      </c>
      <c r="N699" s="5" t="s">
        <v>44</v>
      </c>
      <c r="O699" s="7">
        <v>185.27</v>
      </c>
      <c r="P699" s="5" t="s">
        <v>45</v>
      </c>
      <c r="Q699" s="22"/>
      <c r="R699" s="8">
        <f t="shared" si="36"/>
        <v>185.27</v>
      </c>
      <c r="S699" s="7">
        <v>185.27</v>
      </c>
      <c r="T699" s="7"/>
      <c r="U699" s="7">
        <f t="shared" si="35"/>
        <v>185.27</v>
      </c>
      <c r="V699" s="5" t="s">
        <v>45</v>
      </c>
      <c r="W699" s="7">
        <v>54.52</v>
      </c>
      <c r="X699" s="5" t="s">
        <v>46</v>
      </c>
      <c r="Z699" s="8">
        <f t="shared" si="34"/>
        <v>54.52</v>
      </c>
    </row>
    <row r="700" spans="1:26" x14ac:dyDescent="0.25">
      <c r="A700" s="5" t="s">
        <v>34</v>
      </c>
      <c r="B700" s="5" t="s">
        <v>213</v>
      </c>
      <c r="C700" s="5" t="s">
        <v>214</v>
      </c>
      <c r="D700" s="5" t="s">
        <v>37</v>
      </c>
      <c r="E700" s="5" t="s">
        <v>38</v>
      </c>
      <c r="F700" s="5" t="s">
        <v>39</v>
      </c>
      <c r="G700" s="5" t="s">
        <v>40</v>
      </c>
      <c r="H700" s="6">
        <v>45961</v>
      </c>
      <c r="I700" s="6">
        <v>45961</v>
      </c>
      <c r="J700" s="6">
        <v>45964</v>
      </c>
      <c r="K700" s="5" t="s">
        <v>41</v>
      </c>
      <c r="L700" s="5" t="s">
        <v>42</v>
      </c>
      <c r="M700" s="5" t="s">
        <v>43</v>
      </c>
      <c r="N700" s="5" t="s">
        <v>44</v>
      </c>
      <c r="O700" s="7">
        <v>13.95</v>
      </c>
      <c r="P700" s="5" t="s">
        <v>45</v>
      </c>
      <c r="Q700" s="22"/>
      <c r="R700" s="8">
        <f t="shared" si="36"/>
        <v>13.95</v>
      </c>
      <c r="S700" s="7">
        <v>13.95</v>
      </c>
      <c r="T700" s="7"/>
      <c r="U700" s="7">
        <f t="shared" si="35"/>
        <v>13.95</v>
      </c>
      <c r="V700" s="5" t="s">
        <v>45</v>
      </c>
      <c r="W700" s="7">
        <v>4.1100000000000003</v>
      </c>
      <c r="X700" s="5" t="s">
        <v>46</v>
      </c>
      <c r="Z700" s="8">
        <f t="shared" si="34"/>
        <v>4.1100000000000003</v>
      </c>
    </row>
    <row r="701" spans="1:26" x14ac:dyDescent="0.25">
      <c r="A701" s="5" t="s">
        <v>34</v>
      </c>
      <c r="B701" s="5" t="s">
        <v>213</v>
      </c>
      <c r="C701" s="5" t="s">
        <v>214</v>
      </c>
      <c r="D701" s="5" t="s">
        <v>37</v>
      </c>
      <c r="E701" s="5" t="s">
        <v>98</v>
      </c>
      <c r="F701" s="5" t="s">
        <v>99</v>
      </c>
      <c r="G701" s="5" t="s">
        <v>40</v>
      </c>
      <c r="H701" s="6">
        <v>45961</v>
      </c>
      <c r="I701" s="6">
        <v>45961</v>
      </c>
      <c r="J701" s="6">
        <v>45964</v>
      </c>
      <c r="K701" s="5" t="s">
        <v>41</v>
      </c>
      <c r="L701" s="5" t="s">
        <v>42</v>
      </c>
      <c r="M701" s="5" t="s">
        <v>43</v>
      </c>
      <c r="N701" s="5" t="s">
        <v>44</v>
      </c>
      <c r="O701" s="7">
        <v>84.8</v>
      </c>
      <c r="P701" s="5" t="s">
        <v>45</v>
      </c>
      <c r="Q701" s="22"/>
      <c r="R701" s="8">
        <f t="shared" si="36"/>
        <v>84.8</v>
      </c>
      <c r="S701" s="7">
        <v>84.8</v>
      </c>
      <c r="T701" s="7"/>
      <c r="U701" s="7">
        <f t="shared" si="35"/>
        <v>84.8</v>
      </c>
      <c r="V701" s="5" t="s">
        <v>45</v>
      </c>
      <c r="W701" s="7">
        <v>24.96</v>
      </c>
      <c r="X701" s="5" t="s">
        <v>46</v>
      </c>
      <c r="Z701" s="8">
        <f t="shared" si="34"/>
        <v>24.96</v>
      </c>
    </row>
    <row r="702" spans="1:26" x14ac:dyDescent="0.25">
      <c r="A702" s="5" t="s">
        <v>34</v>
      </c>
      <c r="B702" s="5" t="s">
        <v>213</v>
      </c>
      <c r="C702" s="5" t="s">
        <v>214</v>
      </c>
      <c r="D702" s="5" t="s">
        <v>37</v>
      </c>
      <c r="E702" s="5" t="s">
        <v>92</v>
      </c>
      <c r="F702" s="5" t="s">
        <v>93</v>
      </c>
      <c r="G702" s="5" t="s">
        <v>40</v>
      </c>
      <c r="H702" s="6">
        <v>45961</v>
      </c>
      <c r="I702" s="6">
        <v>45961</v>
      </c>
      <c r="J702" s="6">
        <v>45964</v>
      </c>
      <c r="K702" s="5" t="s">
        <v>41</v>
      </c>
      <c r="L702" s="5" t="s">
        <v>42</v>
      </c>
      <c r="M702" s="5" t="s">
        <v>43</v>
      </c>
      <c r="N702" s="5" t="s">
        <v>44</v>
      </c>
      <c r="O702" s="7">
        <v>32.94</v>
      </c>
      <c r="P702" s="5" t="s">
        <v>45</v>
      </c>
      <c r="Q702" s="22"/>
      <c r="R702" s="8">
        <f t="shared" si="36"/>
        <v>32.94</v>
      </c>
      <c r="S702" s="7">
        <v>32.94</v>
      </c>
      <c r="T702" s="7"/>
      <c r="U702" s="7">
        <f t="shared" si="35"/>
        <v>32.94</v>
      </c>
      <c r="V702" s="5" t="s">
        <v>45</v>
      </c>
      <c r="W702" s="7">
        <v>9.69</v>
      </c>
      <c r="X702" s="5" t="s">
        <v>46</v>
      </c>
      <c r="Z702" s="8">
        <f t="shared" si="34"/>
        <v>9.69</v>
      </c>
    </row>
    <row r="703" spans="1:26" x14ac:dyDescent="0.25">
      <c r="A703" s="5" t="s">
        <v>34</v>
      </c>
      <c r="B703" s="5" t="s">
        <v>213</v>
      </c>
      <c r="C703" s="5" t="s">
        <v>214</v>
      </c>
      <c r="D703" s="5" t="s">
        <v>37</v>
      </c>
      <c r="E703" s="5" t="s">
        <v>48</v>
      </c>
      <c r="F703" s="5" t="s">
        <v>49</v>
      </c>
      <c r="G703" s="5" t="s">
        <v>40</v>
      </c>
      <c r="H703" s="6">
        <v>45961</v>
      </c>
      <c r="I703" s="6">
        <v>45961</v>
      </c>
      <c r="J703" s="6">
        <v>45964</v>
      </c>
      <c r="K703" s="5" t="s">
        <v>41</v>
      </c>
      <c r="L703" s="5" t="s">
        <v>42</v>
      </c>
      <c r="M703" s="5" t="s">
        <v>43</v>
      </c>
      <c r="N703" s="5" t="s">
        <v>44</v>
      </c>
      <c r="O703" s="7">
        <v>32.729999999999997</v>
      </c>
      <c r="P703" s="5" t="s">
        <v>45</v>
      </c>
      <c r="Q703" s="22"/>
      <c r="R703" s="8">
        <f t="shared" si="36"/>
        <v>32.729999999999997</v>
      </c>
      <c r="S703" s="7">
        <v>32.729999999999997</v>
      </c>
      <c r="T703" s="7"/>
      <c r="U703" s="7">
        <f t="shared" si="35"/>
        <v>32.729999999999997</v>
      </c>
      <c r="V703" s="5" t="s">
        <v>45</v>
      </c>
      <c r="W703" s="7">
        <v>9.6300000000000008</v>
      </c>
      <c r="X703" s="5" t="s">
        <v>46</v>
      </c>
      <c r="Z703" s="8">
        <f t="shared" si="34"/>
        <v>9.6300000000000008</v>
      </c>
    </row>
    <row r="704" spans="1:26" x14ac:dyDescent="0.25">
      <c r="A704" s="5" t="s">
        <v>34</v>
      </c>
      <c r="B704" s="5" t="s">
        <v>213</v>
      </c>
      <c r="C704" s="5" t="s">
        <v>214</v>
      </c>
      <c r="D704" s="5" t="s">
        <v>37</v>
      </c>
      <c r="E704" s="5" t="s">
        <v>84</v>
      </c>
      <c r="F704" s="5" t="s">
        <v>85</v>
      </c>
      <c r="G704" s="5" t="s">
        <v>40</v>
      </c>
      <c r="H704" s="6">
        <v>45961</v>
      </c>
      <c r="I704" s="6">
        <v>45961</v>
      </c>
      <c r="J704" s="6">
        <v>45964</v>
      </c>
      <c r="K704" s="5" t="s">
        <v>41</v>
      </c>
      <c r="L704" s="5" t="s">
        <v>42</v>
      </c>
      <c r="M704" s="5" t="s">
        <v>43</v>
      </c>
      <c r="N704" s="5" t="s">
        <v>44</v>
      </c>
      <c r="O704" s="7">
        <v>77.83</v>
      </c>
      <c r="P704" s="5" t="s">
        <v>45</v>
      </c>
      <c r="Q704" s="22"/>
      <c r="R704" s="8">
        <f t="shared" si="36"/>
        <v>77.83</v>
      </c>
      <c r="S704" s="7">
        <v>77.83</v>
      </c>
      <c r="T704" s="7"/>
      <c r="U704" s="7">
        <f t="shared" si="35"/>
        <v>77.83</v>
      </c>
      <c r="V704" s="5" t="s">
        <v>45</v>
      </c>
      <c r="W704" s="7">
        <v>22.9</v>
      </c>
      <c r="X704" s="5" t="s">
        <v>46</v>
      </c>
      <c r="Z704" s="8">
        <f t="shared" si="34"/>
        <v>22.9</v>
      </c>
    </row>
    <row r="705" spans="1:26" x14ac:dyDescent="0.25">
      <c r="A705" s="5" t="s">
        <v>34</v>
      </c>
      <c r="B705" s="5" t="s">
        <v>213</v>
      </c>
      <c r="C705" s="5" t="s">
        <v>214</v>
      </c>
      <c r="D705" s="5" t="s">
        <v>37</v>
      </c>
      <c r="E705" s="5" t="s">
        <v>110</v>
      </c>
      <c r="F705" s="5" t="s">
        <v>111</v>
      </c>
      <c r="G705" s="5" t="s">
        <v>40</v>
      </c>
      <c r="H705" s="6">
        <v>45961</v>
      </c>
      <c r="I705" s="6">
        <v>45961</v>
      </c>
      <c r="J705" s="6">
        <v>45964</v>
      </c>
      <c r="K705" s="5" t="s">
        <v>41</v>
      </c>
      <c r="L705" s="5" t="s">
        <v>42</v>
      </c>
      <c r="M705" s="5" t="s">
        <v>43</v>
      </c>
      <c r="N705" s="5" t="s">
        <v>44</v>
      </c>
      <c r="O705" s="7">
        <v>35.130000000000003</v>
      </c>
      <c r="P705" s="5" t="s">
        <v>45</v>
      </c>
      <c r="Q705" s="22"/>
      <c r="R705" s="8">
        <f t="shared" si="36"/>
        <v>35.130000000000003</v>
      </c>
      <c r="S705" s="7">
        <v>35.130000000000003</v>
      </c>
      <c r="T705" s="7"/>
      <c r="U705" s="7">
        <f t="shared" si="35"/>
        <v>35.130000000000003</v>
      </c>
      <c r="V705" s="5" t="s">
        <v>45</v>
      </c>
      <c r="W705" s="7">
        <v>10.34</v>
      </c>
      <c r="X705" s="5" t="s">
        <v>46</v>
      </c>
      <c r="Z705" s="8">
        <f t="shared" si="34"/>
        <v>10.34</v>
      </c>
    </row>
    <row r="706" spans="1:26" x14ac:dyDescent="0.25">
      <c r="A706" s="5" t="s">
        <v>34</v>
      </c>
      <c r="B706" s="5" t="s">
        <v>213</v>
      </c>
      <c r="C706" s="5" t="s">
        <v>214</v>
      </c>
      <c r="D706" s="5" t="s">
        <v>37</v>
      </c>
      <c r="E706" s="5" t="s">
        <v>76</v>
      </c>
      <c r="F706" s="5" t="s">
        <v>77</v>
      </c>
      <c r="G706" s="5" t="s">
        <v>40</v>
      </c>
      <c r="H706" s="6">
        <v>45961</v>
      </c>
      <c r="I706" s="6">
        <v>45961</v>
      </c>
      <c r="J706" s="6">
        <v>45964</v>
      </c>
      <c r="K706" s="5" t="s">
        <v>41</v>
      </c>
      <c r="L706" s="5" t="s">
        <v>42</v>
      </c>
      <c r="M706" s="5" t="s">
        <v>43</v>
      </c>
      <c r="N706" s="5" t="s">
        <v>44</v>
      </c>
      <c r="O706" s="7">
        <v>12.04</v>
      </c>
      <c r="P706" s="5" t="s">
        <v>45</v>
      </c>
      <c r="Q706" s="22"/>
      <c r="R706" s="8">
        <f t="shared" si="36"/>
        <v>12.04</v>
      </c>
      <c r="S706" s="7">
        <v>12.04</v>
      </c>
      <c r="T706" s="7"/>
      <c r="U706" s="7">
        <f t="shared" si="35"/>
        <v>12.04</v>
      </c>
      <c r="V706" s="5" t="s">
        <v>45</v>
      </c>
      <c r="W706" s="7">
        <v>3.54</v>
      </c>
      <c r="X706" s="5" t="s">
        <v>46</v>
      </c>
      <c r="Z706" s="8">
        <f t="shared" ref="Z706:Z769" si="37">+W706+Y706</f>
        <v>3.54</v>
      </c>
    </row>
    <row r="707" spans="1:26" x14ac:dyDescent="0.25">
      <c r="A707" s="5" t="s">
        <v>34</v>
      </c>
      <c r="B707" s="5" t="s">
        <v>213</v>
      </c>
      <c r="C707" s="5" t="s">
        <v>214</v>
      </c>
      <c r="D707" s="5" t="s">
        <v>37</v>
      </c>
      <c r="E707" s="5" t="s">
        <v>82</v>
      </c>
      <c r="F707" s="5" t="s">
        <v>83</v>
      </c>
      <c r="G707" s="5" t="s">
        <v>40</v>
      </c>
      <c r="H707" s="6">
        <v>45961</v>
      </c>
      <c r="I707" s="6">
        <v>45961</v>
      </c>
      <c r="J707" s="6">
        <v>45964</v>
      </c>
      <c r="K707" s="5" t="s">
        <v>41</v>
      </c>
      <c r="L707" s="5" t="s">
        <v>42</v>
      </c>
      <c r="M707" s="5" t="s">
        <v>43</v>
      </c>
      <c r="N707" s="5" t="s">
        <v>44</v>
      </c>
      <c r="O707" s="7">
        <v>30.85</v>
      </c>
      <c r="P707" s="5" t="s">
        <v>45</v>
      </c>
      <c r="Q707" s="22"/>
      <c r="R707" s="8">
        <f t="shared" si="36"/>
        <v>30.85</v>
      </c>
      <c r="S707" s="7">
        <v>30.85</v>
      </c>
      <c r="T707" s="7"/>
      <c r="U707" s="7">
        <f t="shared" ref="U707:U770" si="38">+S707+T707</f>
        <v>30.85</v>
      </c>
      <c r="V707" s="5" t="s">
        <v>45</v>
      </c>
      <c r="W707" s="7">
        <v>9.08</v>
      </c>
      <c r="X707" s="5" t="s">
        <v>46</v>
      </c>
      <c r="Z707" s="8">
        <f t="shared" si="37"/>
        <v>9.08</v>
      </c>
    </row>
    <row r="708" spans="1:26" x14ac:dyDescent="0.25">
      <c r="A708" s="5" t="s">
        <v>34</v>
      </c>
      <c r="B708" s="5" t="s">
        <v>213</v>
      </c>
      <c r="C708" s="5" t="s">
        <v>214</v>
      </c>
      <c r="D708" s="5" t="s">
        <v>37</v>
      </c>
      <c r="E708" s="5" t="s">
        <v>68</v>
      </c>
      <c r="F708" s="5" t="s">
        <v>69</v>
      </c>
      <c r="G708" s="5" t="s">
        <v>40</v>
      </c>
      <c r="H708" s="6">
        <v>45961</v>
      </c>
      <c r="I708" s="6">
        <v>45961</v>
      </c>
      <c r="J708" s="6">
        <v>45964</v>
      </c>
      <c r="K708" s="5" t="s">
        <v>41</v>
      </c>
      <c r="L708" s="5" t="s">
        <v>42</v>
      </c>
      <c r="M708" s="5" t="s">
        <v>43</v>
      </c>
      <c r="N708" s="5" t="s">
        <v>44</v>
      </c>
      <c r="O708" s="7">
        <v>17.29</v>
      </c>
      <c r="P708" s="5" t="s">
        <v>45</v>
      </c>
      <c r="Q708" s="22"/>
      <c r="R708" s="8">
        <f t="shared" si="36"/>
        <v>17.29</v>
      </c>
      <c r="S708" s="7">
        <v>17.29</v>
      </c>
      <c r="T708" s="7"/>
      <c r="U708" s="7">
        <f t="shared" si="38"/>
        <v>17.29</v>
      </c>
      <c r="V708" s="5" t="s">
        <v>45</v>
      </c>
      <c r="W708" s="7">
        <v>5.09</v>
      </c>
      <c r="X708" s="5" t="s">
        <v>46</v>
      </c>
      <c r="Z708" s="8">
        <f t="shared" si="37"/>
        <v>5.09</v>
      </c>
    </row>
    <row r="709" spans="1:26" x14ac:dyDescent="0.25">
      <c r="A709" s="5" t="s">
        <v>34</v>
      </c>
      <c r="B709" s="5" t="s">
        <v>213</v>
      </c>
      <c r="C709" s="5" t="s">
        <v>214</v>
      </c>
      <c r="D709" s="5" t="s">
        <v>37</v>
      </c>
      <c r="E709" s="5" t="s">
        <v>58</v>
      </c>
      <c r="F709" s="5" t="s">
        <v>59</v>
      </c>
      <c r="G709" s="5" t="s">
        <v>40</v>
      </c>
      <c r="H709" s="6">
        <v>45961</v>
      </c>
      <c r="I709" s="6">
        <v>45961</v>
      </c>
      <c r="J709" s="6">
        <v>45964</v>
      </c>
      <c r="K709" s="5" t="s">
        <v>41</v>
      </c>
      <c r="L709" s="5" t="s">
        <v>42</v>
      </c>
      <c r="M709" s="5" t="s">
        <v>43</v>
      </c>
      <c r="N709" s="5" t="s">
        <v>44</v>
      </c>
      <c r="O709" s="7">
        <v>147.09</v>
      </c>
      <c r="P709" s="5" t="s">
        <v>45</v>
      </c>
      <c r="Q709" s="22"/>
      <c r="R709" s="8">
        <f t="shared" si="36"/>
        <v>147.09</v>
      </c>
      <c r="S709" s="7">
        <v>147.09</v>
      </c>
      <c r="T709" s="7"/>
      <c r="U709" s="7">
        <f t="shared" si="38"/>
        <v>147.09</v>
      </c>
      <c r="V709" s="5" t="s">
        <v>45</v>
      </c>
      <c r="W709" s="7">
        <v>43.29</v>
      </c>
      <c r="X709" s="5" t="s">
        <v>46</v>
      </c>
      <c r="Z709" s="8">
        <f t="shared" si="37"/>
        <v>43.29</v>
      </c>
    </row>
    <row r="710" spans="1:26" x14ac:dyDescent="0.25">
      <c r="A710" s="5" t="s">
        <v>34</v>
      </c>
      <c r="B710" s="5" t="s">
        <v>213</v>
      </c>
      <c r="C710" s="5" t="s">
        <v>214</v>
      </c>
      <c r="D710" s="5" t="s">
        <v>37</v>
      </c>
      <c r="E710" s="5" t="s">
        <v>118</v>
      </c>
      <c r="F710" s="5" t="s">
        <v>119</v>
      </c>
      <c r="G710" s="5" t="s">
        <v>40</v>
      </c>
      <c r="H710" s="6">
        <v>45961</v>
      </c>
      <c r="I710" s="6">
        <v>45961</v>
      </c>
      <c r="J710" s="6">
        <v>45964</v>
      </c>
      <c r="K710" s="5" t="s">
        <v>41</v>
      </c>
      <c r="L710" s="5" t="s">
        <v>42</v>
      </c>
      <c r="M710" s="5" t="s">
        <v>43</v>
      </c>
      <c r="N710" s="5" t="s">
        <v>44</v>
      </c>
      <c r="O710" s="7">
        <v>13.79</v>
      </c>
      <c r="P710" s="5" t="s">
        <v>45</v>
      </c>
      <c r="Q710" s="22"/>
      <c r="R710" s="8">
        <f t="shared" si="36"/>
        <v>13.79</v>
      </c>
      <c r="S710" s="7">
        <v>13.79</v>
      </c>
      <c r="T710" s="7"/>
      <c r="U710" s="7">
        <f t="shared" si="38"/>
        <v>13.79</v>
      </c>
      <c r="V710" s="5" t="s">
        <v>45</v>
      </c>
      <c r="W710" s="7">
        <v>4.0599999999999996</v>
      </c>
      <c r="X710" s="5" t="s">
        <v>46</v>
      </c>
      <c r="Z710" s="8">
        <f t="shared" si="37"/>
        <v>4.0599999999999996</v>
      </c>
    </row>
    <row r="711" spans="1:26" x14ac:dyDescent="0.25">
      <c r="A711" s="5" t="s">
        <v>34</v>
      </c>
      <c r="B711" s="5" t="s">
        <v>213</v>
      </c>
      <c r="C711" s="5" t="s">
        <v>214</v>
      </c>
      <c r="D711" s="5" t="s">
        <v>37</v>
      </c>
      <c r="E711" s="5" t="s">
        <v>74</v>
      </c>
      <c r="F711" s="5" t="s">
        <v>75</v>
      </c>
      <c r="G711" s="5" t="s">
        <v>40</v>
      </c>
      <c r="H711" s="6">
        <v>45961</v>
      </c>
      <c r="I711" s="6">
        <v>45961</v>
      </c>
      <c r="J711" s="6">
        <v>45964</v>
      </c>
      <c r="K711" s="5" t="s">
        <v>41</v>
      </c>
      <c r="L711" s="5" t="s">
        <v>42</v>
      </c>
      <c r="M711" s="5" t="s">
        <v>43</v>
      </c>
      <c r="N711" s="5" t="s">
        <v>44</v>
      </c>
      <c r="O711" s="7">
        <v>93.87</v>
      </c>
      <c r="P711" s="5" t="s">
        <v>45</v>
      </c>
      <c r="Q711" s="22"/>
      <c r="R711" s="8">
        <f t="shared" si="36"/>
        <v>93.87</v>
      </c>
      <c r="S711" s="7">
        <v>93.87</v>
      </c>
      <c r="T711" s="7"/>
      <c r="U711" s="7">
        <f t="shared" si="38"/>
        <v>93.87</v>
      </c>
      <c r="V711" s="5" t="s">
        <v>45</v>
      </c>
      <c r="W711" s="7">
        <v>27.63</v>
      </c>
      <c r="X711" s="5" t="s">
        <v>46</v>
      </c>
      <c r="Z711" s="8">
        <f t="shared" si="37"/>
        <v>27.63</v>
      </c>
    </row>
    <row r="712" spans="1:26" x14ac:dyDescent="0.25">
      <c r="A712" s="5" t="s">
        <v>34</v>
      </c>
      <c r="B712" s="5" t="s">
        <v>213</v>
      </c>
      <c r="C712" s="5" t="s">
        <v>214</v>
      </c>
      <c r="D712" s="5" t="s">
        <v>37</v>
      </c>
      <c r="E712" s="5" t="s">
        <v>78</v>
      </c>
      <c r="F712" s="5" t="s">
        <v>79</v>
      </c>
      <c r="G712" s="5" t="s">
        <v>40</v>
      </c>
      <c r="H712" s="6">
        <v>45961</v>
      </c>
      <c r="I712" s="6">
        <v>45961</v>
      </c>
      <c r="J712" s="6">
        <v>45964</v>
      </c>
      <c r="K712" s="5" t="s">
        <v>41</v>
      </c>
      <c r="L712" s="5" t="s">
        <v>42</v>
      </c>
      <c r="M712" s="5" t="s">
        <v>43</v>
      </c>
      <c r="N712" s="5" t="s">
        <v>44</v>
      </c>
      <c r="O712" s="7">
        <v>13.56</v>
      </c>
      <c r="P712" s="5" t="s">
        <v>45</v>
      </c>
      <c r="Q712" s="22"/>
      <c r="R712" s="8">
        <f t="shared" si="36"/>
        <v>13.56</v>
      </c>
      <c r="S712" s="7">
        <v>13.56</v>
      </c>
      <c r="T712" s="7"/>
      <c r="U712" s="7">
        <f t="shared" si="38"/>
        <v>13.56</v>
      </c>
      <c r="V712" s="5" t="s">
        <v>45</v>
      </c>
      <c r="W712" s="7">
        <v>3.99</v>
      </c>
      <c r="X712" s="5" t="s">
        <v>46</v>
      </c>
      <c r="Z712" s="8">
        <f t="shared" si="37"/>
        <v>3.99</v>
      </c>
    </row>
    <row r="713" spans="1:26" x14ac:dyDescent="0.25">
      <c r="A713" s="5" t="s">
        <v>34</v>
      </c>
      <c r="B713" s="5" t="s">
        <v>213</v>
      </c>
      <c r="C713" s="5" t="s">
        <v>214</v>
      </c>
      <c r="D713" s="5" t="s">
        <v>37</v>
      </c>
      <c r="E713" s="5" t="s">
        <v>104</v>
      </c>
      <c r="F713" s="5" t="s">
        <v>105</v>
      </c>
      <c r="G713" s="5" t="s">
        <v>40</v>
      </c>
      <c r="H713" s="6">
        <v>45961</v>
      </c>
      <c r="I713" s="6">
        <v>45961</v>
      </c>
      <c r="J713" s="6">
        <v>45964</v>
      </c>
      <c r="K713" s="5" t="s">
        <v>41</v>
      </c>
      <c r="L713" s="5" t="s">
        <v>42</v>
      </c>
      <c r="M713" s="5" t="s">
        <v>43</v>
      </c>
      <c r="N713" s="5" t="s">
        <v>44</v>
      </c>
      <c r="O713" s="7">
        <v>77.290000000000006</v>
      </c>
      <c r="P713" s="5" t="s">
        <v>45</v>
      </c>
      <c r="Q713" s="22"/>
      <c r="R713" s="8">
        <f t="shared" si="36"/>
        <v>77.290000000000006</v>
      </c>
      <c r="S713" s="7">
        <v>77.290000000000006</v>
      </c>
      <c r="T713" s="7"/>
      <c r="U713" s="7">
        <f t="shared" si="38"/>
        <v>77.290000000000006</v>
      </c>
      <c r="V713" s="5" t="s">
        <v>45</v>
      </c>
      <c r="W713" s="7">
        <v>22.75</v>
      </c>
      <c r="X713" s="5" t="s">
        <v>46</v>
      </c>
      <c r="Z713" s="8">
        <f t="shared" si="37"/>
        <v>22.75</v>
      </c>
    </row>
    <row r="714" spans="1:26" x14ac:dyDescent="0.25">
      <c r="A714" s="5" t="s">
        <v>34</v>
      </c>
      <c r="B714" s="5" t="s">
        <v>213</v>
      </c>
      <c r="C714" s="5" t="s">
        <v>214</v>
      </c>
      <c r="D714" s="5" t="s">
        <v>37</v>
      </c>
      <c r="E714" s="5" t="s">
        <v>88</v>
      </c>
      <c r="F714" s="5" t="s">
        <v>89</v>
      </c>
      <c r="G714" s="5" t="s">
        <v>40</v>
      </c>
      <c r="H714" s="6">
        <v>45961</v>
      </c>
      <c r="I714" s="6">
        <v>45961</v>
      </c>
      <c r="J714" s="6">
        <v>45964</v>
      </c>
      <c r="K714" s="5" t="s">
        <v>41</v>
      </c>
      <c r="L714" s="5" t="s">
        <v>42</v>
      </c>
      <c r="M714" s="5" t="s">
        <v>43</v>
      </c>
      <c r="N714" s="5" t="s">
        <v>44</v>
      </c>
      <c r="O714" s="7">
        <v>18.329999999999998</v>
      </c>
      <c r="P714" s="5" t="s">
        <v>45</v>
      </c>
      <c r="Q714" s="22"/>
      <c r="R714" s="8">
        <f t="shared" si="36"/>
        <v>18.329999999999998</v>
      </c>
      <c r="S714" s="7">
        <v>18.329999999999998</v>
      </c>
      <c r="T714" s="7"/>
      <c r="U714" s="7">
        <f t="shared" si="38"/>
        <v>18.329999999999998</v>
      </c>
      <c r="V714" s="5" t="s">
        <v>45</v>
      </c>
      <c r="W714" s="7">
        <v>5.39</v>
      </c>
      <c r="X714" s="5" t="s">
        <v>46</v>
      </c>
      <c r="Z714" s="8">
        <f t="shared" si="37"/>
        <v>5.39</v>
      </c>
    </row>
    <row r="715" spans="1:26" x14ac:dyDescent="0.25">
      <c r="A715" s="5" t="s">
        <v>34</v>
      </c>
      <c r="B715" s="5" t="s">
        <v>213</v>
      </c>
      <c r="C715" s="5" t="s">
        <v>214</v>
      </c>
      <c r="D715" s="5" t="s">
        <v>37</v>
      </c>
      <c r="E715" s="5" t="s">
        <v>106</v>
      </c>
      <c r="F715" s="5" t="s">
        <v>107</v>
      </c>
      <c r="G715" s="5" t="s">
        <v>40</v>
      </c>
      <c r="H715" s="6">
        <v>45961</v>
      </c>
      <c r="I715" s="6">
        <v>45961</v>
      </c>
      <c r="J715" s="6">
        <v>45964</v>
      </c>
      <c r="K715" s="5" t="s">
        <v>41</v>
      </c>
      <c r="L715" s="5" t="s">
        <v>42</v>
      </c>
      <c r="M715" s="5" t="s">
        <v>43</v>
      </c>
      <c r="N715" s="5" t="s">
        <v>44</v>
      </c>
      <c r="O715" s="7">
        <v>30.4</v>
      </c>
      <c r="P715" s="5" t="s">
        <v>45</v>
      </c>
      <c r="Q715" s="22"/>
      <c r="R715" s="8">
        <f t="shared" si="36"/>
        <v>30.4</v>
      </c>
      <c r="S715" s="7">
        <v>30.4</v>
      </c>
      <c r="T715" s="7"/>
      <c r="U715" s="7">
        <f t="shared" si="38"/>
        <v>30.4</v>
      </c>
      <c r="V715" s="5" t="s">
        <v>45</v>
      </c>
      <c r="W715" s="7">
        <v>8.9499999999999993</v>
      </c>
      <c r="X715" s="5" t="s">
        <v>46</v>
      </c>
      <c r="Z715" s="8">
        <f t="shared" si="37"/>
        <v>8.9499999999999993</v>
      </c>
    </row>
    <row r="716" spans="1:26" x14ac:dyDescent="0.25">
      <c r="A716" s="5" t="s">
        <v>34</v>
      </c>
      <c r="B716" s="5" t="s">
        <v>215</v>
      </c>
      <c r="C716" s="5" t="s">
        <v>216</v>
      </c>
      <c r="D716" s="5" t="s">
        <v>37</v>
      </c>
      <c r="E716" s="5" t="s">
        <v>80</v>
      </c>
      <c r="F716" s="5" t="s">
        <v>81</v>
      </c>
      <c r="G716" s="5" t="s">
        <v>40</v>
      </c>
      <c r="H716" s="6">
        <v>45961</v>
      </c>
      <c r="I716" s="6">
        <v>45961</v>
      </c>
      <c r="J716" s="6">
        <v>45964</v>
      </c>
      <c r="K716" s="5" t="s">
        <v>135</v>
      </c>
      <c r="L716" s="5" t="s">
        <v>136</v>
      </c>
      <c r="M716" s="5" t="s">
        <v>43</v>
      </c>
      <c r="N716" s="5" t="s">
        <v>137</v>
      </c>
      <c r="O716" s="7">
        <v>125.16</v>
      </c>
      <c r="P716" s="5" t="s">
        <v>45</v>
      </c>
      <c r="Q716" s="22"/>
      <c r="R716" s="8">
        <f t="shared" si="36"/>
        <v>125.16</v>
      </c>
      <c r="S716" s="7">
        <v>125.16</v>
      </c>
      <c r="T716" s="7"/>
      <c r="U716" s="7">
        <f t="shared" si="38"/>
        <v>125.16</v>
      </c>
      <c r="V716" s="5" t="s">
        <v>45</v>
      </c>
      <c r="W716" s="7">
        <v>36.83</v>
      </c>
      <c r="X716" s="5" t="s">
        <v>46</v>
      </c>
      <c r="Z716" s="8">
        <f t="shared" si="37"/>
        <v>36.83</v>
      </c>
    </row>
    <row r="717" spans="1:26" x14ac:dyDescent="0.25">
      <c r="A717" s="5" t="s">
        <v>34</v>
      </c>
      <c r="B717" s="5" t="s">
        <v>215</v>
      </c>
      <c r="C717" s="5" t="s">
        <v>216</v>
      </c>
      <c r="D717" s="5" t="s">
        <v>37</v>
      </c>
      <c r="E717" s="5" t="s">
        <v>68</v>
      </c>
      <c r="F717" s="5" t="s">
        <v>69</v>
      </c>
      <c r="G717" s="5" t="s">
        <v>40</v>
      </c>
      <c r="H717" s="6">
        <v>45961</v>
      </c>
      <c r="I717" s="6">
        <v>45961</v>
      </c>
      <c r="J717" s="6">
        <v>45964</v>
      </c>
      <c r="K717" s="5" t="s">
        <v>135</v>
      </c>
      <c r="L717" s="5" t="s">
        <v>136</v>
      </c>
      <c r="M717" s="5" t="s">
        <v>43</v>
      </c>
      <c r="N717" s="5" t="s">
        <v>137</v>
      </c>
      <c r="O717" s="7">
        <v>222.39</v>
      </c>
      <c r="P717" s="5" t="s">
        <v>45</v>
      </c>
      <c r="Q717" s="22"/>
      <c r="R717" s="8">
        <f t="shared" si="36"/>
        <v>222.39</v>
      </c>
      <c r="S717" s="7">
        <v>222.39</v>
      </c>
      <c r="T717" s="7"/>
      <c r="U717" s="7">
        <f t="shared" si="38"/>
        <v>222.39</v>
      </c>
      <c r="V717" s="5" t="s">
        <v>45</v>
      </c>
      <c r="W717" s="7">
        <v>65.45</v>
      </c>
      <c r="X717" s="5" t="s">
        <v>46</v>
      </c>
      <c r="Z717" s="8">
        <f t="shared" si="37"/>
        <v>65.45</v>
      </c>
    </row>
    <row r="718" spans="1:26" x14ac:dyDescent="0.25">
      <c r="A718" s="5" t="s">
        <v>34</v>
      </c>
      <c r="B718" s="5" t="s">
        <v>215</v>
      </c>
      <c r="C718" s="5" t="s">
        <v>216</v>
      </c>
      <c r="D718" s="5" t="s">
        <v>37</v>
      </c>
      <c r="E718" s="5" t="s">
        <v>60</v>
      </c>
      <c r="F718" s="5" t="s">
        <v>61</v>
      </c>
      <c r="G718" s="5" t="s">
        <v>40</v>
      </c>
      <c r="H718" s="6">
        <v>45961</v>
      </c>
      <c r="I718" s="6">
        <v>45961</v>
      </c>
      <c r="J718" s="6">
        <v>45964</v>
      </c>
      <c r="K718" s="5" t="s">
        <v>135</v>
      </c>
      <c r="L718" s="5" t="s">
        <v>136</v>
      </c>
      <c r="M718" s="5" t="s">
        <v>43</v>
      </c>
      <c r="N718" s="5" t="s">
        <v>137</v>
      </c>
      <c r="O718" s="7">
        <v>648.4</v>
      </c>
      <c r="P718" s="5" t="s">
        <v>45</v>
      </c>
      <c r="Q718" s="22"/>
      <c r="R718" s="8">
        <f t="shared" si="36"/>
        <v>648.4</v>
      </c>
      <c r="S718" s="7">
        <v>648.4</v>
      </c>
      <c r="T718" s="7"/>
      <c r="U718" s="7">
        <f t="shared" si="38"/>
        <v>648.4</v>
      </c>
      <c r="V718" s="5" t="s">
        <v>45</v>
      </c>
      <c r="W718" s="7">
        <v>190.82</v>
      </c>
      <c r="X718" s="5" t="s">
        <v>46</v>
      </c>
      <c r="Z718" s="8">
        <f t="shared" si="37"/>
        <v>190.82</v>
      </c>
    </row>
    <row r="719" spans="1:26" x14ac:dyDescent="0.25">
      <c r="A719" s="5" t="s">
        <v>34</v>
      </c>
      <c r="B719" s="5" t="s">
        <v>215</v>
      </c>
      <c r="C719" s="5" t="s">
        <v>216</v>
      </c>
      <c r="D719" s="5" t="s">
        <v>37</v>
      </c>
      <c r="E719" s="5" t="s">
        <v>122</v>
      </c>
      <c r="F719" s="5" t="s">
        <v>123</v>
      </c>
      <c r="G719" s="5" t="s">
        <v>40</v>
      </c>
      <c r="H719" s="6">
        <v>45961</v>
      </c>
      <c r="I719" s="6">
        <v>45961</v>
      </c>
      <c r="J719" s="6">
        <v>45964</v>
      </c>
      <c r="K719" s="5" t="s">
        <v>135</v>
      </c>
      <c r="L719" s="5" t="s">
        <v>136</v>
      </c>
      <c r="M719" s="5" t="s">
        <v>43</v>
      </c>
      <c r="N719" s="5" t="s">
        <v>137</v>
      </c>
      <c r="O719" s="7">
        <v>10.119999999999999</v>
      </c>
      <c r="P719" s="5" t="s">
        <v>45</v>
      </c>
      <c r="Q719" s="22"/>
      <c r="R719" s="8">
        <f t="shared" si="36"/>
        <v>10.119999999999999</v>
      </c>
      <c r="S719" s="7">
        <v>10.119999999999999</v>
      </c>
      <c r="T719" s="7"/>
      <c r="U719" s="7">
        <f t="shared" si="38"/>
        <v>10.119999999999999</v>
      </c>
      <c r="V719" s="5" t="s">
        <v>45</v>
      </c>
      <c r="W719" s="7">
        <v>2.98</v>
      </c>
      <c r="X719" s="5" t="s">
        <v>46</v>
      </c>
      <c r="Z719" s="8">
        <f t="shared" si="37"/>
        <v>2.98</v>
      </c>
    </row>
    <row r="720" spans="1:26" x14ac:dyDescent="0.25">
      <c r="A720" s="5" t="s">
        <v>34</v>
      </c>
      <c r="B720" s="5" t="s">
        <v>215</v>
      </c>
      <c r="C720" s="5" t="s">
        <v>216</v>
      </c>
      <c r="D720" s="5" t="s">
        <v>37</v>
      </c>
      <c r="E720" s="5" t="s">
        <v>86</v>
      </c>
      <c r="F720" s="5" t="s">
        <v>87</v>
      </c>
      <c r="G720" s="5" t="s">
        <v>40</v>
      </c>
      <c r="H720" s="6">
        <v>45961</v>
      </c>
      <c r="I720" s="6">
        <v>45961</v>
      </c>
      <c r="J720" s="6">
        <v>45964</v>
      </c>
      <c r="K720" s="5" t="s">
        <v>135</v>
      </c>
      <c r="L720" s="5" t="s">
        <v>136</v>
      </c>
      <c r="M720" s="5" t="s">
        <v>43</v>
      </c>
      <c r="N720" s="5" t="s">
        <v>137</v>
      </c>
      <c r="O720" s="7">
        <v>829.59</v>
      </c>
      <c r="P720" s="5" t="s">
        <v>45</v>
      </c>
      <c r="Q720" s="22"/>
      <c r="R720" s="8">
        <f t="shared" si="36"/>
        <v>829.59</v>
      </c>
      <c r="S720" s="7">
        <v>829.59</v>
      </c>
      <c r="T720" s="7"/>
      <c r="U720" s="7">
        <f t="shared" si="38"/>
        <v>829.59</v>
      </c>
      <c r="V720" s="5" t="s">
        <v>45</v>
      </c>
      <c r="W720" s="7">
        <v>244.14</v>
      </c>
      <c r="X720" s="5" t="s">
        <v>46</v>
      </c>
      <c r="Z720" s="8">
        <f t="shared" si="37"/>
        <v>244.14</v>
      </c>
    </row>
    <row r="721" spans="1:26" x14ac:dyDescent="0.25">
      <c r="A721" s="5" t="s">
        <v>34</v>
      </c>
      <c r="B721" s="5" t="s">
        <v>215</v>
      </c>
      <c r="C721" s="5" t="s">
        <v>216</v>
      </c>
      <c r="D721" s="5" t="s">
        <v>37</v>
      </c>
      <c r="E721" s="5" t="s">
        <v>96</v>
      </c>
      <c r="F721" s="5" t="s">
        <v>97</v>
      </c>
      <c r="G721" s="5" t="s">
        <v>40</v>
      </c>
      <c r="H721" s="6">
        <v>45961</v>
      </c>
      <c r="I721" s="6">
        <v>45961</v>
      </c>
      <c r="J721" s="6">
        <v>45964</v>
      </c>
      <c r="K721" s="5" t="s">
        <v>135</v>
      </c>
      <c r="L721" s="5" t="s">
        <v>136</v>
      </c>
      <c r="M721" s="5" t="s">
        <v>43</v>
      </c>
      <c r="N721" s="5" t="s">
        <v>137</v>
      </c>
      <c r="O721" s="7">
        <v>2193.23</v>
      </c>
      <c r="P721" s="5" t="s">
        <v>45</v>
      </c>
      <c r="Q721" s="22"/>
      <c r="R721" s="8">
        <f t="shared" si="36"/>
        <v>2193.23</v>
      </c>
      <c r="S721" s="7">
        <v>2193.23</v>
      </c>
      <c r="T721" s="7"/>
      <c r="U721" s="7">
        <f t="shared" si="38"/>
        <v>2193.23</v>
      </c>
      <c r="V721" s="5" t="s">
        <v>45</v>
      </c>
      <c r="W721" s="7">
        <v>645.45000000000005</v>
      </c>
      <c r="X721" s="5" t="s">
        <v>46</v>
      </c>
      <c r="Z721" s="8">
        <f t="shared" si="37"/>
        <v>645.45000000000005</v>
      </c>
    </row>
    <row r="722" spans="1:26" x14ac:dyDescent="0.25">
      <c r="A722" s="5" t="s">
        <v>34</v>
      </c>
      <c r="B722" s="5" t="s">
        <v>215</v>
      </c>
      <c r="C722" s="5" t="s">
        <v>216</v>
      </c>
      <c r="D722" s="5" t="s">
        <v>37</v>
      </c>
      <c r="E722" s="5" t="s">
        <v>38</v>
      </c>
      <c r="F722" s="5" t="s">
        <v>39</v>
      </c>
      <c r="G722" s="5" t="s">
        <v>40</v>
      </c>
      <c r="H722" s="6">
        <v>45961</v>
      </c>
      <c r="I722" s="6">
        <v>45961</v>
      </c>
      <c r="J722" s="6">
        <v>45964</v>
      </c>
      <c r="K722" s="5" t="s">
        <v>135</v>
      </c>
      <c r="L722" s="5" t="s">
        <v>136</v>
      </c>
      <c r="M722" s="5" t="s">
        <v>43</v>
      </c>
      <c r="N722" s="5" t="s">
        <v>137</v>
      </c>
      <c r="O722" s="7">
        <v>260.89999999999998</v>
      </c>
      <c r="P722" s="5" t="s">
        <v>45</v>
      </c>
      <c r="Q722" s="22"/>
      <c r="R722" s="8">
        <f t="shared" si="36"/>
        <v>260.89999999999998</v>
      </c>
      <c r="S722" s="7">
        <v>260.89999999999998</v>
      </c>
      <c r="T722" s="7"/>
      <c r="U722" s="7">
        <f t="shared" si="38"/>
        <v>260.89999999999998</v>
      </c>
      <c r="V722" s="5" t="s">
        <v>45</v>
      </c>
      <c r="W722" s="7">
        <v>76.78</v>
      </c>
      <c r="X722" s="5" t="s">
        <v>46</v>
      </c>
      <c r="Z722" s="8">
        <f t="shared" si="37"/>
        <v>76.78</v>
      </c>
    </row>
    <row r="723" spans="1:26" x14ac:dyDescent="0.25">
      <c r="A723" s="5" t="s">
        <v>34</v>
      </c>
      <c r="B723" s="5" t="s">
        <v>215</v>
      </c>
      <c r="C723" s="5" t="s">
        <v>216</v>
      </c>
      <c r="D723" s="5" t="s">
        <v>37</v>
      </c>
      <c r="E723" s="5" t="s">
        <v>58</v>
      </c>
      <c r="F723" s="5" t="s">
        <v>59</v>
      </c>
      <c r="G723" s="5" t="s">
        <v>40</v>
      </c>
      <c r="H723" s="6">
        <v>45961</v>
      </c>
      <c r="I723" s="6">
        <v>45961</v>
      </c>
      <c r="J723" s="6">
        <v>45964</v>
      </c>
      <c r="K723" s="5" t="s">
        <v>135</v>
      </c>
      <c r="L723" s="5" t="s">
        <v>136</v>
      </c>
      <c r="M723" s="5" t="s">
        <v>43</v>
      </c>
      <c r="N723" s="5" t="s">
        <v>137</v>
      </c>
      <c r="O723" s="7">
        <v>24.87</v>
      </c>
      <c r="P723" s="5" t="s">
        <v>45</v>
      </c>
      <c r="Q723" s="22"/>
      <c r="R723" s="8">
        <f t="shared" si="36"/>
        <v>24.87</v>
      </c>
      <c r="S723" s="7">
        <v>24.87</v>
      </c>
      <c r="T723" s="7"/>
      <c r="U723" s="7">
        <f t="shared" si="38"/>
        <v>24.87</v>
      </c>
      <c r="V723" s="5" t="s">
        <v>45</v>
      </c>
      <c r="W723" s="7">
        <v>7.32</v>
      </c>
      <c r="X723" s="5" t="s">
        <v>46</v>
      </c>
      <c r="Z723" s="8">
        <f t="shared" si="37"/>
        <v>7.32</v>
      </c>
    </row>
    <row r="724" spans="1:26" x14ac:dyDescent="0.25">
      <c r="A724" s="5" t="s">
        <v>34</v>
      </c>
      <c r="B724" s="5" t="s">
        <v>215</v>
      </c>
      <c r="C724" s="5" t="s">
        <v>216</v>
      </c>
      <c r="D724" s="5" t="s">
        <v>37</v>
      </c>
      <c r="E724" s="5" t="s">
        <v>104</v>
      </c>
      <c r="F724" s="5" t="s">
        <v>105</v>
      </c>
      <c r="G724" s="5" t="s">
        <v>40</v>
      </c>
      <c r="H724" s="6">
        <v>45961</v>
      </c>
      <c r="I724" s="6">
        <v>45961</v>
      </c>
      <c r="J724" s="6">
        <v>45964</v>
      </c>
      <c r="K724" s="5" t="s">
        <v>135</v>
      </c>
      <c r="L724" s="5" t="s">
        <v>136</v>
      </c>
      <c r="M724" s="5" t="s">
        <v>43</v>
      </c>
      <c r="N724" s="5" t="s">
        <v>137</v>
      </c>
      <c r="O724" s="7">
        <v>281.82</v>
      </c>
      <c r="P724" s="5" t="s">
        <v>45</v>
      </c>
      <c r="Q724" s="22"/>
      <c r="R724" s="8">
        <f t="shared" ref="R724:R787" si="39">+O724+Q724</f>
        <v>281.82</v>
      </c>
      <c r="S724" s="7">
        <v>281.82</v>
      </c>
      <c r="T724" s="7"/>
      <c r="U724" s="7">
        <f t="shared" si="38"/>
        <v>281.82</v>
      </c>
      <c r="V724" s="5" t="s">
        <v>45</v>
      </c>
      <c r="W724" s="7">
        <v>82.94</v>
      </c>
      <c r="X724" s="5" t="s">
        <v>46</v>
      </c>
      <c r="Z724" s="8">
        <f t="shared" si="37"/>
        <v>82.94</v>
      </c>
    </row>
    <row r="725" spans="1:26" x14ac:dyDescent="0.25">
      <c r="A725" s="5" t="s">
        <v>34</v>
      </c>
      <c r="B725" s="5" t="s">
        <v>215</v>
      </c>
      <c r="C725" s="5" t="s">
        <v>216</v>
      </c>
      <c r="D725" s="5" t="s">
        <v>37</v>
      </c>
      <c r="E725" s="5" t="s">
        <v>64</v>
      </c>
      <c r="F725" s="5" t="s">
        <v>65</v>
      </c>
      <c r="G725" s="5" t="s">
        <v>40</v>
      </c>
      <c r="H725" s="6">
        <v>45961</v>
      </c>
      <c r="I725" s="6">
        <v>45961</v>
      </c>
      <c r="J725" s="6">
        <v>45950</v>
      </c>
      <c r="K725" s="5" t="s">
        <v>132</v>
      </c>
      <c r="L725" s="5" t="s">
        <v>133</v>
      </c>
      <c r="M725" s="5" t="s">
        <v>43</v>
      </c>
      <c r="N725" s="5" t="s">
        <v>134</v>
      </c>
      <c r="O725" s="7">
        <v>6.1</v>
      </c>
      <c r="P725" s="5" t="s">
        <v>45</v>
      </c>
      <c r="Q725" s="22"/>
      <c r="R725" s="8">
        <f t="shared" si="39"/>
        <v>6.1</v>
      </c>
      <c r="S725" s="7">
        <v>6.1</v>
      </c>
      <c r="T725" s="7"/>
      <c r="U725" s="7">
        <f t="shared" si="38"/>
        <v>6.1</v>
      </c>
      <c r="V725" s="5" t="s">
        <v>45</v>
      </c>
      <c r="W725" s="7">
        <v>1.8</v>
      </c>
      <c r="X725" s="5" t="s">
        <v>46</v>
      </c>
      <c r="Z725" s="8">
        <f t="shared" si="37"/>
        <v>1.8</v>
      </c>
    </row>
    <row r="726" spans="1:26" x14ac:dyDescent="0.25">
      <c r="A726" s="5" t="s">
        <v>34</v>
      </c>
      <c r="B726" s="5" t="s">
        <v>215</v>
      </c>
      <c r="C726" s="5" t="s">
        <v>216</v>
      </c>
      <c r="D726" s="5" t="s">
        <v>37</v>
      </c>
      <c r="E726" s="5" t="s">
        <v>70</v>
      </c>
      <c r="F726" s="5" t="s">
        <v>71</v>
      </c>
      <c r="G726" s="5" t="s">
        <v>40</v>
      </c>
      <c r="H726" s="6">
        <v>45961</v>
      </c>
      <c r="I726" s="6">
        <v>45961</v>
      </c>
      <c r="J726" s="6">
        <v>45964</v>
      </c>
      <c r="K726" s="5" t="s">
        <v>135</v>
      </c>
      <c r="L726" s="5" t="s">
        <v>136</v>
      </c>
      <c r="M726" s="5" t="s">
        <v>43</v>
      </c>
      <c r="N726" s="5" t="s">
        <v>137</v>
      </c>
      <c r="O726" s="7">
        <v>66.08</v>
      </c>
      <c r="P726" s="5" t="s">
        <v>45</v>
      </c>
      <c r="Q726" s="22"/>
      <c r="R726" s="8">
        <f t="shared" si="39"/>
        <v>66.08</v>
      </c>
      <c r="S726" s="7">
        <v>66.08</v>
      </c>
      <c r="T726" s="7"/>
      <c r="U726" s="7">
        <f t="shared" si="38"/>
        <v>66.08</v>
      </c>
      <c r="V726" s="5" t="s">
        <v>45</v>
      </c>
      <c r="W726" s="7">
        <v>19.45</v>
      </c>
      <c r="X726" s="5" t="s">
        <v>46</v>
      </c>
      <c r="Z726" s="8">
        <f t="shared" si="37"/>
        <v>19.45</v>
      </c>
    </row>
    <row r="727" spans="1:26" x14ac:dyDescent="0.25">
      <c r="A727" s="5" t="s">
        <v>34</v>
      </c>
      <c r="B727" s="5" t="s">
        <v>215</v>
      </c>
      <c r="C727" s="5" t="s">
        <v>216</v>
      </c>
      <c r="D727" s="5" t="s">
        <v>37</v>
      </c>
      <c r="E727" s="5" t="s">
        <v>84</v>
      </c>
      <c r="F727" s="5" t="s">
        <v>85</v>
      </c>
      <c r="G727" s="5" t="s">
        <v>40</v>
      </c>
      <c r="H727" s="6">
        <v>45961</v>
      </c>
      <c r="I727" s="6">
        <v>45961</v>
      </c>
      <c r="J727" s="6">
        <v>45964</v>
      </c>
      <c r="K727" s="5" t="s">
        <v>135</v>
      </c>
      <c r="L727" s="5" t="s">
        <v>136</v>
      </c>
      <c r="M727" s="5" t="s">
        <v>43</v>
      </c>
      <c r="N727" s="5" t="s">
        <v>137</v>
      </c>
      <c r="O727" s="7">
        <v>98.59</v>
      </c>
      <c r="P727" s="5" t="s">
        <v>45</v>
      </c>
      <c r="Q727" s="22"/>
      <c r="R727" s="8">
        <f t="shared" si="39"/>
        <v>98.59</v>
      </c>
      <c r="S727" s="7">
        <v>98.59</v>
      </c>
      <c r="T727" s="7"/>
      <c r="U727" s="7">
        <f t="shared" si="38"/>
        <v>98.59</v>
      </c>
      <c r="V727" s="5" t="s">
        <v>45</v>
      </c>
      <c r="W727" s="7">
        <v>29.01</v>
      </c>
      <c r="X727" s="5" t="s">
        <v>46</v>
      </c>
      <c r="Z727" s="8">
        <f t="shared" si="37"/>
        <v>29.01</v>
      </c>
    </row>
    <row r="728" spans="1:26" x14ac:dyDescent="0.25">
      <c r="A728" s="5" t="s">
        <v>34</v>
      </c>
      <c r="B728" s="5" t="s">
        <v>215</v>
      </c>
      <c r="C728" s="5" t="s">
        <v>216</v>
      </c>
      <c r="D728" s="5" t="s">
        <v>37</v>
      </c>
      <c r="E728" s="5" t="s">
        <v>48</v>
      </c>
      <c r="F728" s="5" t="s">
        <v>49</v>
      </c>
      <c r="G728" s="5" t="s">
        <v>40</v>
      </c>
      <c r="H728" s="6">
        <v>45961</v>
      </c>
      <c r="I728" s="6">
        <v>45961</v>
      </c>
      <c r="J728" s="6">
        <v>45964</v>
      </c>
      <c r="K728" s="5" t="s">
        <v>135</v>
      </c>
      <c r="L728" s="5" t="s">
        <v>136</v>
      </c>
      <c r="M728" s="5" t="s">
        <v>43</v>
      </c>
      <c r="N728" s="5" t="s">
        <v>137</v>
      </c>
      <c r="O728" s="7">
        <v>541.95000000000005</v>
      </c>
      <c r="P728" s="5" t="s">
        <v>45</v>
      </c>
      <c r="Q728" s="22"/>
      <c r="R728" s="8">
        <f t="shared" si="39"/>
        <v>541.95000000000005</v>
      </c>
      <c r="S728" s="7">
        <v>541.95000000000005</v>
      </c>
      <c r="T728" s="7"/>
      <c r="U728" s="7">
        <f t="shared" si="38"/>
        <v>541.95000000000005</v>
      </c>
      <c r="V728" s="5" t="s">
        <v>45</v>
      </c>
      <c r="W728" s="7">
        <v>159.49</v>
      </c>
      <c r="X728" s="5" t="s">
        <v>46</v>
      </c>
      <c r="Z728" s="8">
        <f t="shared" si="37"/>
        <v>159.49</v>
      </c>
    </row>
    <row r="729" spans="1:26" x14ac:dyDescent="0.25">
      <c r="A729" s="5" t="s">
        <v>34</v>
      </c>
      <c r="B729" s="5" t="s">
        <v>215</v>
      </c>
      <c r="C729" s="5" t="s">
        <v>216</v>
      </c>
      <c r="D729" s="5" t="s">
        <v>37</v>
      </c>
      <c r="E729" s="5" t="s">
        <v>50</v>
      </c>
      <c r="F729" s="5" t="s">
        <v>51</v>
      </c>
      <c r="G729" s="5" t="s">
        <v>40</v>
      </c>
      <c r="H729" s="6">
        <v>45961</v>
      </c>
      <c r="I729" s="6">
        <v>45961</v>
      </c>
      <c r="J729" s="6">
        <v>45964</v>
      </c>
      <c r="K729" s="5" t="s">
        <v>135</v>
      </c>
      <c r="L729" s="5" t="s">
        <v>136</v>
      </c>
      <c r="M729" s="5" t="s">
        <v>43</v>
      </c>
      <c r="N729" s="5" t="s">
        <v>137</v>
      </c>
      <c r="O729" s="7">
        <v>536</v>
      </c>
      <c r="P729" s="5" t="s">
        <v>45</v>
      </c>
      <c r="Q729" s="22"/>
      <c r="R729" s="8">
        <f t="shared" si="39"/>
        <v>536</v>
      </c>
      <c r="S729" s="7">
        <v>536</v>
      </c>
      <c r="T729" s="7"/>
      <c r="U729" s="7">
        <f t="shared" si="38"/>
        <v>536</v>
      </c>
      <c r="V729" s="5" t="s">
        <v>45</v>
      </c>
      <c r="W729" s="7">
        <v>157.74</v>
      </c>
      <c r="X729" s="5" t="s">
        <v>46</v>
      </c>
      <c r="Z729" s="8">
        <f t="shared" si="37"/>
        <v>157.74</v>
      </c>
    </row>
    <row r="730" spans="1:26" x14ac:dyDescent="0.25">
      <c r="A730" s="5" t="s">
        <v>34</v>
      </c>
      <c r="B730" s="5" t="s">
        <v>215</v>
      </c>
      <c r="C730" s="5" t="s">
        <v>216</v>
      </c>
      <c r="D730" s="5" t="s">
        <v>37</v>
      </c>
      <c r="E730" s="5" t="s">
        <v>116</v>
      </c>
      <c r="F730" s="5" t="s">
        <v>117</v>
      </c>
      <c r="G730" s="5" t="s">
        <v>40</v>
      </c>
      <c r="H730" s="6">
        <v>45961</v>
      </c>
      <c r="I730" s="6">
        <v>45961</v>
      </c>
      <c r="J730" s="6">
        <v>45964</v>
      </c>
      <c r="K730" s="5" t="s">
        <v>135</v>
      </c>
      <c r="L730" s="5" t="s">
        <v>136</v>
      </c>
      <c r="M730" s="5" t="s">
        <v>43</v>
      </c>
      <c r="N730" s="5" t="s">
        <v>137</v>
      </c>
      <c r="O730" s="7">
        <v>302.08</v>
      </c>
      <c r="P730" s="5" t="s">
        <v>45</v>
      </c>
      <c r="Q730" s="22"/>
      <c r="R730" s="8">
        <f t="shared" si="39"/>
        <v>302.08</v>
      </c>
      <c r="S730" s="7">
        <v>302.08</v>
      </c>
      <c r="T730" s="7"/>
      <c r="U730" s="7">
        <f t="shared" si="38"/>
        <v>302.08</v>
      </c>
      <c r="V730" s="5" t="s">
        <v>45</v>
      </c>
      <c r="W730" s="7">
        <v>88.9</v>
      </c>
      <c r="X730" s="5" t="s">
        <v>46</v>
      </c>
      <c r="Z730" s="8">
        <f t="shared" si="37"/>
        <v>88.9</v>
      </c>
    </row>
    <row r="731" spans="1:26" x14ac:dyDescent="0.25">
      <c r="A731" s="5" t="s">
        <v>34</v>
      </c>
      <c r="B731" s="5" t="s">
        <v>215</v>
      </c>
      <c r="C731" s="5" t="s">
        <v>216</v>
      </c>
      <c r="D731" s="5" t="s">
        <v>37</v>
      </c>
      <c r="E731" s="5" t="s">
        <v>102</v>
      </c>
      <c r="F731" s="5" t="s">
        <v>103</v>
      </c>
      <c r="G731" s="5" t="s">
        <v>40</v>
      </c>
      <c r="H731" s="6">
        <v>45961</v>
      </c>
      <c r="I731" s="6">
        <v>45961</v>
      </c>
      <c r="J731" s="6">
        <v>45964</v>
      </c>
      <c r="K731" s="5" t="s">
        <v>135</v>
      </c>
      <c r="L731" s="5" t="s">
        <v>136</v>
      </c>
      <c r="M731" s="5" t="s">
        <v>43</v>
      </c>
      <c r="N731" s="5" t="s">
        <v>137</v>
      </c>
      <c r="O731" s="7">
        <v>839.62</v>
      </c>
      <c r="P731" s="5" t="s">
        <v>45</v>
      </c>
      <c r="Q731" s="22"/>
      <c r="R731" s="8">
        <f t="shared" si="39"/>
        <v>839.62</v>
      </c>
      <c r="S731" s="7">
        <v>839.62</v>
      </c>
      <c r="T731" s="7"/>
      <c r="U731" s="7">
        <f t="shared" si="38"/>
        <v>839.62</v>
      </c>
      <c r="V731" s="5" t="s">
        <v>45</v>
      </c>
      <c r="W731" s="7">
        <v>247.09</v>
      </c>
      <c r="X731" s="5" t="s">
        <v>46</v>
      </c>
      <c r="Z731" s="8">
        <f t="shared" si="37"/>
        <v>247.09</v>
      </c>
    </row>
    <row r="732" spans="1:26" x14ac:dyDescent="0.25">
      <c r="A732" s="5" t="s">
        <v>34</v>
      </c>
      <c r="B732" s="5" t="s">
        <v>215</v>
      </c>
      <c r="C732" s="5" t="s">
        <v>216</v>
      </c>
      <c r="D732" s="5" t="s">
        <v>37</v>
      </c>
      <c r="E732" s="5" t="s">
        <v>72</v>
      </c>
      <c r="F732" s="5" t="s">
        <v>73</v>
      </c>
      <c r="G732" s="5" t="s">
        <v>40</v>
      </c>
      <c r="H732" s="6">
        <v>45961</v>
      </c>
      <c r="I732" s="6">
        <v>45961</v>
      </c>
      <c r="J732" s="6">
        <v>45964</v>
      </c>
      <c r="K732" s="5" t="s">
        <v>135</v>
      </c>
      <c r="L732" s="5" t="s">
        <v>136</v>
      </c>
      <c r="M732" s="5" t="s">
        <v>43</v>
      </c>
      <c r="N732" s="5" t="s">
        <v>137</v>
      </c>
      <c r="O732" s="7">
        <v>53.85</v>
      </c>
      <c r="P732" s="5" t="s">
        <v>45</v>
      </c>
      <c r="Q732" s="22"/>
      <c r="R732" s="8">
        <f t="shared" si="39"/>
        <v>53.85</v>
      </c>
      <c r="S732" s="7">
        <v>53.85</v>
      </c>
      <c r="T732" s="7"/>
      <c r="U732" s="7">
        <f t="shared" si="38"/>
        <v>53.85</v>
      </c>
      <c r="V732" s="5" t="s">
        <v>45</v>
      </c>
      <c r="W732" s="7">
        <v>15.85</v>
      </c>
      <c r="X732" s="5" t="s">
        <v>46</v>
      </c>
      <c r="Z732" s="8">
        <f t="shared" si="37"/>
        <v>15.85</v>
      </c>
    </row>
    <row r="733" spans="1:26" x14ac:dyDescent="0.25">
      <c r="A733" s="5" t="s">
        <v>34</v>
      </c>
      <c r="B733" s="5" t="s">
        <v>215</v>
      </c>
      <c r="C733" s="5" t="s">
        <v>216</v>
      </c>
      <c r="D733" s="5" t="s">
        <v>37</v>
      </c>
      <c r="E733" s="5" t="s">
        <v>106</v>
      </c>
      <c r="F733" s="5" t="s">
        <v>107</v>
      </c>
      <c r="G733" s="5" t="s">
        <v>40</v>
      </c>
      <c r="H733" s="6">
        <v>45961</v>
      </c>
      <c r="I733" s="6">
        <v>45961</v>
      </c>
      <c r="J733" s="6">
        <v>45964</v>
      </c>
      <c r="K733" s="5" t="s">
        <v>135</v>
      </c>
      <c r="L733" s="5" t="s">
        <v>136</v>
      </c>
      <c r="M733" s="5" t="s">
        <v>43</v>
      </c>
      <c r="N733" s="5" t="s">
        <v>137</v>
      </c>
      <c r="O733" s="7">
        <v>79.099999999999994</v>
      </c>
      <c r="P733" s="5" t="s">
        <v>45</v>
      </c>
      <c r="Q733" s="22"/>
      <c r="R733" s="8">
        <f t="shared" si="39"/>
        <v>79.099999999999994</v>
      </c>
      <c r="S733" s="7">
        <v>79.099999999999994</v>
      </c>
      <c r="T733" s="7"/>
      <c r="U733" s="7">
        <f t="shared" si="38"/>
        <v>79.099999999999994</v>
      </c>
      <c r="V733" s="5" t="s">
        <v>45</v>
      </c>
      <c r="W733" s="7">
        <v>23.28</v>
      </c>
      <c r="X733" s="5" t="s">
        <v>46</v>
      </c>
      <c r="Z733" s="8">
        <f t="shared" si="37"/>
        <v>23.28</v>
      </c>
    </row>
    <row r="734" spans="1:26" x14ac:dyDescent="0.25">
      <c r="A734" s="5" t="s">
        <v>34</v>
      </c>
      <c r="B734" s="5" t="s">
        <v>215</v>
      </c>
      <c r="C734" s="5" t="s">
        <v>216</v>
      </c>
      <c r="D734" s="5" t="s">
        <v>37</v>
      </c>
      <c r="E734" s="5" t="s">
        <v>64</v>
      </c>
      <c r="F734" s="5" t="s">
        <v>65</v>
      </c>
      <c r="G734" s="5" t="s">
        <v>40</v>
      </c>
      <c r="H734" s="6">
        <v>45961</v>
      </c>
      <c r="I734" s="6">
        <v>45961</v>
      </c>
      <c r="J734" s="6">
        <v>45964</v>
      </c>
      <c r="K734" s="5" t="s">
        <v>135</v>
      </c>
      <c r="L734" s="5" t="s">
        <v>136</v>
      </c>
      <c r="M734" s="5" t="s">
        <v>43</v>
      </c>
      <c r="N734" s="5" t="s">
        <v>137</v>
      </c>
      <c r="O734" s="7">
        <v>277.61</v>
      </c>
      <c r="P734" s="5" t="s">
        <v>45</v>
      </c>
      <c r="Q734" s="22"/>
      <c r="R734" s="8">
        <f t="shared" si="39"/>
        <v>277.61</v>
      </c>
      <c r="S734" s="7">
        <v>277.61</v>
      </c>
      <c r="T734" s="7"/>
      <c r="U734" s="7">
        <f t="shared" si="38"/>
        <v>277.61</v>
      </c>
      <c r="V734" s="5" t="s">
        <v>45</v>
      </c>
      <c r="W734" s="7">
        <v>81.7</v>
      </c>
      <c r="X734" s="5" t="s">
        <v>46</v>
      </c>
      <c r="Z734" s="8">
        <f t="shared" si="37"/>
        <v>81.7</v>
      </c>
    </row>
    <row r="735" spans="1:26" x14ac:dyDescent="0.25">
      <c r="A735" s="5" t="s">
        <v>34</v>
      </c>
      <c r="B735" s="5" t="s">
        <v>215</v>
      </c>
      <c r="C735" s="5" t="s">
        <v>216</v>
      </c>
      <c r="D735" s="5" t="s">
        <v>37</v>
      </c>
      <c r="E735" s="5" t="s">
        <v>98</v>
      </c>
      <c r="F735" s="5" t="s">
        <v>99</v>
      </c>
      <c r="G735" s="5" t="s">
        <v>40</v>
      </c>
      <c r="H735" s="6">
        <v>45961</v>
      </c>
      <c r="I735" s="6">
        <v>45961</v>
      </c>
      <c r="J735" s="6">
        <v>45964</v>
      </c>
      <c r="K735" s="5" t="s">
        <v>135</v>
      </c>
      <c r="L735" s="5" t="s">
        <v>136</v>
      </c>
      <c r="M735" s="5" t="s">
        <v>43</v>
      </c>
      <c r="N735" s="5" t="s">
        <v>137</v>
      </c>
      <c r="O735" s="7">
        <v>23.96</v>
      </c>
      <c r="P735" s="5" t="s">
        <v>45</v>
      </c>
      <c r="Q735" s="22"/>
      <c r="R735" s="8">
        <f t="shared" si="39"/>
        <v>23.96</v>
      </c>
      <c r="S735" s="7">
        <v>23.96</v>
      </c>
      <c r="T735" s="7"/>
      <c r="U735" s="7">
        <f t="shared" si="38"/>
        <v>23.96</v>
      </c>
      <c r="V735" s="5" t="s">
        <v>45</v>
      </c>
      <c r="W735" s="7">
        <v>7.05</v>
      </c>
      <c r="X735" s="5" t="s">
        <v>46</v>
      </c>
      <c r="Z735" s="8">
        <f t="shared" si="37"/>
        <v>7.05</v>
      </c>
    </row>
    <row r="736" spans="1:26" x14ac:dyDescent="0.25">
      <c r="A736" s="5" t="s">
        <v>34</v>
      </c>
      <c r="B736" s="5" t="s">
        <v>215</v>
      </c>
      <c r="C736" s="5" t="s">
        <v>216</v>
      </c>
      <c r="D736" s="5" t="s">
        <v>37</v>
      </c>
      <c r="E736" s="5" t="s">
        <v>110</v>
      </c>
      <c r="F736" s="5" t="s">
        <v>111</v>
      </c>
      <c r="G736" s="5" t="s">
        <v>40</v>
      </c>
      <c r="H736" s="6">
        <v>45961</v>
      </c>
      <c r="I736" s="6">
        <v>45961</v>
      </c>
      <c r="J736" s="6">
        <v>45964</v>
      </c>
      <c r="K736" s="5" t="s">
        <v>135</v>
      </c>
      <c r="L736" s="5" t="s">
        <v>136</v>
      </c>
      <c r="M736" s="5" t="s">
        <v>43</v>
      </c>
      <c r="N736" s="5" t="s">
        <v>137</v>
      </c>
      <c r="O736" s="7">
        <v>739.53</v>
      </c>
      <c r="P736" s="5" t="s">
        <v>45</v>
      </c>
      <c r="Q736" s="22"/>
      <c r="R736" s="8">
        <f t="shared" si="39"/>
        <v>739.53</v>
      </c>
      <c r="S736" s="7">
        <v>739.53</v>
      </c>
      <c r="T736" s="7"/>
      <c r="U736" s="7">
        <f t="shared" si="38"/>
        <v>739.53</v>
      </c>
      <c r="V736" s="5" t="s">
        <v>45</v>
      </c>
      <c r="W736" s="7">
        <v>217.64</v>
      </c>
      <c r="X736" s="5" t="s">
        <v>46</v>
      </c>
      <c r="Z736" s="8">
        <f t="shared" si="37"/>
        <v>217.64</v>
      </c>
    </row>
    <row r="737" spans="1:26" x14ac:dyDescent="0.25">
      <c r="A737" s="5" t="s">
        <v>34</v>
      </c>
      <c r="B737" s="5" t="s">
        <v>215</v>
      </c>
      <c r="C737" s="5" t="s">
        <v>216</v>
      </c>
      <c r="D737" s="5" t="s">
        <v>37</v>
      </c>
      <c r="E737" s="5" t="s">
        <v>96</v>
      </c>
      <c r="F737" s="5" t="s">
        <v>97</v>
      </c>
      <c r="G737" s="5" t="s">
        <v>40</v>
      </c>
      <c r="H737" s="6">
        <v>45961</v>
      </c>
      <c r="I737" s="6">
        <v>45961</v>
      </c>
      <c r="J737" s="6">
        <v>45964</v>
      </c>
      <c r="K737" s="5" t="s">
        <v>147</v>
      </c>
      <c r="L737" s="5" t="s">
        <v>148</v>
      </c>
      <c r="M737" s="5" t="s">
        <v>43</v>
      </c>
      <c r="N737" s="5" t="s">
        <v>149</v>
      </c>
      <c r="O737" s="7">
        <v>17.46</v>
      </c>
      <c r="P737" s="5" t="s">
        <v>45</v>
      </c>
      <c r="Q737" s="22"/>
      <c r="R737" s="8">
        <f t="shared" si="39"/>
        <v>17.46</v>
      </c>
      <c r="S737" s="7">
        <v>17.46</v>
      </c>
      <c r="T737" s="7"/>
      <c r="U737" s="7">
        <f t="shared" si="38"/>
        <v>17.46</v>
      </c>
      <c r="V737" s="5" t="s">
        <v>45</v>
      </c>
      <c r="W737" s="7">
        <v>5.14</v>
      </c>
      <c r="X737" s="5" t="s">
        <v>46</v>
      </c>
      <c r="Z737" s="8">
        <f t="shared" si="37"/>
        <v>5.14</v>
      </c>
    </row>
    <row r="738" spans="1:26" x14ac:dyDescent="0.25">
      <c r="A738" s="5" t="s">
        <v>34</v>
      </c>
      <c r="B738" s="5" t="s">
        <v>215</v>
      </c>
      <c r="C738" s="5" t="s">
        <v>216</v>
      </c>
      <c r="D738" s="5" t="s">
        <v>37</v>
      </c>
      <c r="E738" s="5" t="s">
        <v>92</v>
      </c>
      <c r="F738" s="5" t="s">
        <v>93</v>
      </c>
      <c r="G738" s="5" t="s">
        <v>40</v>
      </c>
      <c r="H738" s="6">
        <v>45961</v>
      </c>
      <c r="I738" s="6">
        <v>45961</v>
      </c>
      <c r="J738" s="6">
        <v>45964</v>
      </c>
      <c r="K738" s="5" t="s">
        <v>135</v>
      </c>
      <c r="L738" s="5" t="s">
        <v>136</v>
      </c>
      <c r="M738" s="5" t="s">
        <v>43</v>
      </c>
      <c r="N738" s="5" t="s">
        <v>137</v>
      </c>
      <c r="O738" s="7">
        <v>39.19</v>
      </c>
      <c r="P738" s="5" t="s">
        <v>45</v>
      </c>
      <c r="Q738" s="22"/>
      <c r="R738" s="8">
        <f t="shared" si="39"/>
        <v>39.19</v>
      </c>
      <c r="S738" s="7">
        <v>39.19</v>
      </c>
      <c r="T738" s="7"/>
      <c r="U738" s="7">
        <f t="shared" si="38"/>
        <v>39.19</v>
      </c>
      <c r="V738" s="5" t="s">
        <v>45</v>
      </c>
      <c r="W738" s="7">
        <v>11.53</v>
      </c>
      <c r="X738" s="5" t="s">
        <v>46</v>
      </c>
      <c r="Z738" s="8">
        <f t="shared" si="37"/>
        <v>11.53</v>
      </c>
    </row>
    <row r="739" spans="1:26" x14ac:dyDescent="0.25">
      <c r="A739" s="5" t="s">
        <v>34</v>
      </c>
      <c r="B739" s="5" t="s">
        <v>215</v>
      </c>
      <c r="C739" s="5" t="s">
        <v>216</v>
      </c>
      <c r="D739" s="5" t="s">
        <v>37</v>
      </c>
      <c r="E739" s="5" t="s">
        <v>74</v>
      </c>
      <c r="F739" s="5" t="s">
        <v>75</v>
      </c>
      <c r="G739" s="5" t="s">
        <v>40</v>
      </c>
      <c r="H739" s="6">
        <v>45961</v>
      </c>
      <c r="I739" s="6">
        <v>45961</v>
      </c>
      <c r="J739" s="6">
        <v>45964</v>
      </c>
      <c r="K739" s="5" t="s">
        <v>135</v>
      </c>
      <c r="L739" s="5" t="s">
        <v>136</v>
      </c>
      <c r="M739" s="5" t="s">
        <v>43</v>
      </c>
      <c r="N739" s="5" t="s">
        <v>137</v>
      </c>
      <c r="O739" s="7">
        <v>3036.44</v>
      </c>
      <c r="P739" s="5" t="s">
        <v>45</v>
      </c>
      <c r="Q739" s="22"/>
      <c r="R739" s="8">
        <f t="shared" si="39"/>
        <v>3036.44</v>
      </c>
      <c r="S739" s="7">
        <v>3036.44</v>
      </c>
      <c r="T739" s="7"/>
      <c r="U739" s="7">
        <f t="shared" si="38"/>
        <v>3036.44</v>
      </c>
      <c r="V739" s="5" t="s">
        <v>45</v>
      </c>
      <c r="W739" s="7">
        <v>893.6</v>
      </c>
      <c r="X739" s="5" t="s">
        <v>46</v>
      </c>
      <c r="Z739" s="8">
        <f t="shared" si="37"/>
        <v>893.6</v>
      </c>
    </row>
    <row r="740" spans="1:26" x14ac:dyDescent="0.25">
      <c r="A740" s="5" t="s">
        <v>34</v>
      </c>
      <c r="B740" s="5" t="s">
        <v>215</v>
      </c>
      <c r="C740" s="5" t="s">
        <v>216</v>
      </c>
      <c r="D740" s="5" t="s">
        <v>37</v>
      </c>
      <c r="E740" s="5" t="s">
        <v>54</v>
      </c>
      <c r="F740" s="5" t="s">
        <v>55</v>
      </c>
      <c r="G740" s="5" t="s">
        <v>40</v>
      </c>
      <c r="H740" s="6">
        <v>45961</v>
      </c>
      <c r="I740" s="6">
        <v>45961</v>
      </c>
      <c r="J740" s="6">
        <v>45964</v>
      </c>
      <c r="K740" s="5" t="s">
        <v>135</v>
      </c>
      <c r="L740" s="5" t="s">
        <v>136</v>
      </c>
      <c r="M740" s="5" t="s">
        <v>43</v>
      </c>
      <c r="N740" s="5" t="s">
        <v>137</v>
      </c>
      <c r="O740" s="7">
        <v>72.69</v>
      </c>
      <c r="P740" s="5" t="s">
        <v>45</v>
      </c>
      <c r="Q740" s="22"/>
      <c r="R740" s="8">
        <f t="shared" si="39"/>
        <v>72.69</v>
      </c>
      <c r="S740" s="7">
        <v>72.69</v>
      </c>
      <c r="T740" s="7"/>
      <c r="U740" s="7">
        <f t="shared" si="38"/>
        <v>72.69</v>
      </c>
      <c r="V740" s="5" t="s">
        <v>45</v>
      </c>
      <c r="W740" s="7">
        <v>21.39</v>
      </c>
      <c r="X740" s="5" t="s">
        <v>46</v>
      </c>
      <c r="Z740" s="8">
        <f t="shared" si="37"/>
        <v>21.39</v>
      </c>
    </row>
    <row r="741" spans="1:26" x14ac:dyDescent="0.25">
      <c r="A741" s="5" t="s">
        <v>34</v>
      </c>
      <c r="B741" s="5" t="s">
        <v>215</v>
      </c>
      <c r="C741" s="5" t="s">
        <v>216</v>
      </c>
      <c r="D741" s="5" t="s">
        <v>37</v>
      </c>
      <c r="E741" s="5" t="s">
        <v>118</v>
      </c>
      <c r="F741" s="5" t="s">
        <v>119</v>
      </c>
      <c r="G741" s="5" t="s">
        <v>40</v>
      </c>
      <c r="H741" s="6">
        <v>45961</v>
      </c>
      <c r="I741" s="6">
        <v>45961</v>
      </c>
      <c r="J741" s="6">
        <v>45964</v>
      </c>
      <c r="K741" s="5" t="s">
        <v>135</v>
      </c>
      <c r="L741" s="5" t="s">
        <v>136</v>
      </c>
      <c r="M741" s="5" t="s">
        <v>43</v>
      </c>
      <c r="N741" s="5" t="s">
        <v>137</v>
      </c>
      <c r="O741" s="7">
        <v>330.16</v>
      </c>
      <c r="P741" s="5" t="s">
        <v>45</v>
      </c>
      <c r="Q741" s="22"/>
      <c r="R741" s="8">
        <f t="shared" si="39"/>
        <v>330.16</v>
      </c>
      <c r="S741" s="7">
        <v>330.16</v>
      </c>
      <c r="T741" s="7"/>
      <c r="U741" s="7">
        <f t="shared" si="38"/>
        <v>330.16</v>
      </c>
      <c r="V741" s="5" t="s">
        <v>45</v>
      </c>
      <c r="W741" s="7">
        <v>97.16</v>
      </c>
      <c r="X741" s="5" t="s">
        <v>46</v>
      </c>
      <c r="Z741" s="8">
        <f t="shared" si="37"/>
        <v>97.16</v>
      </c>
    </row>
    <row r="742" spans="1:26" x14ac:dyDescent="0.25">
      <c r="A742" s="5" t="s">
        <v>34</v>
      </c>
      <c r="B742" s="5" t="s">
        <v>215</v>
      </c>
      <c r="C742" s="5" t="s">
        <v>216</v>
      </c>
      <c r="D742" s="5" t="s">
        <v>37</v>
      </c>
      <c r="E742" s="5" t="s">
        <v>142</v>
      </c>
      <c r="F742" s="5" t="s">
        <v>143</v>
      </c>
      <c r="G742" s="5" t="s">
        <v>40</v>
      </c>
      <c r="H742" s="6">
        <v>45961</v>
      </c>
      <c r="I742" s="6">
        <v>45961</v>
      </c>
      <c r="J742" s="6">
        <v>45961</v>
      </c>
      <c r="K742" s="5" t="s">
        <v>144</v>
      </c>
      <c r="L742" s="5" t="s">
        <v>145</v>
      </c>
      <c r="M742" s="5" t="s">
        <v>43</v>
      </c>
      <c r="N742" s="5" t="s">
        <v>146</v>
      </c>
      <c r="O742" s="7">
        <v>14.12</v>
      </c>
      <c r="P742" s="5" t="s">
        <v>45</v>
      </c>
      <c r="Q742" s="22"/>
      <c r="R742" s="8">
        <f t="shared" si="39"/>
        <v>14.12</v>
      </c>
      <c r="S742" s="7">
        <v>14.12</v>
      </c>
      <c r="T742" s="7"/>
      <c r="U742" s="7">
        <f t="shared" si="38"/>
        <v>14.12</v>
      </c>
      <c r="V742" s="5" t="s">
        <v>45</v>
      </c>
      <c r="W742" s="7">
        <v>4.16</v>
      </c>
      <c r="X742" s="5" t="s">
        <v>46</v>
      </c>
      <c r="Z742" s="8">
        <f t="shared" si="37"/>
        <v>4.16</v>
      </c>
    </row>
    <row r="743" spans="1:26" x14ac:dyDescent="0.25">
      <c r="A743" s="5" t="s">
        <v>34</v>
      </c>
      <c r="B743" s="5" t="s">
        <v>215</v>
      </c>
      <c r="C743" s="5" t="s">
        <v>216</v>
      </c>
      <c r="D743" s="5" t="s">
        <v>37</v>
      </c>
      <c r="E743" s="5" t="s">
        <v>52</v>
      </c>
      <c r="F743" s="5" t="s">
        <v>53</v>
      </c>
      <c r="G743" s="5" t="s">
        <v>40</v>
      </c>
      <c r="H743" s="6">
        <v>45961</v>
      </c>
      <c r="I743" s="6">
        <v>45961</v>
      </c>
      <c r="J743" s="6">
        <v>45964</v>
      </c>
      <c r="K743" s="5" t="s">
        <v>135</v>
      </c>
      <c r="L743" s="5" t="s">
        <v>136</v>
      </c>
      <c r="M743" s="5" t="s">
        <v>43</v>
      </c>
      <c r="N743" s="5" t="s">
        <v>137</v>
      </c>
      <c r="O743" s="7">
        <v>27.3</v>
      </c>
      <c r="P743" s="5" t="s">
        <v>45</v>
      </c>
      <c r="Q743" s="22"/>
      <c r="R743" s="8">
        <f t="shared" si="39"/>
        <v>27.3</v>
      </c>
      <c r="S743" s="7">
        <v>27.3</v>
      </c>
      <c r="T743" s="7"/>
      <c r="U743" s="7">
        <f t="shared" si="38"/>
        <v>27.3</v>
      </c>
      <c r="V743" s="5" t="s">
        <v>45</v>
      </c>
      <c r="W743" s="7">
        <v>8.0299999999999994</v>
      </c>
      <c r="X743" s="5" t="s">
        <v>46</v>
      </c>
      <c r="Z743" s="8">
        <f t="shared" si="37"/>
        <v>8.0299999999999994</v>
      </c>
    </row>
    <row r="744" spans="1:26" x14ac:dyDescent="0.25">
      <c r="A744" s="5" t="s">
        <v>34</v>
      </c>
      <c r="B744" s="5" t="s">
        <v>215</v>
      </c>
      <c r="C744" s="5" t="s">
        <v>216</v>
      </c>
      <c r="D744" s="5" t="s">
        <v>37</v>
      </c>
      <c r="E744" s="5" t="s">
        <v>62</v>
      </c>
      <c r="F744" s="5" t="s">
        <v>63</v>
      </c>
      <c r="G744" s="5" t="s">
        <v>40</v>
      </c>
      <c r="H744" s="6">
        <v>45961</v>
      </c>
      <c r="I744" s="6">
        <v>45961</v>
      </c>
      <c r="J744" s="6">
        <v>45964</v>
      </c>
      <c r="K744" s="5" t="s">
        <v>135</v>
      </c>
      <c r="L744" s="5" t="s">
        <v>136</v>
      </c>
      <c r="M744" s="5" t="s">
        <v>43</v>
      </c>
      <c r="N744" s="5" t="s">
        <v>137</v>
      </c>
      <c r="O744" s="7">
        <v>420.46</v>
      </c>
      <c r="P744" s="5" t="s">
        <v>45</v>
      </c>
      <c r="Q744" s="22"/>
      <c r="R744" s="8">
        <f t="shared" si="39"/>
        <v>420.46</v>
      </c>
      <c r="S744" s="7">
        <v>420.46</v>
      </c>
      <c r="T744" s="7"/>
      <c r="U744" s="7">
        <f t="shared" si="38"/>
        <v>420.46</v>
      </c>
      <c r="V744" s="5" t="s">
        <v>45</v>
      </c>
      <c r="W744" s="7">
        <v>123.74</v>
      </c>
      <c r="X744" s="5" t="s">
        <v>46</v>
      </c>
      <c r="Z744" s="8">
        <f t="shared" si="37"/>
        <v>123.74</v>
      </c>
    </row>
    <row r="745" spans="1:26" x14ac:dyDescent="0.25">
      <c r="A745" s="5" t="s">
        <v>34</v>
      </c>
      <c r="B745" s="5" t="s">
        <v>215</v>
      </c>
      <c r="C745" s="5" t="s">
        <v>216</v>
      </c>
      <c r="D745" s="5" t="s">
        <v>37</v>
      </c>
      <c r="E745" s="5" t="s">
        <v>82</v>
      </c>
      <c r="F745" s="5" t="s">
        <v>83</v>
      </c>
      <c r="G745" s="5" t="s">
        <v>40</v>
      </c>
      <c r="H745" s="6">
        <v>45961</v>
      </c>
      <c r="I745" s="6">
        <v>45961</v>
      </c>
      <c r="J745" s="6">
        <v>45964</v>
      </c>
      <c r="K745" s="5" t="s">
        <v>135</v>
      </c>
      <c r="L745" s="5" t="s">
        <v>136</v>
      </c>
      <c r="M745" s="5" t="s">
        <v>43</v>
      </c>
      <c r="N745" s="5" t="s">
        <v>137</v>
      </c>
      <c r="O745" s="7">
        <v>469.85</v>
      </c>
      <c r="P745" s="5" t="s">
        <v>45</v>
      </c>
      <c r="Q745" s="22"/>
      <c r="R745" s="8">
        <f t="shared" si="39"/>
        <v>469.85</v>
      </c>
      <c r="S745" s="7">
        <v>469.85</v>
      </c>
      <c r="T745" s="7"/>
      <c r="U745" s="7">
        <f t="shared" si="38"/>
        <v>469.85</v>
      </c>
      <c r="V745" s="5" t="s">
        <v>45</v>
      </c>
      <c r="W745" s="7">
        <v>138.27000000000001</v>
      </c>
      <c r="X745" s="5" t="s">
        <v>46</v>
      </c>
      <c r="Z745" s="8">
        <f t="shared" si="37"/>
        <v>138.27000000000001</v>
      </c>
    </row>
    <row r="746" spans="1:26" x14ac:dyDescent="0.25">
      <c r="A746" s="5" t="s">
        <v>34</v>
      </c>
      <c r="B746" s="5" t="s">
        <v>215</v>
      </c>
      <c r="C746" s="5" t="s">
        <v>216</v>
      </c>
      <c r="D746" s="5" t="s">
        <v>37</v>
      </c>
      <c r="E746" s="5" t="s">
        <v>138</v>
      </c>
      <c r="F746" s="5" t="s">
        <v>139</v>
      </c>
      <c r="G746" s="5" t="s">
        <v>40</v>
      </c>
      <c r="H746" s="6">
        <v>45961</v>
      </c>
      <c r="I746" s="6">
        <v>45961</v>
      </c>
      <c r="J746" s="6">
        <v>45964</v>
      </c>
      <c r="K746" s="5" t="s">
        <v>135</v>
      </c>
      <c r="L746" s="5" t="s">
        <v>136</v>
      </c>
      <c r="M746" s="5" t="s">
        <v>43</v>
      </c>
      <c r="N746" s="5" t="s">
        <v>137</v>
      </c>
      <c r="O746" s="7">
        <v>157.35</v>
      </c>
      <c r="P746" s="5" t="s">
        <v>45</v>
      </c>
      <c r="Q746" s="22"/>
      <c r="R746" s="8">
        <f t="shared" si="39"/>
        <v>157.35</v>
      </c>
      <c r="S746" s="7">
        <v>157.35</v>
      </c>
      <c r="T746" s="7"/>
      <c r="U746" s="7">
        <f t="shared" si="38"/>
        <v>157.35</v>
      </c>
      <c r="V746" s="5" t="s">
        <v>45</v>
      </c>
      <c r="W746" s="7">
        <v>46.31</v>
      </c>
      <c r="X746" s="5" t="s">
        <v>46</v>
      </c>
      <c r="Z746" s="8">
        <f t="shared" si="37"/>
        <v>46.31</v>
      </c>
    </row>
    <row r="747" spans="1:26" x14ac:dyDescent="0.25">
      <c r="A747" s="5" t="s">
        <v>34</v>
      </c>
      <c r="B747" s="5" t="s">
        <v>215</v>
      </c>
      <c r="C747" s="5" t="s">
        <v>216</v>
      </c>
      <c r="D747" s="5" t="s">
        <v>37</v>
      </c>
      <c r="E747" s="5" t="s">
        <v>142</v>
      </c>
      <c r="F747" s="5" t="s">
        <v>143</v>
      </c>
      <c r="G747" s="5" t="s">
        <v>40</v>
      </c>
      <c r="H747" s="6">
        <v>45961</v>
      </c>
      <c r="I747" s="6">
        <v>45961</v>
      </c>
      <c r="J747" s="6">
        <v>45964</v>
      </c>
      <c r="K747" s="5" t="s">
        <v>135</v>
      </c>
      <c r="L747" s="5" t="s">
        <v>136</v>
      </c>
      <c r="M747" s="5" t="s">
        <v>43</v>
      </c>
      <c r="N747" s="5" t="s">
        <v>137</v>
      </c>
      <c r="O747" s="7">
        <v>9.59</v>
      </c>
      <c r="P747" s="5" t="s">
        <v>45</v>
      </c>
      <c r="Q747" s="22"/>
      <c r="R747" s="8">
        <f t="shared" si="39"/>
        <v>9.59</v>
      </c>
      <c r="S747" s="7">
        <v>9.59</v>
      </c>
      <c r="T747" s="7"/>
      <c r="U747" s="7">
        <f t="shared" si="38"/>
        <v>9.59</v>
      </c>
      <c r="V747" s="5" t="s">
        <v>45</v>
      </c>
      <c r="W747" s="7">
        <v>2.82</v>
      </c>
      <c r="X747" s="5" t="s">
        <v>46</v>
      </c>
      <c r="Z747" s="8">
        <f t="shared" si="37"/>
        <v>2.82</v>
      </c>
    </row>
    <row r="748" spans="1:26" x14ac:dyDescent="0.25">
      <c r="A748" s="5" t="s">
        <v>34</v>
      </c>
      <c r="B748" s="5" t="s">
        <v>215</v>
      </c>
      <c r="C748" s="5" t="s">
        <v>216</v>
      </c>
      <c r="D748" s="5" t="s">
        <v>37</v>
      </c>
      <c r="E748" s="5" t="s">
        <v>100</v>
      </c>
      <c r="F748" s="5" t="s">
        <v>101</v>
      </c>
      <c r="G748" s="5" t="s">
        <v>40</v>
      </c>
      <c r="H748" s="6">
        <v>45961</v>
      </c>
      <c r="I748" s="6">
        <v>45961</v>
      </c>
      <c r="J748" s="6">
        <v>45964</v>
      </c>
      <c r="K748" s="5" t="s">
        <v>135</v>
      </c>
      <c r="L748" s="5" t="s">
        <v>136</v>
      </c>
      <c r="M748" s="5" t="s">
        <v>43</v>
      </c>
      <c r="N748" s="5" t="s">
        <v>137</v>
      </c>
      <c r="O748" s="7">
        <v>209.7</v>
      </c>
      <c r="P748" s="5" t="s">
        <v>45</v>
      </c>
      <c r="Q748" s="22"/>
      <c r="R748" s="8">
        <f t="shared" si="39"/>
        <v>209.7</v>
      </c>
      <c r="S748" s="7">
        <v>209.7</v>
      </c>
      <c r="T748" s="7"/>
      <c r="U748" s="7">
        <f t="shared" si="38"/>
        <v>209.7</v>
      </c>
      <c r="V748" s="5" t="s">
        <v>45</v>
      </c>
      <c r="W748" s="7">
        <v>61.71</v>
      </c>
      <c r="X748" s="5" t="s">
        <v>46</v>
      </c>
      <c r="Z748" s="8">
        <f t="shared" si="37"/>
        <v>61.71</v>
      </c>
    </row>
    <row r="749" spans="1:26" x14ac:dyDescent="0.25">
      <c r="A749" s="5" t="s">
        <v>34</v>
      </c>
      <c r="B749" s="5" t="s">
        <v>215</v>
      </c>
      <c r="C749" s="5" t="s">
        <v>216</v>
      </c>
      <c r="D749" s="5" t="s">
        <v>37</v>
      </c>
      <c r="E749" s="5" t="s">
        <v>78</v>
      </c>
      <c r="F749" s="5" t="s">
        <v>79</v>
      </c>
      <c r="G749" s="5" t="s">
        <v>40</v>
      </c>
      <c r="H749" s="6">
        <v>45961</v>
      </c>
      <c r="I749" s="6">
        <v>45961</v>
      </c>
      <c r="J749" s="6">
        <v>45964</v>
      </c>
      <c r="K749" s="5" t="s">
        <v>135</v>
      </c>
      <c r="L749" s="5" t="s">
        <v>136</v>
      </c>
      <c r="M749" s="5" t="s">
        <v>43</v>
      </c>
      <c r="N749" s="5" t="s">
        <v>137</v>
      </c>
      <c r="O749" s="7">
        <v>884.66</v>
      </c>
      <c r="P749" s="5" t="s">
        <v>45</v>
      </c>
      <c r="Q749" s="22"/>
      <c r="R749" s="8">
        <f t="shared" si="39"/>
        <v>884.66</v>
      </c>
      <c r="S749" s="7">
        <v>884.66</v>
      </c>
      <c r="T749" s="7"/>
      <c r="U749" s="7">
        <f t="shared" si="38"/>
        <v>884.66</v>
      </c>
      <c r="V749" s="5" t="s">
        <v>45</v>
      </c>
      <c r="W749" s="7">
        <v>260.35000000000002</v>
      </c>
      <c r="X749" s="5" t="s">
        <v>46</v>
      </c>
      <c r="Z749" s="8">
        <f t="shared" si="37"/>
        <v>260.35000000000002</v>
      </c>
    </row>
    <row r="750" spans="1:26" x14ac:dyDescent="0.25">
      <c r="A750" s="5" t="s">
        <v>34</v>
      </c>
      <c r="B750" s="5" t="s">
        <v>215</v>
      </c>
      <c r="C750" s="5" t="s">
        <v>216</v>
      </c>
      <c r="D750" s="5" t="s">
        <v>37</v>
      </c>
      <c r="E750" s="5" t="s">
        <v>110</v>
      </c>
      <c r="F750" s="5" t="s">
        <v>111</v>
      </c>
      <c r="G750" s="5" t="s">
        <v>40</v>
      </c>
      <c r="H750" s="6">
        <v>45961</v>
      </c>
      <c r="I750" s="6">
        <v>45961</v>
      </c>
      <c r="J750" s="6">
        <v>45960</v>
      </c>
      <c r="K750" s="5" t="s">
        <v>150</v>
      </c>
      <c r="L750" s="5" t="s">
        <v>151</v>
      </c>
      <c r="M750" s="5" t="s">
        <v>43</v>
      </c>
      <c r="N750" s="5" t="s">
        <v>152</v>
      </c>
      <c r="O750" s="7">
        <v>19.14</v>
      </c>
      <c r="P750" s="5" t="s">
        <v>45</v>
      </c>
      <c r="Q750" s="22"/>
      <c r="R750" s="8">
        <f t="shared" si="39"/>
        <v>19.14</v>
      </c>
      <c r="S750" s="7">
        <v>19.14</v>
      </c>
      <c r="T750" s="7"/>
      <c r="U750" s="7">
        <f t="shared" si="38"/>
        <v>19.14</v>
      </c>
      <c r="V750" s="5" t="s">
        <v>45</v>
      </c>
      <c r="W750" s="7">
        <v>5.64</v>
      </c>
      <c r="X750" s="5" t="s">
        <v>46</v>
      </c>
      <c r="Z750" s="8">
        <f t="shared" si="37"/>
        <v>5.64</v>
      </c>
    </row>
    <row r="751" spans="1:26" x14ac:dyDescent="0.25">
      <c r="A751" s="5" t="s">
        <v>34</v>
      </c>
      <c r="B751" s="5" t="s">
        <v>217</v>
      </c>
      <c r="C751" s="5" t="s">
        <v>218</v>
      </c>
      <c r="D751" s="5" t="s">
        <v>37</v>
      </c>
      <c r="E751" s="5" t="s">
        <v>62</v>
      </c>
      <c r="F751" s="5" t="s">
        <v>63</v>
      </c>
      <c r="G751" s="5" t="s">
        <v>40</v>
      </c>
      <c r="H751" s="6">
        <v>45961</v>
      </c>
      <c r="I751" s="6">
        <v>45961</v>
      </c>
      <c r="J751" s="6">
        <v>45964</v>
      </c>
      <c r="K751" s="5" t="s">
        <v>41</v>
      </c>
      <c r="L751" s="5" t="s">
        <v>42</v>
      </c>
      <c r="M751" s="5" t="s">
        <v>43</v>
      </c>
      <c r="N751" s="5" t="s">
        <v>44</v>
      </c>
      <c r="O751" s="7">
        <v>8.32</v>
      </c>
      <c r="P751" s="5" t="s">
        <v>45</v>
      </c>
      <c r="Q751" s="22"/>
      <c r="R751" s="8">
        <f t="shared" si="39"/>
        <v>8.32</v>
      </c>
      <c r="S751" s="7">
        <v>8.32</v>
      </c>
      <c r="T751" s="7"/>
      <c r="U751" s="7">
        <f t="shared" si="38"/>
        <v>8.32</v>
      </c>
      <c r="V751" s="5" t="s">
        <v>45</v>
      </c>
      <c r="W751" s="7">
        <v>2.4500000000000002</v>
      </c>
      <c r="X751" s="5" t="s">
        <v>46</v>
      </c>
      <c r="Z751" s="8">
        <f t="shared" si="37"/>
        <v>2.4500000000000002</v>
      </c>
    </row>
    <row r="752" spans="1:26" x14ac:dyDescent="0.25">
      <c r="A752" s="5" t="s">
        <v>34</v>
      </c>
      <c r="B752" s="5" t="s">
        <v>217</v>
      </c>
      <c r="C752" s="5" t="s">
        <v>218</v>
      </c>
      <c r="D752" s="5" t="s">
        <v>37</v>
      </c>
      <c r="E752" s="5" t="s">
        <v>92</v>
      </c>
      <c r="F752" s="5" t="s">
        <v>93</v>
      </c>
      <c r="G752" s="5" t="s">
        <v>40</v>
      </c>
      <c r="H752" s="6">
        <v>45961</v>
      </c>
      <c r="I752" s="6">
        <v>45961</v>
      </c>
      <c r="J752" s="6">
        <v>45964</v>
      </c>
      <c r="K752" s="5" t="s">
        <v>41</v>
      </c>
      <c r="L752" s="5" t="s">
        <v>42</v>
      </c>
      <c r="M752" s="5" t="s">
        <v>43</v>
      </c>
      <c r="N752" s="5" t="s">
        <v>44</v>
      </c>
      <c r="O752" s="7">
        <v>15.25</v>
      </c>
      <c r="P752" s="5" t="s">
        <v>45</v>
      </c>
      <c r="Q752" s="22"/>
      <c r="R752" s="8">
        <f t="shared" si="39"/>
        <v>15.25</v>
      </c>
      <c r="S752" s="7">
        <v>15.25</v>
      </c>
      <c r="T752" s="7"/>
      <c r="U752" s="7">
        <f t="shared" si="38"/>
        <v>15.25</v>
      </c>
      <c r="V752" s="5" t="s">
        <v>45</v>
      </c>
      <c r="W752" s="7">
        <v>4.49</v>
      </c>
      <c r="X752" s="5" t="s">
        <v>46</v>
      </c>
      <c r="Z752" s="8">
        <f t="shared" si="37"/>
        <v>4.49</v>
      </c>
    </row>
    <row r="753" spans="1:26" x14ac:dyDescent="0.25">
      <c r="A753" s="5" t="s">
        <v>34</v>
      </c>
      <c r="B753" s="5" t="s">
        <v>217</v>
      </c>
      <c r="C753" s="5" t="s">
        <v>218</v>
      </c>
      <c r="D753" s="5" t="s">
        <v>37</v>
      </c>
      <c r="E753" s="5" t="s">
        <v>94</v>
      </c>
      <c r="F753" s="5" t="s">
        <v>95</v>
      </c>
      <c r="G753" s="5" t="s">
        <v>40</v>
      </c>
      <c r="H753" s="6">
        <v>45961</v>
      </c>
      <c r="I753" s="6">
        <v>45961</v>
      </c>
      <c r="J753" s="6">
        <v>45964</v>
      </c>
      <c r="K753" s="5" t="s">
        <v>41</v>
      </c>
      <c r="L753" s="5" t="s">
        <v>42</v>
      </c>
      <c r="M753" s="5" t="s">
        <v>43</v>
      </c>
      <c r="N753" s="5" t="s">
        <v>44</v>
      </c>
      <c r="O753" s="7">
        <v>112.96</v>
      </c>
      <c r="P753" s="5" t="s">
        <v>45</v>
      </c>
      <c r="Q753" s="22"/>
      <c r="R753" s="8">
        <f t="shared" si="39"/>
        <v>112.96</v>
      </c>
      <c r="S753" s="7">
        <v>112.96</v>
      </c>
      <c r="T753" s="7"/>
      <c r="U753" s="7">
        <f t="shared" si="38"/>
        <v>112.96</v>
      </c>
      <c r="V753" s="5" t="s">
        <v>45</v>
      </c>
      <c r="W753" s="7">
        <v>33.24</v>
      </c>
      <c r="X753" s="5" t="s">
        <v>46</v>
      </c>
      <c r="Z753" s="8">
        <f t="shared" si="37"/>
        <v>33.24</v>
      </c>
    </row>
    <row r="754" spans="1:26" x14ac:dyDescent="0.25">
      <c r="A754" s="5" t="s">
        <v>34</v>
      </c>
      <c r="B754" s="5" t="s">
        <v>217</v>
      </c>
      <c r="C754" s="5" t="s">
        <v>218</v>
      </c>
      <c r="D754" s="5" t="s">
        <v>37</v>
      </c>
      <c r="E754" s="5" t="s">
        <v>80</v>
      </c>
      <c r="F754" s="5" t="s">
        <v>81</v>
      </c>
      <c r="G754" s="5" t="s">
        <v>40</v>
      </c>
      <c r="H754" s="6">
        <v>45961</v>
      </c>
      <c r="I754" s="6">
        <v>45961</v>
      </c>
      <c r="J754" s="6">
        <v>45964</v>
      </c>
      <c r="K754" s="5" t="s">
        <v>41</v>
      </c>
      <c r="L754" s="5" t="s">
        <v>42</v>
      </c>
      <c r="M754" s="5" t="s">
        <v>43</v>
      </c>
      <c r="N754" s="5" t="s">
        <v>44</v>
      </c>
      <c r="O754" s="7">
        <v>13.01</v>
      </c>
      <c r="P754" s="5" t="s">
        <v>45</v>
      </c>
      <c r="Q754" s="22"/>
      <c r="R754" s="8">
        <f t="shared" si="39"/>
        <v>13.01</v>
      </c>
      <c r="S754" s="7">
        <v>13.01</v>
      </c>
      <c r="T754" s="7"/>
      <c r="U754" s="7">
        <f t="shared" si="38"/>
        <v>13.01</v>
      </c>
      <c r="V754" s="5" t="s">
        <v>45</v>
      </c>
      <c r="W754" s="7">
        <v>3.83</v>
      </c>
      <c r="X754" s="5" t="s">
        <v>46</v>
      </c>
      <c r="Z754" s="8">
        <f t="shared" si="37"/>
        <v>3.83</v>
      </c>
    </row>
    <row r="755" spans="1:26" x14ac:dyDescent="0.25">
      <c r="A755" s="5" t="s">
        <v>34</v>
      </c>
      <c r="B755" s="5" t="s">
        <v>217</v>
      </c>
      <c r="C755" s="5" t="s">
        <v>218</v>
      </c>
      <c r="D755" s="5" t="s">
        <v>37</v>
      </c>
      <c r="E755" s="5" t="s">
        <v>74</v>
      </c>
      <c r="F755" s="5" t="s">
        <v>75</v>
      </c>
      <c r="G755" s="5" t="s">
        <v>40</v>
      </c>
      <c r="H755" s="6">
        <v>45961</v>
      </c>
      <c r="I755" s="6">
        <v>45961</v>
      </c>
      <c r="J755" s="6">
        <v>45964</v>
      </c>
      <c r="K755" s="5" t="s">
        <v>41</v>
      </c>
      <c r="L755" s="5" t="s">
        <v>42</v>
      </c>
      <c r="M755" s="5" t="s">
        <v>43</v>
      </c>
      <c r="N755" s="5" t="s">
        <v>44</v>
      </c>
      <c r="O755" s="7">
        <v>43.45</v>
      </c>
      <c r="P755" s="5" t="s">
        <v>45</v>
      </c>
      <c r="Q755" s="22"/>
      <c r="R755" s="8">
        <f t="shared" si="39"/>
        <v>43.45</v>
      </c>
      <c r="S755" s="7">
        <v>43.45</v>
      </c>
      <c r="T755" s="7"/>
      <c r="U755" s="7">
        <f t="shared" si="38"/>
        <v>43.45</v>
      </c>
      <c r="V755" s="5" t="s">
        <v>45</v>
      </c>
      <c r="W755" s="7">
        <v>12.79</v>
      </c>
      <c r="X755" s="5" t="s">
        <v>46</v>
      </c>
      <c r="Z755" s="8">
        <f t="shared" si="37"/>
        <v>12.79</v>
      </c>
    </row>
    <row r="756" spans="1:26" x14ac:dyDescent="0.25">
      <c r="A756" s="5" t="s">
        <v>34</v>
      </c>
      <c r="B756" s="5" t="s">
        <v>217</v>
      </c>
      <c r="C756" s="5" t="s">
        <v>218</v>
      </c>
      <c r="D756" s="5" t="s">
        <v>37</v>
      </c>
      <c r="E756" s="5" t="s">
        <v>38</v>
      </c>
      <c r="F756" s="5" t="s">
        <v>39</v>
      </c>
      <c r="G756" s="5" t="s">
        <v>40</v>
      </c>
      <c r="H756" s="6">
        <v>45961</v>
      </c>
      <c r="I756" s="6">
        <v>45961</v>
      </c>
      <c r="J756" s="6">
        <v>45964</v>
      </c>
      <c r="K756" s="5" t="s">
        <v>41</v>
      </c>
      <c r="L756" s="5" t="s">
        <v>42</v>
      </c>
      <c r="M756" s="5" t="s">
        <v>43</v>
      </c>
      <c r="N756" s="5" t="s">
        <v>44</v>
      </c>
      <c r="O756" s="7">
        <v>6.46</v>
      </c>
      <c r="P756" s="5" t="s">
        <v>45</v>
      </c>
      <c r="Q756" s="22"/>
      <c r="R756" s="8">
        <f t="shared" si="39"/>
        <v>6.46</v>
      </c>
      <c r="S756" s="7">
        <v>6.46</v>
      </c>
      <c r="T756" s="7"/>
      <c r="U756" s="7">
        <f t="shared" si="38"/>
        <v>6.46</v>
      </c>
      <c r="V756" s="5" t="s">
        <v>45</v>
      </c>
      <c r="W756" s="7">
        <v>1.9</v>
      </c>
      <c r="X756" s="5" t="s">
        <v>46</v>
      </c>
      <c r="Z756" s="8">
        <f t="shared" si="37"/>
        <v>1.9</v>
      </c>
    </row>
    <row r="757" spans="1:26" x14ac:dyDescent="0.25">
      <c r="A757" s="5" t="s">
        <v>34</v>
      </c>
      <c r="B757" s="5" t="s">
        <v>217</v>
      </c>
      <c r="C757" s="5" t="s">
        <v>218</v>
      </c>
      <c r="D757" s="5" t="s">
        <v>37</v>
      </c>
      <c r="E757" s="5" t="s">
        <v>116</v>
      </c>
      <c r="F757" s="5" t="s">
        <v>117</v>
      </c>
      <c r="G757" s="5" t="s">
        <v>40</v>
      </c>
      <c r="H757" s="6">
        <v>45961</v>
      </c>
      <c r="I757" s="6">
        <v>45961</v>
      </c>
      <c r="J757" s="6">
        <v>45964</v>
      </c>
      <c r="K757" s="5" t="s">
        <v>41</v>
      </c>
      <c r="L757" s="5" t="s">
        <v>42</v>
      </c>
      <c r="M757" s="5" t="s">
        <v>43</v>
      </c>
      <c r="N757" s="5" t="s">
        <v>44</v>
      </c>
      <c r="O757" s="7">
        <v>16.079999999999998</v>
      </c>
      <c r="P757" s="5" t="s">
        <v>45</v>
      </c>
      <c r="Q757" s="22"/>
      <c r="R757" s="8">
        <f t="shared" si="39"/>
        <v>16.079999999999998</v>
      </c>
      <c r="S757" s="7">
        <v>16.079999999999998</v>
      </c>
      <c r="T757" s="7"/>
      <c r="U757" s="7">
        <f t="shared" si="38"/>
        <v>16.079999999999998</v>
      </c>
      <c r="V757" s="5" t="s">
        <v>45</v>
      </c>
      <c r="W757" s="7">
        <v>4.7300000000000004</v>
      </c>
      <c r="X757" s="5" t="s">
        <v>46</v>
      </c>
      <c r="Z757" s="8">
        <f t="shared" si="37"/>
        <v>4.7300000000000004</v>
      </c>
    </row>
    <row r="758" spans="1:26" x14ac:dyDescent="0.25">
      <c r="A758" s="5" t="s">
        <v>34</v>
      </c>
      <c r="B758" s="5" t="s">
        <v>217</v>
      </c>
      <c r="C758" s="5" t="s">
        <v>218</v>
      </c>
      <c r="D758" s="5" t="s">
        <v>37</v>
      </c>
      <c r="E758" s="5" t="s">
        <v>58</v>
      </c>
      <c r="F758" s="5" t="s">
        <v>59</v>
      </c>
      <c r="G758" s="5" t="s">
        <v>40</v>
      </c>
      <c r="H758" s="6">
        <v>45961</v>
      </c>
      <c r="I758" s="6">
        <v>45961</v>
      </c>
      <c r="J758" s="6">
        <v>45964</v>
      </c>
      <c r="K758" s="5" t="s">
        <v>41</v>
      </c>
      <c r="L758" s="5" t="s">
        <v>42</v>
      </c>
      <c r="M758" s="5" t="s">
        <v>43</v>
      </c>
      <c r="N758" s="5" t="s">
        <v>44</v>
      </c>
      <c r="O758" s="7">
        <v>68.099999999999994</v>
      </c>
      <c r="P758" s="5" t="s">
        <v>45</v>
      </c>
      <c r="Q758" s="22"/>
      <c r="R758" s="8">
        <f t="shared" si="39"/>
        <v>68.099999999999994</v>
      </c>
      <c r="S758" s="7">
        <v>68.099999999999994</v>
      </c>
      <c r="T758" s="7"/>
      <c r="U758" s="7">
        <f t="shared" si="38"/>
        <v>68.099999999999994</v>
      </c>
      <c r="V758" s="5" t="s">
        <v>45</v>
      </c>
      <c r="W758" s="7">
        <v>20.04</v>
      </c>
      <c r="X758" s="5" t="s">
        <v>46</v>
      </c>
      <c r="Z758" s="8">
        <f t="shared" si="37"/>
        <v>20.04</v>
      </c>
    </row>
    <row r="759" spans="1:26" x14ac:dyDescent="0.25">
      <c r="A759" s="5" t="s">
        <v>34</v>
      </c>
      <c r="B759" s="5" t="s">
        <v>217</v>
      </c>
      <c r="C759" s="5" t="s">
        <v>218</v>
      </c>
      <c r="D759" s="5" t="s">
        <v>37</v>
      </c>
      <c r="E759" s="5" t="s">
        <v>100</v>
      </c>
      <c r="F759" s="5" t="s">
        <v>101</v>
      </c>
      <c r="G759" s="5" t="s">
        <v>40</v>
      </c>
      <c r="H759" s="6">
        <v>45961</v>
      </c>
      <c r="I759" s="6">
        <v>45961</v>
      </c>
      <c r="J759" s="6">
        <v>45964</v>
      </c>
      <c r="K759" s="5" t="s">
        <v>41</v>
      </c>
      <c r="L759" s="5" t="s">
        <v>42</v>
      </c>
      <c r="M759" s="5" t="s">
        <v>43</v>
      </c>
      <c r="N759" s="5" t="s">
        <v>44</v>
      </c>
      <c r="O759" s="7">
        <v>21.43</v>
      </c>
      <c r="P759" s="5" t="s">
        <v>45</v>
      </c>
      <c r="Q759" s="22"/>
      <c r="R759" s="8">
        <f t="shared" si="39"/>
        <v>21.43</v>
      </c>
      <c r="S759" s="7">
        <v>21.43</v>
      </c>
      <c r="T759" s="7"/>
      <c r="U759" s="7">
        <f t="shared" si="38"/>
        <v>21.43</v>
      </c>
      <c r="V759" s="5" t="s">
        <v>45</v>
      </c>
      <c r="W759" s="7">
        <v>6.31</v>
      </c>
      <c r="X759" s="5" t="s">
        <v>46</v>
      </c>
      <c r="Z759" s="8">
        <f t="shared" si="37"/>
        <v>6.31</v>
      </c>
    </row>
    <row r="760" spans="1:26" x14ac:dyDescent="0.25">
      <c r="A760" s="5" t="s">
        <v>34</v>
      </c>
      <c r="B760" s="5" t="s">
        <v>217</v>
      </c>
      <c r="C760" s="5" t="s">
        <v>218</v>
      </c>
      <c r="D760" s="5" t="s">
        <v>37</v>
      </c>
      <c r="E760" s="5" t="s">
        <v>96</v>
      </c>
      <c r="F760" s="5" t="s">
        <v>97</v>
      </c>
      <c r="G760" s="5" t="s">
        <v>40</v>
      </c>
      <c r="H760" s="6">
        <v>45961</v>
      </c>
      <c r="I760" s="6">
        <v>45961</v>
      </c>
      <c r="J760" s="6">
        <v>45964</v>
      </c>
      <c r="K760" s="5" t="s">
        <v>41</v>
      </c>
      <c r="L760" s="5" t="s">
        <v>42</v>
      </c>
      <c r="M760" s="5" t="s">
        <v>43</v>
      </c>
      <c r="N760" s="5" t="s">
        <v>44</v>
      </c>
      <c r="O760" s="7">
        <v>68.540000000000006</v>
      </c>
      <c r="P760" s="5" t="s">
        <v>45</v>
      </c>
      <c r="Q760" s="22"/>
      <c r="R760" s="8">
        <f t="shared" si="39"/>
        <v>68.540000000000006</v>
      </c>
      <c r="S760" s="7">
        <v>68.540000000000006</v>
      </c>
      <c r="T760" s="7"/>
      <c r="U760" s="7">
        <f t="shared" si="38"/>
        <v>68.540000000000006</v>
      </c>
      <c r="V760" s="5" t="s">
        <v>45</v>
      </c>
      <c r="W760" s="7">
        <v>20.170000000000002</v>
      </c>
      <c r="X760" s="5" t="s">
        <v>46</v>
      </c>
      <c r="Z760" s="8">
        <f t="shared" si="37"/>
        <v>20.170000000000002</v>
      </c>
    </row>
    <row r="761" spans="1:26" x14ac:dyDescent="0.25">
      <c r="A761" s="5" t="s">
        <v>34</v>
      </c>
      <c r="B761" s="5" t="s">
        <v>217</v>
      </c>
      <c r="C761" s="5" t="s">
        <v>218</v>
      </c>
      <c r="D761" s="5" t="s">
        <v>37</v>
      </c>
      <c r="E761" s="5" t="s">
        <v>110</v>
      </c>
      <c r="F761" s="5" t="s">
        <v>111</v>
      </c>
      <c r="G761" s="5" t="s">
        <v>40</v>
      </c>
      <c r="H761" s="6">
        <v>45961</v>
      </c>
      <c r="I761" s="6">
        <v>45961</v>
      </c>
      <c r="J761" s="6">
        <v>45964</v>
      </c>
      <c r="K761" s="5" t="s">
        <v>41</v>
      </c>
      <c r="L761" s="5" t="s">
        <v>42</v>
      </c>
      <c r="M761" s="5" t="s">
        <v>43</v>
      </c>
      <c r="N761" s="5" t="s">
        <v>44</v>
      </c>
      <c r="O761" s="7">
        <v>16.27</v>
      </c>
      <c r="P761" s="5" t="s">
        <v>45</v>
      </c>
      <c r="Q761" s="22"/>
      <c r="R761" s="8">
        <f t="shared" si="39"/>
        <v>16.27</v>
      </c>
      <c r="S761" s="7">
        <v>16.27</v>
      </c>
      <c r="T761" s="7"/>
      <c r="U761" s="7">
        <f t="shared" si="38"/>
        <v>16.27</v>
      </c>
      <c r="V761" s="5" t="s">
        <v>45</v>
      </c>
      <c r="W761" s="7">
        <v>4.79</v>
      </c>
      <c r="X761" s="5" t="s">
        <v>46</v>
      </c>
      <c r="Z761" s="8">
        <f t="shared" si="37"/>
        <v>4.79</v>
      </c>
    </row>
    <row r="762" spans="1:26" x14ac:dyDescent="0.25">
      <c r="A762" s="5" t="s">
        <v>34</v>
      </c>
      <c r="B762" s="5" t="s">
        <v>217</v>
      </c>
      <c r="C762" s="5" t="s">
        <v>218</v>
      </c>
      <c r="D762" s="5" t="s">
        <v>37</v>
      </c>
      <c r="E762" s="5" t="s">
        <v>60</v>
      </c>
      <c r="F762" s="5" t="s">
        <v>61</v>
      </c>
      <c r="G762" s="5" t="s">
        <v>40</v>
      </c>
      <c r="H762" s="6">
        <v>45961</v>
      </c>
      <c r="I762" s="6">
        <v>45961</v>
      </c>
      <c r="J762" s="6">
        <v>45964</v>
      </c>
      <c r="K762" s="5" t="s">
        <v>41</v>
      </c>
      <c r="L762" s="5" t="s">
        <v>42</v>
      </c>
      <c r="M762" s="5" t="s">
        <v>43</v>
      </c>
      <c r="N762" s="5" t="s">
        <v>44</v>
      </c>
      <c r="O762" s="7">
        <v>87.78</v>
      </c>
      <c r="P762" s="5" t="s">
        <v>45</v>
      </c>
      <c r="Q762" s="22"/>
      <c r="R762" s="8">
        <f t="shared" si="39"/>
        <v>87.78</v>
      </c>
      <c r="S762" s="7">
        <v>87.78</v>
      </c>
      <c r="T762" s="7"/>
      <c r="U762" s="7">
        <f t="shared" si="38"/>
        <v>87.78</v>
      </c>
      <c r="V762" s="5" t="s">
        <v>45</v>
      </c>
      <c r="W762" s="7">
        <v>25.83</v>
      </c>
      <c r="X762" s="5" t="s">
        <v>46</v>
      </c>
      <c r="Z762" s="8">
        <f t="shared" si="37"/>
        <v>25.83</v>
      </c>
    </row>
    <row r="763" spans="1:26" x14ac:dyDescent="0.25">
      <c r="A763" s="5" t="s">
        <v>34</v>
      </c>
      <c r="B763" s="5" t="s">
        <v>217</v>
      </c>
      <c r="C763" s="5" t="s">
        <v>218</v>
      </c>
      <c r="D763" s="5" t="s">
        <v>37</v>
      </c>
      <c r="E763" s="5" t="s">
        <v>56</v>
      </c>
      <c r="F763" s="5" t="s">
        <v>57</v>
      </c>
      <c r="G763" s="5" t="s">
        <v>40</v>
      </c>
      <c r="H763" s="6">
        <v>45961</v>
      </c>
      <c r="I763" s="6">
        <v>45961</v>
      </c>
      <c r="J763" s="6">
        <v>45964</v>
      </c>
      <c r="K763" s="5" t="s">
        <v>41</v>
      </c>
      <c r="L763" s="5" t="s">
        <v>42</v>
      </c>
      <c r="M763" s="5" t="s">
        <v>43</v>
      </c>
      <c r="N763" s="5" t="s">
        <v>44</v>
      </c>
      <c r="O763" s="7">
        <v>72.8</v>
      </c>
      <c r="P763" s="5" t="s">
        <v>45</v>
      </c>
      <c r="Q763" s="22"/>
      <c r="R763" s="8">
        <f t="shared" si="39"/>
        <v>72.8</v>
      </c>
      <c r="S763" s="7">
        <v>72.8</v>
      </c>
      <c r="T763" s="7"/>
      <c r="U763" s="7">
        <f t="shared" si="38"/>
        <v>72.8</v>
      </c>
      <c r="V763" s="5" t="s">
        <v>45</v>
      </c>
      <c r="W763" s="7">
        <v>21.42</v>
      </c>
      <c r="X763" s="5" t="s">
        <v>46</v>
      </c>
      <c r="Z763" s="8">
        <f t="shared" si="37"/>
        <v>21.42</v>
      </c>
    </row>
    <row r="764" spans="1:26" x14ac:dyDescent="0.25">
      <c r="A764" s="5" t="s">
        <v>34</v>
      </c>
      <c r="B764" s="5" t="s">
        <v>217</v>
      </c>
      <c r="C764" s="5" t="s">
        <v>218</v>
      </c>
      <c r="D764" s="5" t="s">
        <v>37</v>
      </c>
      <c r="E764" s="5" t="s">
        <v>108</v>
      </c>
      <c r="F764" s="5" t="s">
        <v>109</v>
      </c>
      <c r="G764" s="5" t="s">
        <v>40</v>
      </c>
      <c r="H764" s="6">
        <v>45961</v>
      </c>
      <c r="I764" s="6">
        <v>45961</v>
      </c>
      <c r="J764" s="6">
        <v>45964</v>
      </c>
      <c r="K764" s="5" t="s">
        <v>41</v>
      </c>
      <c r="L764" s="5" t="s">
        <v>42</v>
      </c>
      <c r="M764" s="5" t="s">
        <v>43</v>
      </c>
      <c r="N764" s="5" t="s">
        <v>44</v>
      </c>
      <c r="O764" s="7">
        <v>14.83</v>
      </c>
      <c r="P764" s="5" t="s">
        <v>45</v>
      </c>
      <c r="Q764" s="22"/>
      <c r="R764" s="8">
        <f t="shared" si="39"/>
        <v>14.83</v>
      </c>
      <c r="S764" s="7">
        <v>14.83</v>
      </c>
      <c r="T764" s="7"/>
      <c r="U764" s="7">
        <f t="shared" si="38"/>
        <v>14.83</v>
      </c>
      <c r="V764" s="5" t="s">
        <v>45</v>
      </c>
      <c r="W764" s="7">
        <v>4.3600000000000003</v>
      </c>
      <c r="X764" s="5" t="s">
        <v>46</v>
      </c>
      <c r="Z764" s="8">
        <f t="shared" si="37"/>
        <v>4.3600000000000003</v>
      </c>
    </row>
    <row r="765" spans="1:26" x14ac:dyDescent="0.25">
      <c r="A765" s="5" t="s">
        <v>34</v>
      </c>
      <c r="B765" s="5" t="s">
        <v>217</v>
      </c>
      <c r="C765" s="5" t="s">
        <v>218</v>
      </c>
      <c r="D765" s="5" t="s">
        <v>37</v>
      </c>
      <c r="E765" s="5" t="s">
        <v>112</v>
      </c>
      <c r="F765" s="5" t="s">
        <v>113</v>
      </c>
      <c r="G765" s="5" t="s">
        <v>40</v>
      </c>
      <c r="H765" s="6">
        <v>45961</v>
      </c>
      <c r="I765" s="6">
        <v>45961</v>
      </c>
      <c r="J765" s="6">
        <v>45964</v>
      </c>
      <c r="K765" s="5" t="s">
        <v>41</v>
      </c>
      <c r="L765" s="5" t="s">
        <v>42</v>
      </c>
      <c r="M765" s="5" t="s">
        <v>43</v>
      </c>
      <c r="N765" s="5" t="s">
        <v>44</v>
      </c>
      <c r="O765" s="7">
        <v>5.48</v>
      </c>
      <c r="P765" s="5" t="s">
        <v>45</v>
      </c>
      <c r="Q765" s="22"/>
      <c r="R765" s="8">
        <f t="shared" si="39"/>
        <v>5.48</v>
      </c>
      <c r="S765" s="7">
        <v>5.48</v>
      </c>
      <c r="T765" s="7"/>
      <c r="U765" s="7">
        <f t="shared" si="38"/>
        <v>5.48</v>
      </c>
      <c r="V765" s="5" t="s">
        <v>45</v>
      </c>
      <c r="W765" s="7">
        <v>1.61</v>
      </c>
      <c r="X765" s="5" t="s">
        <v>46</v>
      </c>
      <c r="Z765" s="8">
        <f t="shared" si="37"/>
        <v>1.61</v>
      </c>
    </row>
    <row r="766" spans="1:26" x14ac:dyDescent="0.25">
      <c r="A766" s="5" t="s">
        <v>34</v>
      </c>
      <c r="B766" s="5" t="s">
        <v>217</v>
      </c>
      <c r="C766" s="5" t="s">
        <v>218</v>
      </c>
      <c r="D766" s="5" t="s">
        <v>37</v>
      </c>
      <c r="E766" s="5" t="s">
        <v>106</v>
      </c>
      <c r="F766" s="5" t="s">
        <v>107</v>
      </c>
      <c r="G766" s="5" t="s">
        <v>40</v>
      </c>
      <c r="H766" s="6">
        <v>45961</v>
      </c>
      <c r="I766" s="6">
        <v>45961</v>
      </c>
      <c r="J766" s="6">
        <v>45964</v>
      </c>
      <c r="K766" s="5" t="s">
        <v>41</v>
      </c>
      <c r="L766" s="5" t="s">
        <v>42</v>
      </c>
      <c r="M766" s="5" t="s">
        <v>43</v>
      </c>
      <c r="N766" s="5" t="s">
        <v>44</v>
      </c>
      <c r="O766" s="7">
        <v>14.08</v>
      </c>
      <c r="P766" s="5" t="s">
        <v>45</v>
      </c>
      <c r="Q766" s="22"/>
      <c r="R766" s="8">
        <f t="shared" si="39"/>
        <v>14.08</v>
      </c>
      <c r="S766" s="7">
        <v>14.08</v>
      </c>
      <c r="T766" s="7"/>
      <c r="U766" s="7">
        <f t="shared" si="38"/>
        <v>14.08</v>
      </c>
      <c r="V766" s="5" t="s">
        <v>45</v>
      </c>
      <c r="W766" s="7">
        <v>4.1399999999999997</v>
      </c>
      <c r="X766" s="5" t="s">
        <v>46</v>
      </c>
      <c r="Z766" s="8">
        <f t="shared" si="37"/>
        <v>4.1399999999999997</v>
      </c>
    </row>
    <row r="767" spans="1:26" x14ac:dyDescent="0.25">
      <c r="A767" s="5" t="s">
        <v>34</v>
      </c>
      <c r="B767" s="5" t="s">
        <v>217</v>
      </c>
      <c r="C767" s="5" t="s">
        <v>218</v>
      </c>
      <c r="D767" s="5" t="s">
        <v>37</v>
      </c>
      <c r="E767" s="5" t="s">
        <v>68</v>
      </c>
      <c r="F767" s="5" t="s">
        <v>69</v>
      </c>
      <c r="G767" s="5" t="s">
        <v>40</v>
      </c>
      <c r="H767" s="6">
        <v>45961</v>
      </c>
      <c r="I767" s="6">
        <v>45961</v>
      </c>
      <c r="J767" s="6">
        <v>45964</v>
      </c>
      <c r="K767" s="5" t="s">
        <v>41</v>
      </c>
      <c r="L767" s="5" t="s">
        <v>42</v>
      </c>
      <c r="M767" s="5" t="s">
        <v>43</v>
      </c>
      <c r="N767" s="5" t="s">
        <v>44</v>
      </c>
      <c r="O767" s="7">
        <v>8</v>
      </c>
      <c r="P767" s="5" t="s">
        <v>45</v>
      </c>
      <c r="Q767" s="22"/>
      <c r="R767" s="8">
        <f t="shared" si="39"/>
        <v>8</v>
      </c>
      <c r="S767" s="7">
        <v>8</v>
      </c>
      <c r="T767" s="7"/>
      <c r="U767" s="7">
        <f t="shared" si="38"/>
        <v>8</v>
      </c>
      <c r="V767" s="5" t="s">
        <v>45</v>
      </c>
      <c r="W767" s="7">
        <v>2.35</v>
      </c>
      <c r="X767" s="5" t="s">
        <v>46</v>
      </c>
      <c r="Z767" s="8">
        <f t="shared" si="37"/>
        <v>2.35</v>
      </c>
    </row>
    <row r="768" spans="1:26" x14ac:dyDescent="0.25">
      <c r="A768" s="5" t="s">
        <v>34</v>
      </c>
      <c r="B768" s="5" t="s">
        <v>217</v>
      </c>
      <c r="C768" s="5" t="s">
        <v>218</v>
      </c>
      <c r="D768" s="5" t="s">
        <v>37</v>
      </c>
      <c r="E768" s="5" t="s">
        <v>48</v>
      </c>
      <c r="F768" s="5" t="s">
        <v>49</v>
      </c>
      <c r="G768" s="5" t="s">
        <v>40</v>
      </c>
      <c r="H768" s="6">
        <v>45961</v>
      </c>
      <c r="I768" s="6">
        <v>45961</v>
      </c>
      <c r="J768" s="6">
        <v>45964</v>
      </c>
      <c r="K768" s="5" t="s">
        <v>41</v>
      </c>
      <c r="L768" s="5" t="s">
        <v>42</v>
      </c>
      <c r="M768" s="5" t="s">
        <v>43</v>
      </c>
      <c r="N768" s="5" t="s">
        <v>44</v>
      </c>
      <c r="O768" s="7">
        <v>15.15</v>
      </c>
      <c r="P768" s="5" t="s">
        <v>45</v>
      </c>
      <c r="Q768" s="22"/>
      <c r="R768" s="8">
        <f t="shared" si="39"/>
        <v>15.15</v>
      </c>
      <c r="S768" s="7">
        <v>15.15</v>
      </c>
      <c r="T768" s="7"/>
      <c r="U768" s="7">
        <f t="shared" si="38"/>
        <v>15.15</v>
      </c>
      <c r="V768" s="5" t="s">
        <v>45</v>
      </c>
      <c r="W768" s="7">
        <v>4.46</v>
      </c>
      <c r="X768" s="5" t="s">
        <v>46</v>
      </c>
      <c r="Z768" s="8">
        <f t="shared" si="37"/>
        <v>4.46</v>
      </c>
    </row>
    <row r="769" spans="1:26" x14ac:dyDescent="0.25">
      <c r="A769" s="5" t="s">
        <v>34</v>
      </c>
      <c r="B769" s="5" t="s">
        <v>217</v>
      </c>
      <c r="C769" s="5" t="s">
        <v>218</v>
      </c>
      <c r="D769" s="5" t="s">
        <v>37</v>
      </c>
      <c r="E769" s="5" t="s">
        <v>90</v>
      </c>
      <c r="F769" s="5" t="s">
        <v>91</v>
      </c>
      <c r="G769" s="5" t="s">
        <v>40</v>
      </c>
      <c r="H769" s="6">
        <v>45961</v>
      </c>
      <c r="I769" s="6">
        <v>45961</v>
      </c>
      <c r="J769" s="6">
        <v>45964</v>
      </c>
      <c r="K769" s="5" t="s">
        <v>41</v>
      </c>
      <c r="L769" s="5" t="s">
        <v>42</v>
      </c>
      <c r="M769" s="5" t="s">
        <v>43</v>
      </c>
      <c r="N769" s="5" t="s">
        <v>44</v>
      </c>
      <c r="O769" s="7">
        <v>11.5</v>
      </c>
      <c r="P769" s="5" t="s">
        <v>45</v>
      </c>
      <c r="Q769" s="22"/>
      <c r="R769" s="8">
        <f t="shared" si="39"/>
        <v>11.5</v>
      </c>
      <c r="S769" s="7">
        <v>11.5</v>
      </c>
      <c r="T769" s="7"/>
      <c r="U769" s="7">
        <f t="shared" si="38"/>
        <v>11.5</v>
      </c>
      <c r="V769" s="5" t="s">
        <v>45</v>
      </c>
      <c r="W769" s="7">
        <v>3.38</v>
      </c>
      <c r="X769" s="5" t="s">
        <v>46</v>
      </c>
      <c r="Z769" s="8">
        <f t="shared" si="37"/>
        <v>3.38</v>
      </c>
    </row>
    <row r="770" spans="1:26" x14ac:dyDescent="0.25">
      <c r="A770" s="5" t="s">
        <v>34</v>
      </c>
      <c r="B770" s="5" t="s">
        <v>217</v>
      </c>
      <c r="C770" s="5" t="s">
        <v>218</v>
      </c>
      <c r="D770" s="5" t="s">
        <v>37</v>
      </c>
      <c r="E770" s="5" t="s">
        <v>70</v>
      </c>
      <c r="F770" s="5" t="s">
        <v>71</v>
      </c>
      <c r="G770" s="5" t="s">
        <v>40</v>
      </c>
      <c r="H770" s="6">
        <v>45961</v>
      </c>
      <c r="I770" s="6">
        <v>45961</v>
      </c>
      <c r="J770" s="6">
        <v>45964</v>
      </c>
      <c r="K770" s="5" t="s">
        <v>41</v>
      </c>
      <c r="L770" s="5" t="s">
        <v>42</v>
      </c>
      <c r="M770" s="5" t="s">
        <v>43</v>
      </c>
      <c r="N770" s="5" t="s">
        <v>44</v>
      </c>
      <c r="O770" s="7">
        <v>15.09</v>
      </c>
      <c r="P770" s="5" t="s">
        <v>45</v>
      </c>
      <c r="Q770" s="22"/>
      <c r="R770" s="8">
        <f t="shared" si="39"/>
        <v>15.09</v>
      </c>
      <c r="S770" s="7">
        <v>15.09</v>
      </c>
      <c r="T770" s="7"/>
      <c r="U770" s="7">
        <f t="shared" si="38"/>
        <v>15.09</v>
      </c>
      <c r="V770" s="5" t="s">
        <v>45</v>
      </c>
      <c r="W770" s="7">
        <v>4.4400000000000004</v>
      </c>
      <c r="X770" s="5" t="s">
        <v>46</v>
      </c>
      <c r="Z770" s="8">
        <f t="shared" ref="Z770:Z833" si="40">+W770+Y770</f>
        <v>4.4400000000000004</v>
      </c>
    </row>
    <row r="771" spans="1:26" x14ac:dyDescent="0.25">
      <c r="A771" s="5" t="s">
        <v>34</v>
      </c>
      <c r="B771" s="5" t="s">
        <v>217</v>
      </c>
      <c r="C771" s="5" t="s">
        <v>218</v>
      </c>
      <c r="D771" s="5" t="s">
        <v>37</v>
      </c>
      <c r="E771" s="5" t="s">
        <v>82</v>
      </c>
      <c r="F771" s="5" t="s">
        <v>83</v>
      </c>
      <c r="G771" s="5" t="s">
        <v>40</v>
      </c>
      <c r="H771" s="6">
        <v>45961</v>
      </c>
      <c r="I771" s="6">
        <v>45961</v>
      </c>
      <c r="J771" s="6">
        <v>45964</v>
      </c>
      <c r="K771" s="5" t="s">
        <v>41</v>
      </c>
      <c r="L771" s="5" t="s">
        <v>42</v>
      </c>
      <c r="M771" s="5" t="s">
        <v>43</v>
      </c>
      <c r="N771" s="5" t="s">
        <v>44</v>
      </c>
      <c r="O771" s="7">
        <v>14.28</v>
      </c>
      <c r="P771" s="5" t="s">
        <v>45</v>
      </c>
      <c r="Q771" s="22"/>
      <c r="R771" s="8">
        <f t="shared" si="39"/>
        <v>14.28</v>
      </c>
      <c r="S771" s="7">
        <v>14.28</v>
      </c>
      <c r="T771" s="7"/>
      <c r="U771" s="7">
        <f t="shared" ref="U771:U834" si="41">+S771+T771</f>
        <v>14.28</v>
      </c>
      <c r="V771" s="5" t="s">
        <v>45</v>
      </c>
      <c r="W771" s="7">
        <v>4.2</v>
      </c>
      <c r="X771" s="5" t="s">
        <v>46</v>
      </c>
      <c r="Z771" s="8">
        <f t="shared" si="40"/>
        <v>4.2</v>
      </c>
    </row>
    <row r="772" spans="1:26" x14ac:dyDescent="0.25">
      <c r="A772" s="5" t="s">
        <v>34</v>
      </c>
      <c r="B772" s="5" t="s">
        <v>217</v>
      </c>
      <c r="C772" s="5" t="s">
        <v>218</v>
      </c>
      <c r="D772" s="5" t="s">
        <v>37</v>
      </c>
      <c r="E772" s="5" t="s">
        <v>64</v>
      </c>
      <c r="F772" s="5" t="s">
        <v>65</v>
      </c>
      <c r="G772" s="5" t="s">
        <v>40</v>
      </c>
      <c r="H772" s="6">
        <v>45961</v>
      </c>
      <c r="I772" s="6">
        <v>45961</v>
      </c>
      <c r="J772" s="6">
        <v>45964</v>
      </c>
      <c r="K772" s="5" t="s">
        <v>41</v>
      </c>
      <c r="L772" s="5" t="s">
        <v>42</v>
      </c>
      <c r="M772" s="5" t="s">
        <v>43</v>
      </c>
      <c r="N772" s="5" t="s">
        <v>44</v>
      </c>
      <c r="O772" s="7">
        <v>5</v>
      </c>
      <c r="P772" s="5" t="s">
        <v>45</v>
      </c>
      <c r="Q772" s="22"/>
      <c r="R772" s="8">
        <f t="shared" si="39"/>
        <v>5</v>
      </c>
      <c r="S772" s="7">
        <v>5</v>
      </c>
      <c r="T772" s="7"/>
      <c r="U772" s="7">
        <f t="shared" si="41"/>
        <v>5</v>
      </c>
      <c r="V772" s="5" t="s">
        <v>45</v>
      </c>
      <c r="W772" s="7">
        <v>1.47</v>
      </c>
      <c r="X772" s="5" t="s">
        <v>46</v>
      </c>
      <c r="Z772" s="8">
        <f t="shared" si="40"/>
        <v>1.47</v>
      </c>
    </row>
    <row r="773" spans="1:26" x14ac:dyDescent="0.25">
      <c r="A773" s="5" t="s">
        <v>34</v>
      </c>
      <c r="B773" s="5" t="s">
        <v>217</v>
      </c>
      <c r="C773" s="5" t="s">
        <v>218</v>
      </c>
      <c r="D773" s="5" t="s">
        <v>37</v>
      </c>
      <c r="E773" s="5" t="s">
        <v>66</v>
      </c>
      <c r="F773" s="5" t="s">
        <v>67</v>
      </c>
      <c r="G773" s="5" t="s">
        <v>40</v>
      </c>
      <c r="H773" s="6">
        <v>45961</v>
      </c>
      <c r="I773" s="6">
        <v>45961</v>
      </c>
      <c r="J773" s="6">
        <v>45964</v>
      </c>
      <c r="K773" s="5" t="s">
        <v>41</v>
      </c>
      <c r="L773" s="5" t="s">
        <v>42</v>
      </c>
      <c r="M773" s="5" t="s">
        <v>43</v>
      </c>
      <c r="N773" s="5" t="s">
        <v>44</v>
      </c>
      <c r="O773" s="7">
        <v>40.909999999999997</v>
      </c>
      <c r="P773" s="5" t="s">
        <v>45</v>
      </c>
      <c r="Q773" s="22"/>
      <c r="R773" s="8">
        <f t="shared" si="39"/>
        <v>40.909999999999997</v>
      </c>
      <c r="S773" s="7">
        <v>40.909999999999997</v>
      </c>
      <c r="T773" s="7"/>
      <c r="U773" s="7">
        <f t="shared" si="41"/>
        <v>40.909999999999997</v>
      </c>
      <c r="V773" s="5" t="s">
        <v>45</v>
      </c>
      <c r="W773" s="7">
        <v>12.04</v>
      </c>
      <c r="X773" s="5" t="s">
        <v>46</v>
      </c>
      <c r="Z773" s="8">
        <f t="shared" si="40"/>
        <v>12.04</v>
      </c>
    </row>
    <row r="774" spans="1:26" x14ac:dyDescent="0.25">
      <c r="A774" s="5" t="s">
        <v>34</v>
      </c>
      <c r="B774" s="5" t="s">
        <v>217</v>
      </c>
      <c r="C774" s="5" t="s">
        <v>218</v>
      </c>
      <c r="D774" s="5" t="s">
        <v>37</v>
      </c>
      <c r="E774" s="5" t="s">
        <v>50</v>
      </c>
      <c r="F774" s="5" t="s">
        <v>51</v>
      </c>
      <c r="G774" s="5" t="s">
        <v>40</v>
      </c>
      <c r="H774" s="6">
        <v>45961</v>
      </c>
      <c r="I774" s="6">
        <v>45961</v>
      </c>
      <c r="J774" s="6">
        <v>45964</v>
      </c>
      <c r="K774" s="5" t="s">
        <v>41</v>
      </c>
      <c r="L774" s="5" t="s">
        <v>42</v>
      </c>
      <c r="M774" s="5" t="s">
        <v>43</v>
      </c>
      <c r="N774" s="5" t="s">
        <v>44</v>
      </c>
      <c r="O774" s="7">
        <v>17.260000000000002</v>
      </c>
      <c r="P774" s="5" t="s">
        <v>45</v>
      </c>
      <c r="Q774" s="22"/>
      <c r="R774" s="8">
        <f t="shared" si="39"/>
        <v>17.260000000000002</v>
      </c>
      <c r="S774" s="7">
        <v>17.260000000000002</v>
      </c>
      <c r="T774" s="7"/>
      <c r="U774" s="7">
        <f t="shared" si="41"/>
        <v>17.260000000000002</v>
      </c>
      <c r="V774" s="5" t="s">
        <v>45</v>
      </c>
      <c r="W774" s="7">
        <v>5.08</v>
      </c>
      <c r="X774" s="5" t="s">
        <v>46</v>
      </c>
      <c r="Z774" s="8">
        <f t="shared" si="40"/>
        <v>5.08</v>
      </c>
    </row>
    <row r="775" spans="1:26" x14ac:dyDescent="0.25">
      <c r="A775" s="5" t="s">
        <v>34</v>
      </c>
      <c r="B775" s="5" t="s">
        <v>217</v>
      </c>
      <c r="C775" s="5" t="s">
        <v>218</v>
      </c>
      <c r="D775" s="5" t="s">
        <v>37</v>
      </c>
      <c r="E775" s="5" t="s">
        <v>72</v>
      </c>
      <c r="F775" s="5" t="s">
        <v>73</v>
      </c>
      <c r="G775" s="5" t="s">
        <v>40</v>
      </c>
      <c r="H775" s="6">
        <v>45961</v>
      </c>
      <c r="I775" s="6">
        <v>45961</v>
      </c>
      <c r="J775" s="6">
        <v>45964</v>
      </c>
      <c r="K775" s="5" t="s">
        <v>41</v>
      </c>
      <c r="L775" s="5" t="s">
        <v>42</v>
      </c>
      <c r="M775" s="5" t="s">
        <v>43</v>
      </c>
      <c r="N775" s="5" t="s">
        <v>44</v>
      </c>
      <c r="O775" s="7">
        <v>7.61</v>
      </c>
      <c r="P775" s="5" t="s">
        <v>45</v>
      </c>
      <c r="Q775" s="22"/>
      <c r="R775" s="8">
        <f t="shared" si="39"/>
        <v>7.61</v>
      </c>
      <c r="S775" s="7">
        <v>7.61</v>
      </c>
      <c r="T775" s="7"/>
      <c r="U775" s="7">
        <f t="shared" si="41"/>
        <v>7.61</v>
      </c>
      <c r="V775" s="5" t="s">
        <v>45</v>
      </c>
      <c r="W775" s="7">
        <v>2.2400000000000002</v>
      </c>
      <c r="X775" s="5" t="s">
        <v>46</v>
      </c>
      <c r="Z775" s="8">
        <f t="shared" si="40"/>
        <v>2.2400000000000002</v>
      </c>
    </row>
    <row r="776" spans="1:26" x14ac:dyDescent="0.25">
      <c r="A776" s="5" t="s">
        <v>34</v>
      </c>
      <c r="B776" s="5" t="s">
        <v>217</v>
      </c>
      <c r="C776" s="5" t="s">
        <v>218</v>
      </c>
      <c r="D776" s="5" t="s">
        <v>37</v>
      </c>
      <c r="E776" s="5" t="s">
        <v>98</v>
      </c>
      <c r="F776" s="5" t="s">
        <v>99</v>
      </c>
      <c r="G776" s="5" t="s">
        <v>40</v>
      </c>
      <c r="H776" s="6">
        <v>45961</v>
      </c>
      <c r="I776" s="6">
        <v>45961</v>
      </c>
      <c r="J776" s="6">
        <v>45964</v>
      </c>
      <c r="K776" s="5" t="s">
        <v>41</v>
      </c>
      <c r="L776" s="5" t="s">
        <v>42</v>
      </c>
      <c r="M776" s="5" t="s">
        <v>43</v>
      </c>
      <c r="N776" s="5" t="s">
        <v>44</v>
      </c>
      <c r="O776" s="7">
        <v>40.65</v>
      </c>
      <c r="P776" s="5" t="s">
        <v>45</v>
      </c>
      <c r="Q776" s="22"/>
      <c r="R776" s="8">
        <f t="shared" si="39"/>
        <v>40.65</v>
      </c>
      <c r="S776" s="7">
        <v>40.65</v>
      </c>
      <c r="T776" s="7"/>
      <c r="U776" s="7">
        <f t="shared" si="41"/>
        <v>40.65</v>
      </c>
      <c r="V776" s="5" t="s">
        <v>45</v>
      </c>
      <c r="W776" s="7">
        <v>11.96</v>
      </c>
      <c r="X776" s="5" t="s">
        <v>46</v>
      </c>
      <c r="Z776" s="8">
        <f t="shared" si="40"/>
        <v>11.96</v>
      </c>
    </row>
    <row r="777" spans="1:26" x14ac:dyDescent="0.25">
      <c r="A777" s="5" t="s">
        <v>34</v>
      </c>
      <c r="B777" s="5" t="s">
        <v>217</v>
      </c>
      <c r="C777" s="5" t="s">
        <v>218</v>
      </c>
      <c r="D777" s="5" t="s">
        <v>37</v>
      </c>
      <c r="E777" s="5" t="s">
        <v>104</v>
      </c>
      <c r="F777" s="5" t="s">
        <v>105</v>
      </c>
      <c r="G777" s="5" t="s">
        <v>40</v>
      </c>
      <c r="H777" s="6">
        <v>45961</v>
      </c>
      <c r="I777" s="6">
        <v>45961</v>
      </c>
      <c r="J777" s="6">
        <v>45964</v>
      </c>
      <c r="K777" s="5" t="s">
        <v>41</v>
      </c>
      <c r="L777" s="5" t="s">
        <v>42</v>
      </c>
      <c r="M777" s="5" t="s">
        <v>43</v>
      </c>
      <c r="N777" s="5" t="s">
        <v>44</v>
      </c>
      <c r="O777" s="7">
        <v>35.79</v>
      </c>
      <c r="P777" s="5" t="s">
        <v>45</v>
      </c>
      <c r="Q777" s="22"/>
      <c r="R777" s="8">
        <f t="shared" si="39"/>
        <v>35.79</v>
      </c>
      <c r="S777" s="7">
        <v>35.79</v>
      </c>
      <c r="T777" s="7"/>
      <c r="U777" s="7">
        <f t="shared" si="41"/>
        <v>35.79</v>
      </c>
      <c r="V777" s="5" t="s">
        <v>45</v>
      </c>
      <c r="W777" s="7">
        <v>10.53</v>
      </c>
      <c r="X777" s="5" t="s">
        <v>46</v>
      </c>
      <c r="Z777" s="8">
        <f t="shared" si="40"/>
        <v>10.53</v>
      </c>
    </row>
    <row r="778" spans="1:26" x14ac:dyDescent="0.25">
      <c r="A778" s="5" t="s">
        <v>34</v>
      </c>
      <c r="B778" s="5" t="s">
        <v>217</v>
      </c>
      <c r="C778" s="5" t="s">
        <v>218</v>
      </c>
      <c r="D778" s="5" t="s">
        <v>37</v>
      </c>
      <c r="E778" s="5" t="s">
        <v>122</v>
      </c>
      <c r="F778" s="5" t="s">
        <v>123</v>
      </c>
      <c r="G778" s="5" t="s">
        <v>40</v>
      </c>
      <c r="H778" s="6">
        <v>45961</v>
      </c>
      <c r="I778" s="6">
        <v>45961</v>
      </c>
      <c r="J778" s="6">
        <v>45964</v>
      </c>
      <c r="K778" s="5" t="s">
        <v>41</v>
      </c>
      <c r="L778" s="5" t="s">
        <v>42</v>
      </c>
      <c r="M778" s="5" t="s">
        <v>43</v>
      </c>
      <c r="N778" s="5" t="s">
        <v>44</v>
      </c>
      <c r="O778" s="7">
        <v>8</v>
      </c>
      <c r="P778" s="5" t="s">
        <v>45</v>
      </c>
      <c r="Q778" s="22"/>
      <c r="R778" s="8">
        <f t="shared" si="39"/>
        <v>8</v>
      </c>
      <c r="S778" s="7">
        <v>8</v>
      </c>
      <c r="T778" s="7"/>
      <c r="U778" s="7">
        <f t="shared" si="41"/>
        <v>8</v>
      </c>
      <c r="V778" s="5" t="s">
        <v>45</v>
      </c>
      <c r="W778" s="7">
        <v>2.35</v>
      </c>
      <c r="X778" s="5" t="s">
        <v>46</v>
      </c>
      <c r="Z778" s="8">
        <f t="shared" si="40"/>
        <v>2.35</v>
      </c>
    </row>
    <row r="779" spans="1:26" x14ac:dyDescent="0.25">
      <c r="A779" s="5" t="s">
        <v>34</v>
      </c>
      <c r="B779" s="5" t="s">
        <v>217</v>
      </c>
      <c r="C779" s="5" t="s">
        <v>218</v>
      </c>
      <c r="D779" s="5" t="s">
        <v>37</v>
      </c>
      <c r="E779" s="5" t="s">
        <v>102</v>
      </c>
      <c r="F779" s="5" t="s">
        <v>103</v>
      </c>
      <c r="G779" s="5" t="s">
        <v>40</v>
      </c>
      <c r="H779" s="6">
        <v>45961</v>
      </c>
      <c r="I779" s="6">
        <v>45961</v>
      </c>
      <c r="J779" s="6">
        <v>45964</v>
      </c>
      <c r="K779" s="5" t="s">
        <v>41</v>
      </c>
      <c r="L779" s="5" t="s">
        <v>42</v>
      </c>
      <c r="M779" s="5" t="s">
        <v>43</v>
      </c>
      <c r="N779" s="5" t="s">
        <v>44</v>
      </c>
      <c r="O779" s="7">
        <v>22.66</v>
      </c>
      <c r="P779" s="5" t="s">
        <v>45</v>
      </c>
      <c r="Q779" s="22"/>
      <c r="R779" s="8">
        <f t="shared" si="39"/>
        <v>22.66</v>
      </c>
      <c r="S779" s="7">
        <v>22.66</v>
      </c>
      <c r="T779" s="7"/>
      <c r="U779" s="7">
        <f t="shared" si="41"/>
        <v>22.66</v>
      </c>
      <c r="V779" s="5" t="s">
        <v>45</v>
      </c>
      <c r="W779" s="7">
        <v>6.67</v>
      </c>
      <c r="X779" s="5" t="s">
        <v>46</v>
      </c>
      <c r="Z779" s="8">
        <f t="shared" si="40"/>
        <v>6.67</v>
      </c>
    </row>
    <row r="780" spans="1:26" x14ac:dyDescent="0.25">
      <c r="A780" s="5" t="s">
        <v>34</v>
      </c>
      <c r="B780" s="5" t="s">
        <v>217</v>
      </c>
      <c r="C780" s="5" t="s">
        <v>218</v>
      </c>
      <c r="D780" s="5" t="s">
        <v>37</v>
      </c>
      <c r="E780" s="5" t="s">
        <v>84</v>
      </c>
      <c r="F780" s="5" t="s">
        <v>85</v>
      </c>
      <c r="G780" s="5" t="s">
        <v>40</v>
      </c>
      <c r="H780" s="6">
        <v>45961</v>
      </c>
      <c r="I780" s="6">
        <v>45961</v>
      </c>
      <c r="J780" s="6">
        <v>45964</v>
      </c>
      <c r="K780" s="5" t="s">
        <v>41</v>
      </c>
      <c r="L780" s="5" t="s">
        <v>42</v>
      </c>
      <c r="M780" s="5" t="s">
        <v>43</v>
      </c>
      <c r="N780" s="5" t="s">
        <v>44</v>
      </c>
      <c r="O780" s="7">
        <v>36.03</v>
      </c>
      <c r="P780" s="5" t="s">
        <v>45</v>
      </c>
      <c r="Q780" s="22"/>
      <c r="R780" s="8">
        <f t="shared" si="39"/>
        <v>36.03</v>
      </c>
      <c r="S780" s="7">
        <v>36.03</v>
      </c>
      <c r="T780" s="7"/>
      <c r="U780" s="7">
        <f t="shared" si="41"/>
        <v>36.03</v>
      </c>
      <c r="V780" s="5" t="s">
        <v>45</v>
      </c>
      <c r="W780" s="7">
        <v>10.6</v>
      </c>
      <c r="X780" s="5" t="s">
        <v>46</v>
      </c>
      <c r="Z780" s="8">
        <f t="shared" si="40"/>
        <v>10.6</v>
      </c>
    </row>
    <row r="781" spans="1:26" x14ac:dyDescent="0.25">
      <c r="A781" s="5" t="s">
        <v>34</v>
      </c>
      <c r="B781" s="5" t="s">
        <v>217</v>
      </c>
      <c r="C781" s="5" t="s">
        <v>218</v>
      </c>
      <c r="D781" s="5" t="s">
        <v>37</v>
      </c>
      <c r="E781" s="5" t="s">
        <v>54</v>
      </c>
      <c r="F781" s="5" t="s">
        <v>55</v>
      </c>
      <c r="G781" s="5" t="s">
        <v>40</v>
      </c>
      <c r="H781" s="6">
        <v>45961</v>
      </c>
      <c r="I781" s="6">
        <v>45961</v>
      </c>
      <c r="J781" s="6">
        <v>45964</v>
      </c>
      <c r="K781" s="5" t="s">
        <v>41</v>
      </c>
      <c r="L781" s="5" t="s">
        <v>42</v>
      </c>
      <c r="M781" s="5" t="s">
        <v>43</v>
      </c>
      <c r="N781" s="5" t="s">
        <v>44</v>
      </c>
      <c r="O781" s="7">
        <v>9.86</v>
      </c>
      <c r="P781" s="5" t="s">
        <v>45</v>
      </c>
      <c r="Q781" s="22"/>
      <c r="R781" s="8">
        <f t="shared" si="39"/>
        <v>9.86</v>
      </c>
      <c r="S781" s="7">
        <v>9.86</v>
      </c>
      <c r="T781" s="7"/>
      <c r="U781" s="7">
        <f t="shared" si="41"/>
        <v>9.86</v>
      </c>
      <c r="V781" s="5" t="s">
        <v>45</v>
      </c>
      <c r="W781" s="7">
        <v>2.9</v>
      </c>
      <c r="X781" s="5" t="s">
        <v>46</v>
      </c>
      <c r="Z781" s="8">
        <f t="shared" si="40"/>
        <v>2.9</v>
      </c>
    </row>
    <row r="782" spans="1:26" x14ac:dyDescent="0.25">
      <c r="A782" s="5" t="s">
        <v>34</v>
      </c>
      <c r="B782" s="5" t="s">
        <v>217</v>
      </c>
      <c r="C782" s="5" t="s">
        <v>218</v>
      </c>
      <c r="D782" s="5" t="s">
        <v>37</v>
      </c>
      <c r="E782" s="5" t="s">
        <v>76</v>
      </c>
      <c r="F782" s="5" t="s">
        <v>77</v>
      </c>
      <c r="G782" s="5" t="s">
        <v>40</v>
      </c>
      <c r="H782" s="6">
        <v>45961</v>
      </c>
      <c r="I782" s="6">
        <v>45961</v>
      </c>
      <c r="J782" s="6">
        <v>45964</v>
      </c>
      <c r="K782" s="5" t="s">
        <v>41</v>
      </c>
      <c r="L782" s="5" t="s">
        <v>42</v>
      </c>
      <c r="M782" s="5" t="s">
        <v>43</v>
      </c>
      <c r="N782" s="5" t="s">
        <v>44</v>
      </c>
      <c r="O782" s="7">
        <v>5.57</v>
      </c>
      <c r="P782" s="5" t="s">
        <v>45</v>
      </c>
      <c r="Q782" s="22"/>
      <c r="R782" s="8">
        <f t="shared" si="39"/>
        <v>5.57</v>
      </c>
      <c r="S782" s="7">
        <v>5.57</v>
      </c>
      <c r="T782" s="7"/>
      <c r="U782" s="7">
        <f t="shared" si="41"/>
        <v>5.57</v>
      </c>
      <c r="V782" s="5" t="s">
        <v>45</v>
      </c>
      <c r="W782" s="7">
        <v>1.64</v>
      </c>
      <c r="X782" s="5" t="s">
        <v>46</v>
      </c>
      <c r="Z782" s="8">
        <f t="shared" si="40"/>
        <v>1.64</v>
      </c>
    </row>
    <row r="783" spans="1:26" x14ac:dyDescent="0.25">
      <c r="A783" s="5" t="s">
        <v>34</v>
      </c>
      <c r="B783" s="5" t="s">
        <v>217</v>
      </c>
      <c r="C783" s="5" t="s">
        <v>218</v>
      </c>
      <c r="D783" s="5" t="s">
        <v>37</v>
      </c>
      <c r="E783" s="5" t="s">
        <v>86</v>
      </c>
      <c r="F783" s="5" t="s">
        <v>87</v>
      </c>
      <c r="G783" s="5" t="s">
        <v>40</v>
      </c>
      <c r="H783" s="6">
        <v>45961</v>
      </c>
      <c r="I783" s="6">
        <v>45961</v>
      </c>
      <c r="J783" s="6">
        <v>45964</v>
      </c>
      <c r="K783" s="5" t="s">
        <v>41</v>
      </c>
      <c r="L783" s="5" t="s">
        <v>42</v>
      </c>
      <c r="M783" s="5" t="s">
        <v>43</v>
      </c>
      <c r="N783" s="5" t="s">
        <v>44</v>
      </c>
      <c r="O783" s="7">
        <v>16.45</v>
      </c>
      <c r="P783" s="5" t="s">
        <v>45</v>
      </c>
      <c r="Q783" s="22"/>
      <c r="R783" s="8">
        <f t="shared" si="39"/>
        <v>16.45</v>
      </c>
      <c r="S783" s="7">
        <v>16.45</v>
      </c>
      <c r="T783" s="7"/>
      <c r="U783" s="7">
        <f t="shared" si="41"/>
        <v>16.45</v>
      </c>
      <c r="V783" s="5" t="s">
        <v>45</v>
      </c>
      <c r="W783" s="7">
        <v>4.84</v>
      </c>
      <c r="X783" s="5" t="s">
        <v>46</v>
      </c>
      <c r="Z783" s="8">
        <f t="shared" si="40"/>
        <v>4.84</v>
      </c>
    </row>
    <row r="784" spans="1:26" x14ac:dyDescent="0.25">
      <c r="A784" s="5" t="s">
        <v>34</v>
      </c>
      <c r="B784" s="5" t="s">
        <v>217</v>
      </c>
      <c r="C784" s="5" t="s">
        <v>218</v>
      </c>
      <c r="D784" s="5" t="s">
        <v>37</v>
      </c>
      <c r="E784" s="5" t="s">
        <v>52</v>
      </c>
      <c r="F784" s="5" t="s">
        <v>53</v>
      </c>
      <c r="G784" s="5" t="s">
        <v>40</v>
      </c>
      <c r="H784" s="6">
        <v>45961</v>
      </c>
      <c r="I784" s="6">
        <v>45961</v>
      </c>
      <c r="J784" s="6">
        <v>45964</v>
      </c>
      <c r="K784" s="5" t="s">
        <v>41</v>
      </c>
      <c r="L784" s="5" t="s">
        <v>42</v>
      </c>
      <c r="M784" s="5" t="s">
        <v>43</v>
      </c>
      <c r="N784" s="5" t="s">
        <v>44</v>
      </c>
      <c r="O784" s="7">
        <v>4.0999999999999996</v>
      </c>
      <c r="P784" s="5" t="s">
        <v>45</v>
      </c>
      <c r="Q784" s="22"/>
      <c r="R784" s="8">
        <f t="shared" si="39"/>
        <v>4.0999999999999996</v>
      </c>
      <c r="S784" s="7">
        <v>4.0999999999999996</v>
      </c>
      <c r="T784" s="7"/>
      <c r="U784" s="7">
        <f t="shared" si="41"/>
        <v>4.0999999999999996</v>
      </c>
      <c r="V784" s="5" t="s">
        <v>45</v>
      </c>
      <c r="W784" s="7">
        <v>1.21</v>
      </c>
      <c r="X784" s="5" t="s">
        <v>46</v>
      </c>
      <c r="Z784" s="8">
        <f t="shared" si="40"/>
        <v>1.21</v>
      </c>
    </row>
    <row r="785" spans="1:26" x14ac:dyDescent="0.25">
      <c r="A785" s="5" t="s">
        <v>34</v>
      </c>
      <c r="B785" s="5" t="s">
        <v>217</v>
      </c>
      <c r="C785" s="5" t="s">
        <v>218</v>
      </c>
      <c r="D785" s="5" t="s">
        <v>37</v>
      </c>
      <c r="E785" s="5" t="s">
        <v>88</v>
      </c>
      <c r="F785" s="5" t="s">
        <v>89</v>
      </c>
      <c r="G785" s="5" t="s">
        <v>40</v>
      </c>
      <c r="H785" s="6">
        <v>45961</v>
      </c>
      <c r="I785" s="6">
        <v>45961</v>
      </c>
      <c r="J785" s="6">
        <v>45964</v>
      </c>
      <c r="K785" s="5" t="s">
        <v>41</v>
      </c>
      <c r="L785" s="5" t="s">
        <v>42</v>
      </c>
      <c r="M785" s="5" t="s">
        <v>43</v>
      </c>
      <c r="N785" s="5" t="s">
        <v>44</v>
      </c>
      <c r="O785" s="7">
        <v>8.49</v>
      </c>
      <c r="P785" s="5" t="s">
        <v>45</v>
      </c>
      <c r="Q785" s="22"/>
      <c r="R785" s="8">
        <f t="shared" si="39"/>
        <v>8.49</v>
      </c>
      <c r="S785" s="7">
        <v>8.49</v>
      </c>
      <c r="T785" s="7"/>
      <c r="U785" s="7">
        <f t="shared" si="41"/>
        <v>8.49</v>
      </c>
      <c r="V785" s="5" t="s">
        <v>45</v>
      </c>
      <c r="W785" s="7">
        <v>2.5</v>
      </c>
      <c r="X785" s="5" t="s">
        <v>46</v>
      </c>
      <c r="Z785" s="8">
        <f t="shared" si="40"/>
        <v>2.5</v>
      </c>
    </row>
    <row r="786" spans="1:26" x14ac:dyDescent="0.25">
      <c r="A786" s="5" t="s">
        <v>34</v>
      </c>
      <c r="B786" s="5" t="s">
        <v>217</v>
      </c>
      <c r="C786" s="5" t="s">
        <v>218</v>
      </c>
      <c r="D786" s="5" t="s">
        <v>37</v>
      </c>
      <c r="E786" s="5" t="s">
        <v>114</v>
      </c>
      <c r="F786" s="5" t="s">
        <v>115</v>
      </c>
      <c r="G786" s="5" t="s">
        <v>40</v>
      </c>
      <c r="H786" s="6">
        <v>45961</v>
      </c>
      <c r="I786" s="6">
        <v>45961</v>
      </c>
      <c r="J786" s="6">
        <v>45964</v>
      </c>
      <c r="K786" s="5" t="s">
        <v>41</v>
      </c>
      <c r="L786" s="5" t="s">
        <v>42</v>
      </c>
      <c r="M786" s="5" t="s">
        <v>43</v>
      </c>
      <c r="N786" s="5" t="s">
        <v>44</v>
      </c>
      <c r="O786" s="7">
        <v>50.88</v>
      </c>
      <c r="P786" s="5" t="s">
        <v>45</v>
      </c>
      <c r="Q786" s="22"/>
      <c r="R786" s="8">
        <f t="shared" si="39"/>
        <v>50.88</v>
      </c>
      <c r="S786" s="7">
        <v>50.88</v>
      </c>
      <c r="T786" s="7"/>
      <c r="U786" s="7">
        <f t="shared" si="41"/>
        <v>50.88</v>
      </c>
      <c r="V786" s="5" t="s">
        <v>45</v>
      </c>
      <c r="W786" s="7">
        <v>14.97</v>
      </c>
      <c r="X786" s="5" t="s">
        <v>46</v>
      </c>
      <c r="Z786" s="8">
        <f t="shared" si="40"/>
        <v>14.97</v>
      </c>
    </row>
    <row r="787" spans="1:26" x14ac:dyDescent="0.25">
      <c r="A787" s="5" t="s">
        <v>34</v>
      </c>
      <c r="B787" s="5" t="s">
        <v>217</v>
      </c>
      <c r="C787" s="5" t="s">
        <v>218</v>
      </c>
      <c r="D787" s="5" t="s">
        <v>37</v>
      </c>
      <c r="E787" s="5" t="s">
        <v>78</v>
      </c>
      <c r="F787" s="5" t="s">
        <v>79</v>
      </c>
      <c r="G787" s="5" t="s">
        <v>40</v>
      </c>
      <c r="H787" s="6">
        <v>45961</v>
      </c>
      <c r="I787" s="6">
        <v>45961</v>
      </c>
      <c r="J787" s="6">
        <v>45964</v>
      </c>
      <c r="K787" s="5" t="s">
        <v>41</v>
      </c>
      <c r="L787" s="5" t="s">
        <v>42</v>
      </c>
      <c r="M787" s="5" t="s">
        <v>43</v>
      </c>
      <c r="N787" s="5" t="s">
        <v>44</v>
      </c>
      <c r="O787" s="7">
        <v>6.27</v>
      </c>
      <c r="P787" s="5" t="s">
        <v>45</v>
      </c>
      <c r="Q787" s="22"/>
      <c r="R787" s="8">
        <f t="shared" si="39"/>
        <v>6.27</v>
      </c>
      <c r="S787" s="7">
        <v>6.27</v>
      </c>
      <c r="T787" s="7"/>
      <c r="U787" s="7">
        <f t="shared" si="41"/>
        <v>6.27</v>
      </c>
      <c r="V787" s="5" t="s">
        <v>45</v>
      </c>
      <c r="W787" s="7">
        <v>1.85</v>
      </c>
      <c r="X787" s="5" t="s">
        <v>46</v>
      </c>
      <c r="Z787" s="8">
        <f t="shared" si="40"/>
        <v>1.85</v>
      </c>
    </row>
    <row r="788" spans="1:26" x14ac:dyDescent="0.25">
      <c r="A788" s="5" t="s">
        <v>34</v>
      </c>
      <c r="B788" s="5" t="s">
        <v>217</v>
      </c>
      <c r="C788" s="5" t="s">
        <v>218</v>
      </c>
      <c r="D788" s="5" t="s">
        <v>37</v>
      </c>
      <c r="E788" s="5" t="s">
        <v>118</v>
      </c>
      <c r="F788" s="5" t="s">
        <v>119</v>
      </c>
      <c r="G788" s="5" t="s">
        <v>40</v>
      </c>
      <c r="H788" s="6">
        <v>45961</v>
      </c>
      <c r="I788" s="6">
        <v>45961</v>
      </c>
      <c r="J788" s="6">
        <v>45964</v>
      </c>
      <c r="K788" s="5" t="s">
        <v>41</v>
      </c>
      <c r="L788" s="5" t="s">
        <v>42</v>
      </c>
      <c r="M788" s="5" t="s">
        <v>43</v>
      </c>
      <c r="N788" s="5" t="s">
        <v>44</v>
      </c>
      <c r="O788" s="7">
        <v>6.38</v>
      </c>
      <c r="P788" s="5" t="s">
        <v>45</v>
      </c>
      <c r="Q788" s="22"/>
      <c r="R788" s="8">
        <f t="shared" ref="R788:R851" si="42">+O788+Q788</f>
        <v>6.38</v>
      </c>
      <c r="S788" s="7">
        <v>6.38</v>
      </c>
      <c r="T788" s="7"/>
      <c r="U788" s="7">
        <f t="shared" si="41"/>
        <v>6.38</v>
      </c>
      <c r="V788" s="5" t="s">
        <v>45</v>
      </c>
      <c r="W788" s="7">
        <v>1.88</v>
      </c>
      <c r="X788" s="5" t="s">
        <v>46</v>
      </c>
      <c r="Z788" s="8">
        <f t="shared" si="40"/>
        <v>1.88</v>
      </c>
    </row>
    <row r="789" spans="1:26" x14ac:dyDescent="0.25">
      <c r="A789" s="5" t="s">
        <v>34</v>
      </c>
      <c r="B789" s="5" t="s">
        <v>219</v>
      </c>
      <c r="C789" s="5" t="s">
        <v>220</v>
      </c>
      <c r="D789" s="5" t="s">
        <v>37</v>
      </c>
      <c r="E789" s="5" t="s">
        <v>110</v>
      </c>
      <c r="F789" s="5" t="s">
        <v>111</v>
      </c>
      <c r="G789" s="5" t="s">
        <v>40</v>
      </c>
      <c r="H789" s="6">
        <v>45961</v>
      </c>
      <c r="I789" s="6">
        <v>45961</v>
      </c>
      <c r="J789" s="6">
        <v>45960</v>
      </c>
      <c r="K789" s="5" t="s">
        <v>150</v>
      </c>
      <c r="L789" s="5" t="s">
        <v>151</v>
      </c>
      <c r="M789" s="5" t="s">
        <v>43</v>
      </c>
      <c r="N789" s="5" t="s">
        <v>152</v>
      </c>
      <c r="O789" s="7">
        <v>8.86</v>
      </c>
      <c r="P789" s="5" t="s">
        <v>45</v>
      </c>
      <c r="Q789" s="22"/>
      <c r="R789" s="8">
        <f t="shared" si="42"/>
        <v>8.86</v>
      </c>
      <c r="S789" s="7">
        <v>8.86</v>
      </c>
      <c r="T789" s="7"/>
      <c r="U789" s="7">
        <f t="shared" si="41"/>
        <v>8.86</v>
      </c>
      <c r="V789" s="5" t="s">
        <v>45</v>
      </c>
      <c r="W789" s="7">
        <v>2.61</v>
      </c>
      <c r="X789" s="5" t="s">
        <v>46</v>
      </c>
      <c r="Z789" s="8">
        <f t="shared" si="40"/>
        <v>2.61</v>
      </c>
    </row>
    <row r="790" spans="1:26" x14ac:dyDescent="0.25">
      <c r="A790" s="5" t="s">
        <v>34</v>
      </c>
      <c r="B790" s="5" t="s">
        <v>219</v>
      </c>
      <c r="C790" s="5" t="s">
        <v>220</v>
      </c>
      <c r="D790" s="5" t="s">
        <v>37</v>
      </c>
      <c r="E790" s="5" t="s">
        <v>60</v>
      </c>
      <c r="F790" s="5" t="s">
        <v>61</v>
      </c>
      <c r="G790" s="5" t="s">
        <v>40</v>
      </c>
      <c r="H790" s="6">
        <v>45961</v>
      </c>
      <c r="I790" s="6">
        <v>45961</v>
      </c>
      <c r="J790" s="6">
        <v>45964</v>
      </c>
      <c r="K790" s="5" t="s">
        <v>135</v>
      </c>
      <c r="L790" s="5" t="s">
        <v>136</v>
      </c>
      <c r="M790" s="5" t="s">
        <v>43</v>
      </c>
      <c r="N790" s="5" t="s">
        <v>137</v>
      </c>
      <c r="O790" s="7">
        <v>300.17</v>
      </c>
      <c r="P790" s="5" t="s">
        <v>45</v>
      </c>
      <c r="Q790" s="22"/>
      <c r="R790" s="8">
        <f t="shared" si="42"/>
        <v>300.17</v>
      </c>
      <c r="S790" s="7">
        <v>300.17</v>
      </c>
      <c r="T790" s="7"/>
      <c r="U790" s="7">
        <f t="shared" si="41"/>
        <v>300.17</v>
      </c>
      <c r="V790" s="5" t="s">
        <v>45</v>
      </c>
      <c r="W790" s="7">
        <v>88.34</v>
      </c>
      <c r="X790" s="5" t="s">
        <v>46</v>
      </c>
      <c r="Z790" s="8">
        <f t="shared" si="40"/>
        <v>88.34</v>
      </c>
    </row>
    <row r="791" spans="1:26" x14ac:dyDescent="0.25">
      <c r="A791" s="5" t="s">
        <v>34</v>
      </c>
      <c r="B791" s="5" t="s">
        <v>219</v>
      </c>
      <c r="C791" s="5" t="s">
        <v>220</v>
      </c>
      <c r="D791" s="5" t="s">
        <v>37</v>
      </c>
      <c r="E791" s="5" t="s">
        <v>138</v>
      </c>
      <c r="F791" s="5" t="s">
        <v>139</v>
      </c>
      <c r="G791" s="5" t="s">
        <v>40</v>
      </c>
      <c r="H791" s="6">
        <v>45961</v>
      </c>
      <c r="I791" s="6">
        <v>45961</v>
      </c>
      <c r="J791" s="6">
        <v>45964</v>
      </c>
      <c r="K791" s="5" t="s">
        <v>135</v>
      </c>
      <c r="L791" s="5" t="s">
        <v>136</v>
      </c>
      <c r="M791" s="5" t="s">
        <v>43</v>
      </c>
      <c r="N791" s="5" t="s">
        <v>137</v>
      </c>
      <c r="O791" s="7">
        <v>72.83</v>
      </c>
      <c r="P791" s="5" t="s">
        <v>45</v>
      </c>
      <c r="Q791" s="22"/>
      <c r="R791" s="8">
        <f t="shared" si="42"/>
        <v>72.83</v>
      </c>
      <c r="S791" s="7">
        <v>72.83</v>
      </c>
      <c r="T791" s="7"/>
      <c r="U791" s="7">
        <f t="shared" si="41"/>
        <v>72.83</v>
      </c>
      <c r="V791" s="5" t="s">
        <v>45</v>
      </c>
      <c r="W791" s="7">
        <v>21.43</v>
      </c>
      <c r="X791" s="5" t="s">
        <v>46</v>
      </c>
      <c r="Z791" s="8">
        <f t="shared" si="40"/>
        <v>21.43</v>
      </c>
    </row>
    <row r="792" spans="1:26" x14ac:dyDescent="0.25">
      <c r="A792" s="5" t="s">
        <v>34</v>
      </c>
      <c r="B792" s="5" t="s">
        <v>219</v>
      </c>
      <c r="C792" s="5" t="s">
        <v>220</v>
      </c>
      <c r="D792" s="5" t="s">
        <v>37</v>
      </c>
      <c r="E792" s="5" t="s">
        <v>122</v>
      </c>
      <c r="F792" s="5" t="s">
        <v>123</v>
      </c>
      <c r="G792" s="5" t="s">
        <v>40</v>
      </c>
      <c r="H792" s="6">
        <v>45961</v>
      </c>
      <c r="I792" s="6">
        <v>45961</v>
      </c>
      <c r="J792" s="6">
        <v>45964</v>
      </c>
      <c r="K792" s="5" t="s">
        <v>135</v>
      </c>
      <c r="L792" s="5" t="s">
        <v>136</v>
      </c>
      <c r="M792" s="5" t="s">
        <v>43</v>
      </c>
      <c r="N792" s="5" t="s">
        <v>137</v>
      </c>
      <c r="O792" s="7">
        <v>4.6900000000000004</v>
      </c>
      <c r="P792" s="5" t="s">
        <v>45</v>
      </c>
      <c r="Q792" s="22"/>
      <c r="R792" s="8">
        <f t="shared" si="42"/>
        <v>4.6900000000000004</v>
      </c>
      <c r="S792" s="7">
        <v>4.6900000000000004</v>
      </c>
      <c r="T792" s="7"/>
      <c r="U792" s="7">
        <f t="shared" si="41"/>
        <v>4.6900000000000004</v>
      </c>
      <c r="V792" s="5" t="s">
        <v>45</v>
      </c>
      <c r="W792" s="7">
        <v>1.38</v>
      </c>
      <c r="X792" s="5" t="s">
        <v>46</v>
      </c>
      <c r="Z792" s="8">
        <f t="shared" si="40"/>
        <v>1.38</v>
      </c>
    </row>
    <row r="793" spans="1:26" x14ac:dyDescent="0.25">
      <c r="A793" s="5" t="s">
        <v>34</v>
      </c>
      <c r="B793" s="5" t="s">
        <v>219</v>
      </c>
      <c r="C793" s="5" t="s">
        <v>220</v>
      </c>
      <c r="D793" s="5" t="s">
        <v>37</v>
      </c>
      <c r="E793" s="5" t="s">
        <v>68</v>
      </c>
      <c r="F793" s="5" t="s">
        <v>69</v>
      </c>
      <c r="G793" s="5" t="s">
        <v>40</v>
      </c>
      <c r="H793" s="6">
        <v>45961</v>
      </c>
      <c r="I793" s="6">
        <v>45961</v>
      </c>
      <c r="J793" s="6">
        <v>45964</v>
      </c>
      <c r="K793" s="5" t="s">
        <v>135</v>
      </c>
      <c r="L793" s="5" t="s">
        <v>136</v>
      </c>
      <c r="M793" s="5" t="s">
        <v>43</v>
      </c>
      <c r="N793" s="5" t="s">
        <v>137</v>
      </c>
      <c r="O793" s="7">
        <v>102.94</v>
      </c>
      <c r="P793" s="5" t="s">
        <v>45</v>
      </c>
      <c r="Q793" s="22"/>
      <c r="R793" s="8">
        <f t="shared" si="42"/>
        <v>102.94</v>
      </c>
      <c r="S793" s="7">
        <v>102.94</v>
      </c>
      <c r="T793" s="7"/>
      <c r="U793" s="7">
        <f t="shared" si="41"/>
        <v>102.94</v>
      </c>
      <c r="V793" s="5" t="s">
        <v>45</v>
      </c>
      <c r="W793" s="7">
        <v>30.29</v>
      </c>
      <c r="X793" s="5" t="s">
        <v>46</v>
      </c>
      <c r="Z793" s="8">
        <f t="shared" si="40"/>
        <v>30.29</v>
      </c>
    </row>
    <row r="794" spans="1:26" x14ac:dyDescent="0.25">
      <c r="A794" s="5" t="s">
        <v>34</v>
      </c>
      <c r="B794" s="5" t="s">
        <v>219</v>
      </c>
      <c r="C794" s="5" t="s">
        <v>220</v>
      </c>
      <c r="D794" s="5" t="s">
        <v>37</v>
      </c>
      <c r="E794" s="5" t="s">
        <v>84</v>
      </c>
      <c r="F794" s="5" t="s">
        <v>85</v>
      </c>
      <c r="G794" s="5" t="s">
        <v>40</v>
      </c>
      <c r="H794" s="6">
        <v>45961</v>
      </c>
      <c r="I794" s="6">
        <v>45961</v>
      </c>
      <c r="J794" s="6">
        <v>45964</v>
      </c>
      <c r="K794" s="5" t="s">
        <v>135</v>
      </c>
      <c r="L794" s="5" t="s">
        <v>136</v>
      </c>
      <c r="M794" s="5" t="s">
        <v>43</v>
      </c>
      <c r="N794" s="5" t="s">
        <v>137</v>
      </c>
      <c r="O794" s="7">
        <v>45.67</v>
      </c>
      <c r="P794" s="5" t="s">
        <v>45</v>
      </c>
      <c r="Q794" s="22"/>
      <c r="R794" s="8">
        <f t="shared" si="42"/>
        <v>45.67</v>
      </c>
      <c r="S794" s="7">
        <v>45.67</v>
      </c>
      <c r="T794" s="7"/>
      <c r="U794" s="7">
        <f t="shared" si="41"/>
        <v>45.67</v>
      </c>
      <c r="V794" s="5" t="s">
        <v>45</v>
      </c>
      <c r="W794" s="7">
        <v>13.44</v>
      </c>
      <c r="X794" s="5" t="s">
        <v>46</v>
      </c>
      <c r="Z794" s="8">
        <f t="shared" si="40"/>
        <v>13.44</v>
      </c>
    </row>
    <row r="795" spans="1:26" x14ac:dyDescent="0.25">
      <c r="A795" s="5" t="s">
        <v>34</v>
      </c>
      <c r="B795" s="5" t="s">
        <v>219</v>
      </c>
      <c r="C795" s="5" t="s">
        <v>220</v>
      </c>
      <c r="D795" s="5" t="s">
        <v>37</v>
      </c>
      <c r="E795" s="5" t="s">
        <v>142</v>
      </c>
      <c r="F795" s="5" t="s">
        <v>143</v>
      </c>
      <c r="G795" s="5" t="s">
        <v>40</v>
      </c>
      <c r="H795" s="6">
        <v>45961</v>
      </c>
      <c r="I795" s="6">
        <v>45961</v>
      </c>
      <c r="J795" s="6">
        <v>45964</v>
      </c>
      <c r="K795" s="5" t="s">
        <v>135</v>
      </c>
      <c r="L795" s="5" t="s">
        <v>136</v>
      </c>
      <c r="M795" s="5" t="s">
        <v>43</v>
      </c>
      <c r="N795" s="5" t="s">
        <v>137</v>
      </c>
      <c r="O795" s="7">
        <v>4.4400000000000004</v>
      </c>
      <c r="P795" s="5" t="s">
        <v>45</v>
      </c>
      <c r="Q795" s="22"/>
      <c r="R795" s="8">
        <f t="shared" si="42"/>
        <v>4.4400000000000004</v>
      </c>
      <c r="S795" s="7">
        <v>4.4400000000000004</v>
      </c>
      <c r="T795" s="7"/>
      <c r="U795" s="7">
        <f t="shared" si="41"/>
        <v>4.4400000000000004</v>
      </c>
      <c r="V795" s="5" t="s">
        <v>45</v>
      </c>
      <c r="W795" s="7">
        <v>1.31</v>
      </c>
      <c r="X795" s="5" t="s">
        <v>46</v>
      </c>
      <c r="Z795" s="8">
        <f t="shared" si="40"/>
        <v>1.31</v>
      </c>
    </row>
    <row r="796" spans="1:26" x14ac:dyDescent="0.25">
      <c r="A796" s="5" t="s">
        <v>34</v>
      </c>
      <c r="B796" s="5" t="s">
        <v>219</v>
      </c>
      <c r="C796" s="5" t="s">
        <v>220</v>
      </c>
      <c r="D796" s="5" t="s">
        <v>37</v>
      </c>
      <c r="E796" s="5" t="s">
        <v>78</v>
      </c>
      <c r="F796" s="5" t="s">
        <v>79</v>
      </c>
      <c r="G796" s="5" t="s">
        <v>40</v>
      </c>
      <c r="H796" s="6">
        <v>45961</v>
      </c>
      <c r="I796" s="6">
        <v>45961</v>
      </c>
      <c r="J796" s="6">
        <v>45964</v>
      </c>
      <c r="K796" s="5" t="s">
        <v>135</v>
      </c>
      <c r="L796" s="5" t="s">
        <v>136</v>
      </c>
      <c r="M796" s="5" t="s">
        <v>43</v>
      </c>
      <c r="N796" s="5" t="s">
        <v>137</v>
      </c>
      <c r="O796" s="7">
        <v>409.56</v>
      </c>
      <c r="P796" s="5" t="s">
        <v>45</v>
      </c>
      <c r="Q796" s="22"/>
      <c r="R796" s="8">
        <f t="shared" si="42"/>
        <v>409.56</v>
      </c>
      <c r="S796" s="7">
        <v>409.56</v>
      </c>
      <c r="T796" s="7"/>
      <c r="U796" s="7">
        <f t="shared" si="41"/>
        <v>409.56</v>
      </c>
      <c r="V796" s="5" t="s">
        <v>45</v>
      </c>
      <c r="W796" s="7">
        <v>120.53</v>
      </c>
      <c r="X796" s="5" t="s">
        <v>46</v>
      </c>
      <c r="Z796" s="8">
        <f t="shared" si="40"/>
        <v>120.53</v>
      </c>
    </row>
    <row r="797" spans="1:26" x14ac:dyDescent="0.25">
      <c r="A797" s="5" t="s">
        <v>34</v>
      </c>
      <c r="B797" s="5" t="s">
        <v>219</v>
      </c>
      <c r="C797" s="5" t="s">
        <v>220</v>
      </c>
      <c r="D797" s="5" t="s">
        <v>37</v>
      </c>
      <c r="E797" s="5" t="s">
        <v>82</v>
      </c>
      <c r="F797" s="5" t="s">
        <v>83</v>
      </c>
      <c r="G797" s="5" t="s">
        <v>40</v>
      </c>
      <c r="H797" s="6">
        <v>45961</v>
      </c>
      <c r="I797" s="6">
        <v>45961</v>
      </c>
      <c r="J797" s="6">
        <v>45964</v>
      </c>
      <c r="K797" s="5" t="s">
        <v>135</v>
      </c>
      <c r="L797" s="5" t="s">
        <v>136</v>
      </c>
      <c r="M797" s="5" t="s">
        <v>43</v>
      </c>
      <c r="N797" s="5" t="s">
        <v>137</v>
      </c>
      <c r="O797" s="7">
        <v>217.52</v>
      </c>
      <c r="P797" s="5" t="s">
        <v>45</v>
      </c>
      <c r="Q797" s="22"/>
      <c r="R797" s="8">
        <f t="shared" si="42"/>
        <v>217.52</v>
      </c>
      <c r="S797" s="7">
        <v>217.52</v>
      </c>
      <c r="T797" s="7"/>
      <c r="U797" s="7">
        <f t="shared" si="41"/>
        <v>217.52</v>
      </c>
      <c r="V797" s="5" t="s">
        <v>45</v>
      </c>
      <c r="W797" s="7">
        <v>64.010000000000005</v>
      </c>
      <c r="X797" s="5" t="s">
        <v>46</v>
      </c>
      <c r="Z797" s="8">
        <f t="shared" si="40"/>
        <v>64.010000000000005</v>
      </c>
    </row>
    <row r="798" spans="1:26" x14ac:dyDescent="0.25">
      <c r="A798" s="5" t="s">
        <v>34</v>
      </c>
      <c r="B798" s="5" t="s">
        <v>219</v>
      </c>
      <c r="C798" s="5" t="s">
        <v>220</v>
      </c>
      <c r="D798" s="5" t="s">
        <v>37</v>
      </c>
      <c r="E798" s="5" t="s">
        <v>116</v>
      </c>
      <c r="F798" s="5" t="s">
        <v>117</v>
      </c>
      <c r="G798" s="5" t="s">
        <v>40</v>
      </c>
      <c r="H798" s="6">
        <v>45961</v>
      </c>
      <c r="I798" s="6">
        <v>45961</v>
      </c>
      <c r="J798" s="6">
        <v>45964</v>
      </c>
      <c r="K798" s="5" t="s">
        <v>135</v>
      </c>
      <c r="L798" s="5" t="s">
        <v>136</v>
      </c>
      <c r="M798" s="5" t="s">
        <v>43</v>
      </c>
      <c r="N798" s="5" t="s">
        <v>137</v>
      </c>
      <c r="O798" s="7">
        <v>139.84</v>
      </c>
      <c r="P798" s="5" t="s">
        <v>45</v>
      </c>
      <c r="Q798" s="22"/>
      <c r="R798" s="8">
        <f t="shared" si="42"/>
        <v>139.84</v>
      </c>
      <c r="S798" s="7">
        <v>139.84</v>
      </c>
      <c r="T798" s="7"/>
      <c r="U798" s="7">
        <f t="shared" si="41"/>
        <v>139.84</v>
      </c>
      <c r="V798" s="5" t="s">
        <v>45</v>
      </c>
      <c r="W798" s="7">
        <v>41.15</v>
      </c>
      <c r="X798" s="5" t="s">
        <v>46</v>
      </c>
      <c r="Z798" s="8">
        <f t="shared" si="40"/>
        <v>41.15</v>
      </c>
    </row>
    <row r="799" spans="1:26" x14ac:dyDescent="0.25">
      <c r="A799" s="5" t="s">
        <v>34</v>
      </c>
      <c r="B799" s="5" t="s">
        <v>219</v>
      </c>
      <c r="C799" s="5" t="s">
        <v>220</v>
      </c>
      <c r="D799" s="5" t="s">
        <v>37</v>
      </c>
      <c r="E799" s="5" t="s">
        <v>64</v>
      </c>
      <c r="F799" s="5" t="s">
        <v>65</v>
      </c>
      <c r="G799" s="5" t="s">
        <v>40</v>
      </c>
      <c r="H799" s="6">
        <v>45961</v>
      </c>
      <c r="I799" s="6">
        <v>45961</v>
      </c>
      <c r="J799" s="6">
        <v>45964</v>
      </c>
      <c r="K799" s="5" t="s">
        <v>135</v>
      </c>
      <c r="L799" s="5" t="s">
        <v>136</v>
      </c>
      <c r="M799" s="5" t="s">
        <v>43</v>
      </c>
      <c r="N799" s="5" t="s">
        <v>137</v>
      </c>
      <c r="O799" s="7">
        <v>128.52000000000001</v>
      </c>
      <c r="P799" s="5" t="s">
        <v>45</v>
      </c>
      <c r="Q799" s="22"/>
      <c r="R799" s="8">
        <f t="shared" si="42"/>
        <v>128.52000000000001</v>
      </c>
      <c r="S799" s="7">
        <v>128.52000000000001</v>
      </c>
      <c r="T799" s="7"/>
      <c r="U799" s="7">
        <f t="shared" si="41"/>
        <v>128.52000000000001</v>
      </c>
      <c r="V799" s="5" t="s">
        <v>45</v>
      </c>
      <c r="W799" s="7">
        <v>37.82</v>
      </c>
      <c r="X799" s="5" t="s">
        <v>46</v>
      </c>
      <c r="Z799" s="8">
        <f t="shared" si="40"/>
        <v>37.82</v>
      </c>
    </row>
    <row r="800" spans="1:26" x14ac:dyDescent="0.25">
      <c r="A800" s="5" t="s">
        <v>34</v>
      </c>
      <c r="B800" s="5" t="s">
        <v>219</v>
      </c>
      <c r="C800" s="5" t="s">
        <v>220</v>
      </c>
      <c r="D800" s="5" t="s">
        <v>37</v>
      </c>
      <c r="E800" s="5" t="s">
        <v>62</v>
      </c>
      <c r="F800" s="5" t="s">
        <v>63</v>
      </c>
      <c r="G800" s="5" t="s">
        <v>40</v>
      </c>
      <c r="H800" s="6">
        <v>45961</v>
      </c>
      <c r="I800" s="6">
        <v>45961</v>
      </c>
      <c r="J800" s="6">
        <v>45964</v>
      </c>
      <c r="K800" s="5" t="s">
        <v>135</v>
      </c>
      <c r="L800" s="5" t="s">
        <v>136</v>
      </c>
      <c r="M800" s="5" t="s">
        <v>43</v>
      </c>
      <c r="N800" s="5" t="s">
        <v>137</v>
      </c>
      <c r="O800" s="7">
        <v>194.64</v>
      </c>
      <c r="P800" s="5" t="s">
        <v>45</v>
      </c>
      <c r="Q800" s="22"/>
      <c r="R800" s="8">
        <f t="shared" si="42"/>
        <v>194.64</v>
      </c>
      <c r="S800" s="7">
        <v>194.64</v>
      </c>
      <c r="T800" s="7"/>
      <c r="U800" s="7">
        <f t="shared" si="41"/>
        <v>194.64</v>
      </c>
      <c r="V800" s="5" t="s">
        <v>45</v>
      </c>
      <c r="W800" s="7">
        <v>57.28</v>
      </c>
      <c r="X800" s="5" t="s">
        <v>46</v>
      </c>
      <c r="Z800" s="8">
        <f t="shared" si="40"/>
        <v>57.28</v>
      </c>
    </row>
    <row r="801" spans="1:26" x14ac:dyDescent="0.25">
      <c r="A801" s="5" t="s">
        <v>34</v>
      </c>
      <c r="B801" s="5" t="s">
        <v>219</v>
      </c>
      <c r="C801" s="5" t="s">
        <v>220</v>
      </c>
      <c r="D801" s="5" t="s">
        <v>37</v>
      </c>
      <c r="E801" s="5" t="s">
        <v>96</v>
      </c>
      <c r="F801" s="5" t="s">
        <v>97</v>
      </c>
      <c r="G801" s="5" t="s">
        <v>40</v>
      </c>
      <c r="H801" s="6">
        <v>45961</v>
      </c>
      <c r="I801" s="6">
        <v>45961</v>
      </c>
      <c r="J801" s="6">
        <v>45964</v>
      </c>
      <c r="K801" s="5" t="s">
        <v>147</v>
      </c>
      <c r="L801" s="5" t="s">
        <v>148</v>
      </c>
      <c r="M801" s="5" t="s">
        <v>43</v>
      </c>
      <c r="N801" s="5" t="s">
        <v>149</v>
      </c>
      <c r="O801" s="7">
        <v>8.09</v>
      </c>
      <c r="P801" s="5" t="s">
        <v>45</v>
      </c>
      <c r="Q801" s="22"/>
      <c r="R801" s="8">
        <f t="shared" si="42"/>
        <v>8.09</v>
      </c>
      <c r="S801" s="7">
        <v>8.09</v>
      </c>
      <c r="T801" s="7"/>
      <c r="U801" s="7">
        <f t="shared" si="41"/>
        <v>8.09</v>
      </c>
      <c r="V801" s="5" t="s">
        <v>45</v>
      </c>
      <c r="W801" s="7">
        <v>2.38</v>
      </c>
      <c r="X801" s="5" t="s">
        <v>46</v>
      </c>
      <c r="Z801" s="8">
        <f t="shared" si="40"/>
        <v>2.38</v>
      </c>
    </row>
    <row r="802" spans="1:26" x14ac:dyDescent="0.25">
      <c r="A802" s="5" t="s">
        <v>34</v>
      </c>
      <c r="B802" s="5" t="s">
        <v>219</v>
      </c>
      <c r="C802" s="5" t="s">
        <v>220</v>
      </c>
      <c r="D802" s="5" t="s">
        <v>37</v>
      </c>
      <c r="E802" s="5" t="s">
        <v>102</v>
      </c>
      <c r="F802" s="5" t="s">
        <v>103</v>
      </c>
      <c r="G802" s="5" t="s">
        <v>40</v>
      </c>
      <c r="H802" s="6">
        <v>45961</v>
      </c>
      <c r="I802" s="6">
        <v>45961</v>
      </c>
      <c r="J802" s="6">
        <v>45964</v>
      </c>
      <c r="K802" s="5" t="s">
        <v>135</v>
      </c>
      <c r="L802" s="5" t="s">
        <v>136</v>
      </c>
      <c r="M802" s="5" t="s">
        <v>43</v>
      </c>
      <c r="N802" s="5" t="s">
        <v>137</v>
      </c>
      <c r="O802" s="7">
        <v>388.73</v>
      </c>
      <c r="P802" s="5" t="s">
        <v>45</v>
      </c>
      <c r="Q802" s="22"/>
      <c r="R802" s="8">
        <f t="shared" si="42"/>
        <v>388.73</v>
      </c>
      <c r="S802" s="7">
        <v>388.73</v>
      </c>
      <c r="T802" s="7"/>
      <c r="U802" s="7">
        <f t="shared" si="41"/>
        <v>388.73</v>
      </c>
      <c r="V802" s="5" t="s">
        <v>45</v>
      </c>
      <c r="W802" s="7">
        <v>114.4</v>
      </c>
      <c r="X802" s="5" t="s">
        <v>46</v>
      </c>
      <c r="Z802" s="8">
        <f t="shared" si="40"/>
        <v>114.4</v>
      </c>
    </row>
    <row r="803" spans="1:26" x14ac:dyDescent="0.25">
      <c r="A803" s="5" t="s">
        <v>34</v>
      </c>
      <c r="B803" s="5" t="s">
        <v>219</v>
      </c>
      <c r="C803" s="5" t="s">
        <v>220</v>
      </c>
      <c r="D803" s="5" t="s">
        <v>37</v>
      </c>
      <c r="E803" s="5" t="s">
        <v>106</v>
      </c>
      <c r="F803" s="5" t="s">
        <v>107</v>
      </c>
      <c r="G803" s="5" t="s">
        <v>40</v>
      </c>
      <c r="H803" s="6">
        <v>45961</v>
      </c>
      <c r="I803" s="6">
        <v>45961</v>
      </c>
      <c r="J803" s="6">
        <v>45964</v>
      </c>
      <c r="K803" s="5" t="s">
        <v>135</v>
      </c>
      <c r="L803" s="5" t="s">
        <v>136</v>
      </c>
      <c r="M803" s="5" t="s">
        <v>43</v>
      </c>
      <c r="N803" s="5" t="s">
        <v>137</v>
      </c>
      <c r="O803" s="7">
        <v>36.630000000000003</v>
      </c>
      <c r="P803" s="5" t="s">
        <v>45</v>
      </c>
      <c r="Q803" s="22"/>
      <c r="R803" s="8">
        <f t="shared" si="42"/>
        <v>36.630000000000003</v>
      </c>
      <c r="S803" s="7">
        <v>36.630000000000003</v>
      </c>
      <c r="T803" s="7"/>
      <c r="U803" s="7">
        <f t="shared" si="41"/>
        <v>36.630000000000003</v>
      </c>
      <c r="V803" s="5" t="s">
        <v>45</v>
      </c>
      <c r="W803" s="7">
        <v>10.78</v>
      </c>
      <c r="X803" s="5" t="s">
        <v>46</v>
      </c>
      <c r="Z803" s="8">
        <f t="shared" si="40"/>
        <v>10.78</v>
      </c>
    </row>
    <row r="804" spans="1:26" x14ac:dyDescent="0.25">
      <c r="A804" s="5" t="s">
        <v>34</v>
      </c>
      <c r="B804" s="5" t="s">
        <v>219</v>
      </c>
      <c r="C804" s="5" t="s">
        <v>220</v>
      </c>
      <c r="D804" s="5" t="s">
        <v>37</v>
      </c>
      <c r="E804" s="5" t="s">
        <v>110</v>
      </c>
      <c r="F804" s="5" t="s">
        <v>111</v>
      </c>
      <c r="G804" s="5" t="s">
        <v>40</v>
      </c>
      <c r="H804" s="6">
        <v>45961</v>
      </c>
      <c r="I804" s="6">
        <v>45961</v>
      </c>
      <c r="J804" s="6">
        <v>45964</v>
      </c>
      <c r="K804" s="5" t="s">
        <v>135</v>
      </c>
      <c r="L804" s="5" t="s">
        <v>136</v>
      </c>
      <c r="M804" s="5" t="s">
        <v>43</v>
      </c>
      <c r="N804" s="5" t="s">
        <v>137</v>
      </c>
      <c r="O804" s="7">
        <v>342.41</v>
      </c>
      <c r="P804" s="5" t="s">
        <v>45</v>
      </c>
      <c r="Q804" s="22"/>
      <c r="R804" s="8">
        <f t="shared" si="42"/>
        <v>342.41</v>
      </c>
      <c r="S804" s="7">
        <v>342.41</v>
      </c>
      <c r="T804" s="7"/>
      <c r="U804" s="7">
        <f t="shared" si="41"/>
        <v>342.41</v>
      </c>
      <c r="V804" s="5" t="s">
        <v>45</v>
      </c>
      <c r="W804" s="7">
        <v>100.77</v>
      </c>
      <c r="X804" s="5" t="s">
        <v>46</v>
      </c>
      <c r="Z804" s="8">
        <f t="shared" si="40"/>
        <v>100.77</v>
      </c>
    </row>
    <row r="805" spans="1:26" x14ac:dyDescent="0.25">
      <c r="A805" s="5" t="s">
        <v>34</v>
      </c>
      <c r="B805" s="5" t="s">
        <v>219</v>
      </c>
      <c r="C805" s="5" t="s">
        <v>220</v>
      </c>
      <c r="D805" s="5" t="s">
        <v>37</v>
      </c>
      <c r="E805" s="5" t="s">
        <v>64</v>
      </c>
      <c r="F805" s="5" t="s">
        <v>65</v>
      </c>
      <c r="G805" s="5" t="s">
        <v>40</v>
      </c>
      <c r="H805" s="6">
        <v>45961</v>
      </c>
      <c r="I805" s="6">
        <v>45961</v>
      </c>
      <c r="J805" s="6">
        <v>45950</v>
      </c>
      <c r="K805" s="5" t="s">
        <v>132</v>
      </c>
      <c r="L805" s="5" t="s">
        <v>133</v>
      </c>
      <c r="M805" s="5" t="s">
        <v>43</v>
      </c>
      <c r="N805" s="5" t="s">
        <v>134</v>
      </c>
      <c r="O805" s="7">
        <v>3.07</v>
      </c>
      <c r="P805" s="5" t="s">
        <v>45</v>
      </c>
      <c r="Q805" s="22"/>
      <c r="R805" s="8">
        <f t="shared" si="42"/>
        <v>3.07</v>
      </c>
      <c r="S805" s="7">
        <v>3.07</v>
      </c>
      <c r="T805" s="7"/>
      <c r="U805" s="7">
        <f t="shared" si="41"/>
        <v>3.07</v>
      </c>
      <c r="V805" s="5" t="s">
        <v>45</v>
      </c>
      <c r="W805" s="7">
        <v>0.91</v>
      </c>
      <c r="X805" s="5" t="s">
        <v>46</v>
      </c>
      <c r="Z805" s="8">
        <f t="shared" si="40"/>
        <v>0.91</v>
      </c>
    </row>
    <row r="806" spans="1:26" x14ac:dyDescent="0.25">
      <c r="A806" s="5" t="s">
        <v>34</v>
      </c>
      <c r="B806" s="5" t="s">
        <v>219</v>
      </c>
      <c r="C806" s="5" t="s">
        <v>220</v>
      </c>
      <c r="D806" s="5" t="s">
        <v>37</v>
      </c>
      <c r="E806" s="5" t="s">
        <v>100</v>
      </c>
      <c r="F806" s="5" t="s">
        <v>101</v>
      </c>
      <c r="G806" s="5" t="s">
        <v>40</v>
      </c>
      <c r="H806" s="6">
        <v>45961</v>
      </c>
      <c r="I806" s="6">
        <v>45961</v>
      </c>
      <c r="J806" s="6">
        <v>45964</v>
      </c>
      <c r="K806" s="5" t="s">
        <v>135</v>
      </c>
      <c r="L806" s="5" t="s">
        <v>136</v>
      </c>
      <c r="M806" s="5" t="s">
        <v>43</v>
      </c>
      <c r="N806" s="5" t="s">
        <v>137</v>
      </c>
      <c r="O806" s="7">
        <v>97.1</v>
      </c>
      <c r="P806" s="5" t="s">
        <v>45</v>
      </c>
      <c r="Q806" s="22"/>
      <c r="R806" s="8">
        <f t="shared" si="42"/>
        <v>97.1</v>
      </c>
      <c r="S806" s="7">
        <v>97.1</v>
      </c>
      <c r="T806" s="7"/>
      <c r="U806" s="7">
        <f t="shared" si="41"/>
        <v>97.1</v>
      </c>
      <c r="V806" s="5" t="s">
        <v>45</v>
      </c>
      <c r="W806" s="7">
        <v>28.58</v>
      </c>
      <c r="X806" s="5" t="s">
        <v>46</v>
      </c>
      <c r="Z806" s="8">
        <f t="shared" si="40"/>
        <v>28.58</v>
      </c>
    </row>
    <row r="807" spans="1:26" x14ac:dyDescent="0.25">
      <c r="A807" s="5" t="s">
        <v>34</v>
      </c>
      <c r="B807" s="5" t="s">
        <v>219</v>
      </c>
      <c r="C807" s="5" t="s">
        <v>220</v>
      </c>
      <c r="D807" s="5" t="s">
        <v>37</v>
      </c>
      <c r="E807" s="5" t="s">
        <v>86</v>
      </c>
      <c r="F807" s="5" t="s">
        <v>87</v>
      </c>
      <c r="G807" s="5" t="s">
        <v>40</v>
      </c>
      <c r="H807" s="6">
        <v>45961</v>
      </c>
      <c r="I807" s="6">
        <v>45961</v>
      </c>
      <c r="J807" s="6">
        <v>45964</v>
      </c>
      <c r="K807" s="5" t="s">
        <v>135</v>
      </c>
      <c r="L807" s="5" t="s">
        <v>136</v>
      </c>
      <c r="M807" s="5" t="s">
        <v>43</v>
      </c>
      <c r="N807" s="5" t="s">
        <v>137</v>
      </c>
      <c r="O807" s="7">
        <v>384.06</v>
      </c>
      <c r="P807" s="5" t="s">
        <v>45</v>
      </c>
      <c r="Q807" s="22"/>
      <c r="R807" s="8">
        <f t="shared" si="42"/>
        <v>384.06</v>
      </c>
      <c r="S807" s="7">
        <v>384.06</v>
      </c>
      <c r="T807" s="7"/>
      <c r="U807" s="7">
        <f t="shared" si="41"/>
        <v>384.06</v>
      </c>
      <c r="V807" s="5" t="s">
        <v>45</v>
      </c>
      <c r="W807" s="7">
        <v>113.03</v>
      </c>
      <c r="X807" s="5" t="s">
        <v>46</v>
      </c>
      <c r="Z807" s="8">
        <f t="shared" si="40"/>
        <v>113.03</v>
      </c>
    </row>
    <row r="808" spans="1:26" x14ac:dyDescent="0.25">
      <c r="A808" s="5" t="s">
        <v>34</v>
      </c>
      <c r="B808" s="5" t="s">
        <v>219</v>
      </c>
      <c r="C808" s="5" t="s">
        <v>220</v>
      </c>
      <c r="D808" s="5" t="s">
        <v>37</v>
      </c>
      <c r="E808" s="5" t="s">
        <v>58</v>
      </c>
      <c r="F808" s="5" t="s">
        <v>59</v>
      </c>
      <c r="G808" s="5" t="s">
        <v>40</v>
      </c>
      <c r="H808" s="6">
        <v>45961</v>
      </c>
      <c r="I808" s="6">
        <v>45961</v>
      </c>
      <c r="J808" s="6">
        <v>45964</v>
      </c>
      <c r="K808" s="5" t="s">
        <v>135</v>
      </c>
      <c r="L808" s="5" t="s">
        <v>136</v>
      </c>
      <c r="M808" s="5" t="s">
        <v>43</v>
      </c>
      <c r="N808" s="5" t="s">
        <v>137</v>
      </c>
      <c r="O808" s="7">
        <v>11.51</v>
      </c>
      <c r="P808" s="5" t="s">
        <v>45</v>
      </c>
      <c r="Q808" s="22"/>
      <c r="R808" s="8">
        <f t="shared" si="42"/>
        <v>11.51</v>
      </c>
      <c r="S808" s="7">
        <v>11.51</v>
      </c>
      <c r="T808" s="7"/>
      <c r="U808" s="7">
        <f t="shared" si="41"/>
        <v>11.51</v>
      </c>
      <c r="V808" s="5" t="s">
        <v>45</v>
      </c>
      <c r="W808" s="7">
        <v>3.39</v>
      </c>
      <c r="X808" s="5" t="s">
        <v>46</v>
      </c>
      <c r="Z808" s="8">
        <f t="shared" si="40"/>
        <v>3.39</v>
      </c>
    </row>
    <row r="809" spans="1:26" x14ac:dyDescent="0.25">
      <c r="A809" s="5" t="s">
        <v>34</v>
      </c>
      <c r="B809" s="5" t="s">
        <v>219</v>
      </c>
      <c r="C809" s="5" t="s">
        <v>220</v>
      </c>
      <c r="D809" s="5" t="s">
        <v>37</v>
      </c>
      <c r="E809" s="5" t="s">
        <v>80</v>
      </c>
      <c r="F809" s="5" t="s">
        <v>81</v>
      </c>
      <c r="G809" s="5" t="s">
        <v>40</v>
      </c>
      <c r="H809" s="6">
        <v>45961</v>
      </c>
      <c r="I809" s="6">
        <v>45961</v>
      </c>
      <c r="J809" s="6">
        <v>45964</v>
      </c>
      <c r="K809" s="5" t="s">
        <v>135</v>
      </c>
      <c r="L809" s="5" t="s">
        <v>136</v>
      </c>
      <c r="M809" s="5" t="s">
        <v>43</v>
      </c>
      <c r="N809" s="5" t="s">
        <v>137</v>
      </c>
      <c r="O809" s="7">
        <v>57.97</v>
      </c>
      <c r="P809" s="5" t="s">
        <v>45</v>
      </c>
      <c r="Q809" s="22"/>
      <c r="R809" s="8">
        <f t="shared" si="42"/>
        <v>57.97</v>
      </c>
      <c r="S809" s="7">
        <v>57.97</v>
      </c>
      <c r="T809" s="7"/>
      <c r="U809" s="7">
        <f t="shared" si="41"/>
        <v>57.97</v>
      </c>
      <c r="V809" s="5" t="s">
        <v>45</v>
      </c>
      <c r="W809" s="7">
        <v>17.059999999999999</v>
      </c>
      <c r="X809" s="5" t="s">
        <v>46</v>
      </c>
      <c r="Z809" s="8">
        <f t="shared" si="40"/>
        <v>17.059999999999999</v>
      </c>
    </row>
    <row r="810" spans="1:26" x14ac:dyDescent="0.25">
      <c r="A810" s="5" t="s">
        <v>34</v>
      </c>
      <c r="B810" s="5" t="s">
        <v>219</v>
      </c>
      <c r="C810" s="5" t="s">
        <v>220</v>
      </c>
      <c r="D810" s="5" t="s">
        <v>37</v>
      </c>
      <c r="E810" s="5" t="s">
        <v>96</v>
      </c>
      <c r="F810" s="5" t="s">
        <v>97</v>
      </c>
      <c r="G810" s="5" t="s">
        <v>40</v>
      </c>
      <c r="H810" s="6">
        <v>45961</v>
      </c>
      <c r="I810" s="6">
        <v>45961</v>
      </c>
      <c r="J810" s="6">
        <v>45964</v>
      </c>
      <c r="K810" s="5" t="s">
        <v>135</v>
      </c>
      <c r="L810" s="5" t="s">
        <v>136</v>
      </c>
      <c r="M810" s="5" t="s">
        <v>43</v>
      </c>
      <c r="N810" s="5" t="s">
        <v>137</v>
      </c>
      <c r="O810" s="7">
        <v>1015.41</v>
      </c>
      <c r="P810" s="5" t="s">
        <v>45</v>
      </c>
      <c r="Q810" s="22"/>
      <c r="R810" s="8">
        <f t="shared" si="42"/>
        <v>1015.41</v>
      </c>
      <c r="S810" s="7">
        <v>1015.41</v>
      </c>
      <c r="T810" s="7"/>
      <c r="U810" s="7">
        <f t="shared" si="41"/>
        <v>1015.41</v>
      </c>
      <c r="V810" s="5" t="s">
        <v>45</v>
      </c>
      <c r="W810" s="7">
        <v>298.83</v>
      </c>
      <c r="X810" s="5" t="s">
        <v>46</v>
      </c>
      <c r="Z810" s="8">
        <f t="shared" si="40"/>
        <v>298.83</v>
      </c>
    </row>
    <row r="811" spans="1:26" x14ac:dyDescent="0.25">
      <c r="A811" s="5" t="s">
        <v>34</v>
      </c>
      <c r="B811" s="5" t="s">
        <v>219</v>
      </c>
      <c r="C811" s="5" t="s">
        <v>220</v>
      </c>
      <c r="D811" s="5" t="s">
        <v>37</v>
      </c>
      <c r="E811" s="5" t="s">
        <v>104</v>
      </c>
      <c r="F811" s="5" t="s">
        <v>105</v>
      </c>
      <c r="G811" s="5" t="s">
        <v>40</v>
      </c>
      <c r="H811" s="6">
        <v>45961</v>
      </c>
      <c r="I811" s="6">
        <v>45961</v>
      </c>
      <c r="J811" s="6">
        <v>45964</v>
      </c>
      <c r="K811" s="5" t="s">
        <v>135</v>
      </c>
      <c r="L811" s="5" t="s">
        <v>136</v>
      </c>
      <c r="M811" s="5" t="s">
        <v>43</v>
      </c>
      <c r="N811" s="5" t="s">
        <v>137</v>
      </c>
      <c r="O811" s="7">
        <v>130.49</v>
      </c>
      <c r="P811" s="5" t="s">
        <v>45</v>
      </c>
      <c r="Q811" s="22"/>
      <c r="R811" s="8">
        <f t="shared" si="42"/>
        <v>130.49</v>
      </c>
      <c r="S811" s="7">
        <v>130.49</v>
      </c>
      <c r="T811" s="7"/>
      <c r="U811" s="7">
        <f t="shared" si="41"/>
        <v>130.49</v>
      </c>
      <c r="V811" s="5" t="s">
        <v>45</v>
      </c>
      <c r="W811" s="7">
        <v>38.4</v>
      </c>
      <c r="X811" s="5" t="s">
        <v>46</v>
      </c>
      <c r="Z811" s="8">
        <f t="shared" si="40"/>
        <v>38.4</v>
      </c>
    </row>
    <row r="812" spans="1:26" x14ac:dyDescent="0.25">
      <c r="A812" s="5" t="s">
        <v>34</v>
      </c>
      <c r="B812" s="5" t="s">
        <v>219</v>
      </c>
      <c r="C812" s="5" t="s">
        <v>220</v>
      </c>
      <c r="D812" s="5" t="s">
        <v>37</v>
      </c>
      <c r="E812" s="5" t="s">
        <v>98</v>
      </c>
      <c r="F812" s="5" t="s">
        <v>99</v>
      </c>
      <c r="G812" s="5" t="s">
        <v>40</v>
      </c>
      <c r="H812" s="6">
        <v>45961</v>
      </c>
      <c r="I812" s="6">
        <v>45961</v>
      </c>
      <c r="J812" s="6">
        <v>45964</v>
      </c>
      <c r="K812" s="5" t="s">
        <v>135</v>
      </c>
      <c r="L812" s="5" t="s">
        <v>136</v>
      </c>
      <c r="M812" s="5" t="s">
        <v>43</v>
      </c>
      <c r="N812" s="5" t="s">
        <v>137</v>
      </c>
      <c r="O812" s="7">
        <v>11.09</v>
      </c>
      <c r="P812" s="5" t="s">
        <v>45</v>
      </c>
      <c r="Q812" s="22"/>
      <c r="R812" s="8">
        <f t="shared" si="42"/>
        <v>11.09</v>
      </c>
      <c r="S812" s="7">
        <v>11.09</v>
      </c>
      <c r="T812" s="7"/>
      <c r="U812" s="7">
        <f t="shared" si="41"/>
        <v>11.09</v>
      </c>
      <c r="V812" s="5" t="s">
        <v>45</v>
      </c>
      <c r="W812" s="7">
        <v>3.26</v>
      </c>
      <c r="X812" s="5" t="s">
        <v>46</v>
      </c>
      <c r="Z812" s="8">
        <f t="shared" si="40"/>
        <v>3.26</v>
      </c>
    </row>
    <row r="813" spans="1:26" x14ac:dyDescent="0.25">
      <c r="A813" s="5" t="s">
        <v>34</v>
      </c>
      <c r="B813" s="5" t="s">
        <v>219</v>
      </c>
      <c r="C813" s="5" t="s">
        <v>220</v>
      </c>
      <c r="D813" s="5" t="s">
        <v>37</v>
      </c>
      <c r="E813" s="5" t="s">
        <v>50</v>
      </c>
      <c r="F813" s="5" t="s">
        <v>51</v>
      </c>
      <c r="G813" s="5" t="s">
        <v>40</v>
      </c>
      <c r="H813" s="6">
        <v>45961</v>
      </c>
      <c r="I813" s="6">
        <v>45961</v>
      </c>
      <c r="J813" s="6">
        <v>45964</v>
      </c>
      <c r="K813" s="5" t="s">
        <v>135</v>
      </c>
      <c r="L813" s="5" t="s">
        <v>136</v>
      </c>
      <c r="M813" s="5" t="s">
        <v>43</v>
      </c>
      <c r="N813" s="5" t="s">
        <v>137</v>
      </c>
      <c r="O813" s="7">
        <v>248.72</v>
      </c>
      <c r="P813" s="5" t="s">
        <v>45</v>
      </c>
      <c r="Q813" s="22"/>
      <c r="R813" s="8">
        <f t="shared" si="42"/>
        <v>248.72</v>
      </c>
      <c r="S813" s="7">
        <v>248.72</v>
      </c>
      <c r="T813" s="7"/>
      <c r="U813" s="7">
        <f t="shared" si="41"/>
        <v>248.72</v>
      </c>
      <c r="V813" s="5" t="s">
        <v>45</v>
      </c>
      <c r="W813" s="7">
        <v>73.2</v>
      </c>
      <c r="X813" s="5" t="s">
        <v>46</v>
      </c>
      <c r="Z813" s="8">
        <f t="shared" si="40"/>
        <v>73.2</v>
      </c>
    </row>
    <row r="814" spans="1:26" x14ac:dyDescent="0.25">
      <c r="A814" s="5" t="s">
        <v>34</v>
      </c>
      <c r="B814" s="5" t="s">
        <v>219</v>
      </c>
      <c r="C814" s="5" t="s">
        <v>220</v>
      </c>
      <c r="D814" s="5" t="s">
        <v>37</v>
      </c>
      <c r="E814" s="5" t="s">
        <v>48</v>
      </c>
      <c r="F814" s="5" t="s">
        <v>49</v>
      </c>
      <c r="G814" s="5" t="s">
        <v>40</v>
      </c>
      <c r="H814" s="6">
        <v>45961</v>
      </c>
      <c r="I814" s="6">
        <v>45961</v>
      </c>
      <c r="J814" s="6">
        <v>45964</v>
      </c>
      <c r="K814" s="5" t="s">
        <v>135</v>
      </c>
      <c r="L814" s="5" t="s">
        <v>136</v>
      </c>
      <c r="M814" s="5" t="s">
        <v>43</v>
      </c>
      <c r="N814" s="5" t="s">
        <v>137</v>
      </c>
      <c r="O814" s="7">
        <v>250.95</v>
      </c>
      <c r="P814" s="5" t="s">
        <v>45</v>
      </c>
      <c r="Q814" s="22"/>
      <c r="R814" s="8">
        <f t="shared" si="42"/>
        <v>250.95</v>
      </c>
      <c r="S814" s="7">
        <v>250.95</v>
      </c>
      <c r="T814" s="7"/>
      <c r="U814" s="7">
        <f t="shared" si="41"/>
        <v>250.95</v>
      </c>
      <c r="V814" s="5" t="s">
        <v>45</v>
      </c>
      <c r="W814" s="7">
        <v>73.849999999999994</v>
      </c>
      <c r="X814" s="5" t="s">
        <v>46</v>
      </c>
      <c r="Z814" s="8">
        <f t="shared" si="40"/>
        <v>73.849999999999994</v>
      </c>
    </row>
    <row r="815" spans="1:26" x14ac:dyDescent="0.25">
      <c r="A815" s="5" t="s">
        <v>34</v>
      </c>
      <c r="B815" s="5" t="s">
        <v>219</v>
      </c>
      <c r="C815" s="5" t="s">
        <v>220</v>
      </c>
      <c r="D815" s="5" t="s">
        <v>37</v>
      </c>
      <c r="E815" s="5" t="s">
        <v>38</v>
      </c>
      <c r="F815" s="5" t="s">
        <v>39</v>
      </c>
      <c r="G815" s="5" t="s">
        <v>40</v>
      </c>
      <c r="H815" s="6">
        <v>45961</v>
      </c>
      <c r="I815" s="6">
        <v>45961</v>
      </c>
      <c r="J815" s="6">
        <v>45964</v>
      </c>
      <c r="K815" s="5" t="s">
        <v>135</v>
      </c>
      <c r="L815" s="5" t="s">
        <v>136</v>
      </c>
      <c r="M815" s="5" t="s">
        <v>43</v>
      </c>
      <c r="N815" s="5" t="s">
        <v>137</v>
      </c>
      <c r="O815" s="7">
        <v>120.78</v>
      </c>
      <c r="P815" s="5" t="s">
        <v>45</v>
      </c>
      <c r="Q815" s="22"/>
      <c r="R815" s="8">
        <f t="shared" si="42"/>
        <v>120.78</v>
      </c>
      <c r="S815" s="7">
        <v>120.78</v>
      </c>
      <c r="T815" s="7"/>
      <c r="U815" s="7">
        <f t="shared" si="41"/>
        <v>120.78</v>
      </c>
      <c r="V815" s="5" t="s">
        <v>45</v>
      </c>
      <c r="W815" s="7">
        <v>35.54</v>
      </c>
      <c r="X815" s="5" t="s">
        <v>46</v>
      </c>
      <c r="Z815" s="8">
        <f t="shared" si="40"/>
        <v>35.54</v>
      </c>
    </row>
    <row r="816" spans="1:26" x14ac:dyDescent="0.25">
      <c r="A816" s="5" t="s">
        <v>34</v>
      </c>
      <c r="B816" s="5" t="s">
        <v>219</v>
      </c>
      <c r="C816" s="5" t="s">
        <v>220</v>
      </c>
      <c r="D816" s="5" t="s">
        <v>37</v>
      </c>
      <c r="E816" s="5" t="s">
        <v>92</v>
      </c>
      <c r="F816" s="5" t="s">
        <v>93</v>
      </c>
      <c r="G816" s="5" t="s">
        <v>40</v>
      </c>
      <c r="H816" s="6">
        <v>45961</v>
      </c>
      <c r="I816" s="6">
        <v>45961</v>
      </c>
      <c r="J816" s="6">
        <v>45964</v>
      </c>
      <c r="K816" s="5" t="s">
        <v>135</v>
      </c>
      <c r="L816" s="5" t="s">
        <v>136</v>
      </c>
      <c r="M816" s="5" t="s">
        <v>43</v>
      </c>
      <c r="N816" s="5" t="s">
        <v>137</v>
      </c>
      <c r="O816" s="7">
        <v>18.149999999999999</v>
      </c>
      <c r="P816" s="5" t="s">
        <v>45</v>
      </c>
      <c r="Q816" s="22"/>
      <c r="R816" s="8">
        <f t="shared" si="42"/>
        <v>18.149999999999999</v>
      </c>
      <c r="S816" s="7">
        <v>18.149999999999999</v>
      </c>
      <c r="T816" s="7"/>
      <c r="U816" s="7">
        <f t="shared" si="41"/>
        <v>18.149999999999999</v>
      </c>
      <c r="V816" s="5" t="s">
        <v>45</v>
      </c>
      <c r="W816" s="7">
        <v>5.34</v>
      </c>
      <c r="X816" s="5" t="s">
        <v>46</v>
      </c>
      <c r="Z816" s="8">
        <f t="shared" si="40"/>
        <v>5.34</v>
      </c>
    </row>
    <row r="817" spans="1:26" x14ac:dyDescent="0.25">
      <c r="A817" s="5" t="s">
        <v>34</v>
      </c>
      <c r="B817" s="5" t="s">
        <v>219</v>
      </c>
      <c r="C817" s="5" t="s">
        <v>220</v>
      </c>
      <c r="D817" s="5" t="s">
        <v>37</v>
      </c>
      <c r="E817" s="5" t="s">
        <v>54</v>
      </c>
      <c r="F817" s="5" t="s">
        <v>55</v>
      </c>
      <c r="G817" s="5" t="s">
        <v>40</v>
      </c>
      <c r="H817" s="6">
        <v>45961</v>
      </c>
      <c r="I817" s="6">
        <v>45961</v>
      </c>
      <c r="J817" s="6">
        <v>45964</v>
      </c>
      <c r="K817" s="5" t="s">
        <v>135</v>
      </c>
      <c r="L817" s="5" t="s">
        <v>136</v>
      </c>
      <c r="M817" s="5" t="s">
        <v>43</v>
      </c>
      <c r="N817" s="5" t="s">
        <v>137</v>
      </c>
      <c r="O817" s="7">
        <v>33.65</v>
      </c>
      <c r="P817" s="5" t="s">
        <v>45</v>
      </c>
      <c r="Q817" s="22"/>
      <c r="R817" s="8">
        <f t="shared" si="42"/>
        <v>33.65</v>
      </c>
      <c r="S817" s="7">
        <v>33.65</v>
      </c>
      <c r="T817" s="7"/>
      <c r="U817" s="7">
        <f t="shared" si="41"/>
        <v>33.65</v>
      </c>
      <c r="V817" s="5" t="s">
        <v>45</v>
      </c>
      <c r="W817" s="7">
        <v>9.9</v>
      </c>
      <c r="X817" s="5" t="s">
        <v>46</v>
      </c>
      <c r="Z817" s="8">
        <f t="shared" si="40"/>
        <v>9.9</v>
      </c>
    </row>
    <row r="818" spans="1:26" x14ac:dyDescent="0.25">
      <c r="A818" s="5" t="s">
        <v>34</v>
      </c>
      <c r="B818" s="5" t="s">
        <v>219</v>
      </c>
      <c r="C818" s="5" t="s">
        <v>220</v>
      </c>
      <c r="D818" s="5" t="s">
        <v>37</v>
      </c>
      <c r="E818" s="5" t="s">
        <v>52</v>
      </c>
      <c r="F818" s="5" t="s">
        <v>53</v>
      </c>
      <c r="G818" s="5" t="s">
        <v>40</v>
      </c>
      <c r="H818" s="6">
        <v>45961</v>
      </c>
      <c r="I818" s="6">
        <v>45961</v>
      </c>
      <c r="J818" s="6">
        <v>45964</v>
      </c>
      <c r="K818" s="5" t="s">
        <v>135</v>
      </c>
      <c r="L818" s="5" t="s">
        <v>136</v>
      </c>
      <c r="M818" s="5" t="s">
        <v>43</v>
      </c>
      <c r="N818" s="5" t="s">
        <v>137</v>
      </c>
      <c r="O818" s="7">
        <v>12.65</v>
      </c>
      <c r="P818" s="5" t="s">
        <v>45</v>
      </c>
      <c r="Q818" s="22"/>
      <c r="R818" s="8">
        <f t="shared" si="42"/>
        <v>12.65</v>
      </c>
      <c r="S818" s="7">
        <v>12.65</v>
      </c>
      <c r="T818" s="7"/>
      <c r="U818" s="7">
        <f t="shared" si="41"/>
        <v>12.65</v>
      </c>
      <c r="V818" s="5" t="s">
        <v>45</v>
      </c>
      <c r="W818" s="7">
        <v>3.72</v>
      </c>
      <c r="X818" s="5" t="s">
        <v>46</v>
      </c>
      <c r="Z818" s="8">
        <f t="shared" si="40"/>
        <v>3.72</v>
      </c>
    </row>
    <row r="819" spans="1:26" x14ac:dyDescent="0.25">
      <c r="A819" s="5" t="s">
        <v>34</v>
      </c>
      <c r="B819" s="5" t="s">
        <v>219</v>
      </c>
      <c r="C819" s="5" t="s">
        <v>220</v>
      </c>
      <c r="D819" s="5" t="s">
        <v>37</v>
      </c>
      <c r="E819" s="5" t="s">
        <v>118</v>
      </c>
      <c r="F819" s="5" t="s">
        <v>119</v>
      </c>
      <c r="G819" s="5" t="s">
        <v>40</v>
      </c>
      <c r="H819" s="6">
        <v>45961</v>
      </c>
      <c r="I819" s="6">
        <v>45961</v>
      </c>
      <c r="J819" s="6">
        <v>45964</v>
      </c>
      <c r="K819" s="5" t="s">
        <v>135</v>
      </c>
      <c r="L819" s="5" t="s">
        <v>136</v>
      </c>
      <c r="M819" s="5" t="s">
        <v>43</v>
      </c>
      <c r="N819" s="5" t="s">
        <v>137</v>
      </c>
      <c r="O819" s="7">
        <v>152.82</v>
      </c>
      <c r="P819" s="5" t="s">
        <v>45</v>
      </c>
      <c r="Q819" s="22"/>
      <c r="R819" s="8">
        <f t="shared" si="42"/>
        <v>152.82</v>
      </c>
      <c r="S819" s="7">
        <v>152.82</v>
      </c>
      <c r="T819" s="7"/>
      <c r="U819" s="7">
        <f t="shared" si="41"/>
        <v>152.82</v>
      </c>
      <c r="V819" s="5" t="s">
        <v>45</v>
      </c>
      <c r="W819" s="7">
        <v>44.97</v>
      </c>
      <c r="X819" s="5" t="s">
        <v>46</v>
      </c>
      <c r="Z819" s="8">
        <f t="shared" si="40"/>
        <v>44.97</v>
      </c>
    </row>
    <row r="820" spans="1:26" x14ac:dyDescent="0.25">
      <c r="A820" s="5" t="s">
        <v>34</v>
      </c>
      <c r="B820" s="5" t="s">
        <v>219</v>
      </c>
      <c r="C820" s="5" t="s">
        <v>220</v>
      </c>
      <c r="D820" s="5" t="s">
        <v>37</v>
      </c>
      <c r="E820" s="5" t="s">
        <v>142</v>
      </c>
      <c r="F820" s="5" t="s">
        <v>143</v>
      </c>
      <c r="G820" s="5" t="s">
        <v>40</v>
      </c>
      <c r="H820" s="6">
        <v>45961</v>
      </c>
      <c r="I820" s="6">
        <v>45961</v>
      </c>
      <c r="J820" s="6">
        <v>45961</v>
      </c>
      <c r="K820" s="5" t="s">
        <v>144</v>
      </c>
      <c r="L820" s="5" t="s">
        <v>145</v>
      </c>
      <c r="M820" s="5" t="s">
        <v>43</v>
      </c>
      <c r="N820" s="5" t="s">
        <v>146</v>
      </c>
      <c r="O820" s="7">
        <v>6.54</v>
      </c>
      <c r="P820" s="5" t="s">
        <v>45</v>
      </c>
      <c r="Q820" s="22"/>
      <c r="R820" s="8">
        <f t="shared" si="42"/>
        <v>6.54</v>
      </c>
      <c r="S820" s="7">
        <v>6.54</v>
      </c>
      <c r="T820" s="7"/>
      <c r="U820" s="7">
        <f t="shared" si="41"/>
        <v>6.54</v>
      </c>
      <c r="V820" s="5" t="s">
        <v>45</v>
      </c>
      <c r="W820" s="7">
        <v>1.92</v>
      </c>
      <c r="X820" s="5" t="s">
        <v>46</v>
      </c>
      <c r="Z820" s="8">
        <f t="shared" si="40"/>
        <v>1.92</v>
      </c>
    </row>
    <row r="821" spans="1:26" x14ac:dyDescent="0.25">
      <c r="A821" s="5" t="s">
        <v>34</v>
      </c>
      <c r="B821" s="5" t="s">
        <v>219</v>
      </c>
      <c r="C821" s="5" t="s">
        <v>220</v>
      </c>
      <c r="D821" s="5" t="s">
        <v>37</v>
      </c>
      <c r="E821" s="5" t="s">
        <v>70</v>
      </c>
      <c r="F821" s="5" t="s">
        <v>71</v>
      </c>
      <c r="G821" s="5" t="s">
        <v>40</v>
      </c>
      <c r="H821" s="6">
        <v>45961</v>
      </c>
      <c r="I821" s="6">
        <v>45961</v>
      </c>
      <c r="J821" s="6">
        <v>45964</v>
      </c>
      <c r="K821" s="5" t="s">
        <v>135</v>
      </c>
      <c r="L821" s="5" t="s">
        <v>136</v>
      </c>
      <c r="M821" s="5" t="s">
        <v>43</v>
      </c>
      <c r="N821" s="5" t="s">
        <v>137</v>
      </c>
      <c r="O821" s="7">
        <v>30.61</v>
      </c>
      <c r="P821" s="5" t="s">
        <v>45</v>
      </c>
      <c r="Q821" s="22"/>
      <c r="R821" s="8">
        <f t="shared" si="42"/>
        <v>30.61</v>
      </c>
      <c r="S821" s="7">
        <v>30.61</v>
      </c>
      <c r="T821" s="7"/>
      <c r="U821" s="7">
        <f t="shared" si="41"/>
        <v>30.61</v>
      </c>
      <c r="V821" s="5" t="s">
        <v>45</v>
      </c>
      <c r="W821" s="7">
        <v>9.01</v>
      </c>
      <c r="X821" s="5" t="s">
        <v>46</v>
      </c>
      <c r="Z821" s="8">
        <f t="shared" si="40"/>
        <v>9.01</v>
      </c>
    </row>
    <row r="822" spans="1:26" x14ac:dyDescent="0.25">
      <c r="A822" s="5" t="s">
        <v>34</v>
      </c>
      <c r="B822" s="5" t="s">
        <v>219</v>
      </c>
      <c r="C822" s="5" t="s">
        <v>220</v>
      </c>
      <c r="D822" s="5" t="s">
        <v>37</v>
      </c>
      <c r="E822" s="5" t="s">
        <v>72</v>
      </c>
      <c r="F822" s="5" t="s">
        <v>73</v>
      </c>
      <c r="G822" s="5" t="s">
        <v>40</v>
      </c>
      <c r="H822" s="6">
        <v>45961</v>
      </c>
      <c r="I822" s="6">
        <v>45961</v>
      </c>
      <c r="J822" s="6">
        <v>45964</v>
      </c>
      <c r="K822" s="5" t="s">
        <v>135</v>
      </c>
      <c r="L822" s="5" t="s">
        <v>136</v>
      </c>
      <c r="M822" s="5" t="s">
        <v>43</v>
      </c>
      <c r="N822" s="5" t="s">
        <v>137</v>
      </c>
      <c r="O822" s="7">
        <v>24.93</v>
      </c>
      <c r="P822" s="5" t="s">
        <v>45</v>
      </c>
      <c r="Q822" s="22"/>
      <c r="R822" s="8">
        <f t="shared" si="42"/>
        <v>24.93</v>
      </c>
      <c r="S822" s="7">
        <v>24.93</v>
      </c>
      <c r="T822" s="7"/>
      <c r="U822" s="7">
        <f t="shared" si="41"/>
        <v>24.93</v>
      </c>
      <c r="V822" s="5" t="s">
        <v>45</v>
      </c>
      <c r="W822" s="7">
        <v>7.34</v>
      </c>
      <c r="X822" s="5" t="s">
        <v>46</v>
      </c>
      <c r="Z822" s="8">
        <f t="shared" si="40"/>
        <v>7.34</v>
      </c>
    </row>
    <row r="823" spans="1:26" x14ac:dyDescent="0.25">
      <c r="A823" s="5" t="s">
        <v>34</v>
      </c>
      <c r="B823" s="5" t="s">
        <v>219</v>
      </c>
      <c r="C823" s="5" t="s">
        <v>220</v>
      </c>
      <c r="D823" s="5" t="s">
        <v>37</v>
      </c>
      <c r="E823" s="5" t="s">
        <v>74</v>
      </c>
      <c r="F823" s="5" t="s">
        <v>75</v>
      </c>
      <c r="G823" s="5" t="s">
        <v>40</v>
      </c>
      <c r="H823" s="6">
        <v>45961</v>
      </c>
      <c r="I823" s="6">
        <v>45961</v>
      </c>
      <c r="J823" s="6">
        <v>45964</v>
      </c>
      <c r="K823" s="5" t="s">
        <v>135</v>
      </c>
      <c r="L823" s="5" t="s">
        <v>136</v>
      </c>
      <c r="M823" s="5" t="s">
        <v>43</v>
      </c>
      <c r="N823" s="5" t="s">
        <v>137</v>
      </c>
      <c r="O823" s="7">
        <v>1405.81</v>
      </c>
      <c r="P823" s="5" t="s">
        <v>45</v>
      </c>
      <c r="Q823" s="22"/>
      <c r="R823" s="8">
        <f t="shared" si="42"/>
        <v>1405.81</v>
      </c>
      <c r="S823" s="7">
        <v>1405.81</v>
      </c>
      <c r="T823" s="7"/>
      <c r="U823" s="7">
        <f t="shared" si="41"/>
        <v>1405.81</v>
      </c>
      <c r="V823" s="5" t="s">
        <v>45</v>
      </c>
      <c r="W823" s="7">
        <v>413.72</v>
      </c>
      <c r="X823" s="5" t="s">
        <v>46</v>
      </c>
      <c r="Z823" s="8">
        <f t="shared" si="40"/>
        <v>413.72</v>
      </c>
    </row>
    <row r="824" spans="1:26" x14ac:dyDescent="0.25">
      <c r="A824" s="5" t="s">
        <v>34</v>
      </c>
      <c r="B824" s="5" t="s">
        <v>221</v>
      </c>
      <c r="C824" s="5" t="s">
        <v>222</v>
      </c>
      <c r="D824" s="5" t="s">
        <v>37</v>
      </c>
      <c r="E824" s="5" t="s">
        <v>60</v>
      </c>
      <c r="F824" s="5" t="s">
        <v>61</v>
      </c>
      <c r="G824" s="5" t="s">
        <v>40</v>
      </c>
      <c r="H824" s="6">
        <v>45961</v>
      </c>
      <c r="I824" s="6">
        <v>45961</v>
      </c>
      <c r="J824" s="6">
        <v>45964</v>
      </c>
      <c r="K824" s="5" t="s">
        <v>41</v>
      </c>
      <c r="L824" s="5" t="s">
        <v>42</v>
      </c>
      <c r="M824" s="5" t="s">
        <v>43</v>
      </c>
      <c r="N824" s="5" t="s">
        <v>44</v>
      </c>
      <c r="O824" s="7">
        <v>260.2</v>
      </c>
      <c r="P824" s="5" t="s">
        <v>45</v>
      </c>
      <c r="Q824" s="22"/>
      <c r="R824" s="8">
        <f t="shared" si="42"/>
        <v>260.2</v>
      </c>
      <c r="S824" s="7">
        <v>260.2</v>
      </c>
      <c r="T824" s="7"/>
      <c r="U824" s="7">
        <f t="shared" si="41"/>
        <v>260.2</v>
      </c>
      <c r="V824" s="5" t="s">
        <v>45</v>
      </c>
      <c r="W824" s="7">
        <v>76.569999999999993</v>
      </c>
      <c r="X824" s="5" t="s">
        <v>46</v>
      </c>
      <c r="Z824" s="8">
        <f t="shared" si="40"/>
        <v>76.569999999999993</v>
      </c>
    </row>
    <row r="825" spans="1:26" x14ac:dyDescent="0.25">
      <c r="A825" s="5" t="s">
        <v>34</v>
      </c>
      <c r="B825" s="5" t="s">
        <v>223</v>
      </c>
      <c r="C825" s="5" t="s">
        <v>224</v>
      </c>
      <c r="D825" s="5" t="s">
        <v>37</v>
      </c>
      <c r="E825" s="5" t="s">
        <v>60</v>
      </c>
      <c r="F825" s="5" t="s">
        <v>61</v>
      </c>
      <c r="G825" s="5" t="s">
        <v>40</v>
      </c>
      <c r="H825" s="6">
        <v>45961</v>
      </c>
      <c r="I825" s="6">
        <v>45961</v>
      </c>
      <c r="J825" s="6">
        <v>45964</v>
      </c>
      <c r="K825" s="5" t="s">
        <v>135</v>
      </c>
      <c r="L825" s="5" t="s">
        <v>136</v>
      </c>
      <c r="M825" s="5" t="s">
        <v>43</v>
      </c>
      <c r="N825" s="5" t="s">
        <v>137</v>
      </c>
      <c r="O825" s="7">
        <v>877.87</v>
      </c>
      <c r="P825" s="5" t="s">
        <v>45</v>
      </c>
      <c r="Q825" s="22"/>
      <c r="R825" s="8">
        <f t="shared" si="42"/>
        <v>877.87</v>
      </c>
      <c r="S825" s="7">
        <v>877.87</v>
      </c>
      <c r="T825" s="7"/>
      <c r="U825" s="7">
        <f t="shared" si="41"/>
        <v>877.87</v>
      </c>
      <c r="V825" s="5" t="s">
        <v>45</v>
      </c>
      <c r="W825" s="7">
        <v>258.35000000000002</v>
      </c>
      <c r="X825" s="5" t="s">
        <v>46</v>
      </c>
      <c r="Z825" s="8">
        <f t="shared" si="40"/>
        <v>258.35000000000002</v>
      </c>
    </row>
    <row r="826" spans="1:26" x14ac:dyDescent="0.25">
      <c r="A826" s="5" t="s">
        <v>34</v>
      </c>
      <c r="B826" s="5" t="s">
        <v>225</v>
      </c>
      <c r="C826" s="5" t="s">
        <v>226</v>
      </c>
      <c r="D826" s="5" t="s">
        <v>37</v>
      </c>
      <c r="E826" s="5" t="s">
        <v>114</v>
      </c>
      <c r="F826" s="5" t="s">
        <v>115</v>
      </c>
      <c r="G826" s="5" t="s">
        <v>40</v>
      </c>
      <c r="H826" s="6">
        <v>45961</v>
      </c>
      <c r="I826" s="6">
        <v>45961</v>
      </c>
      <c r="J826" s="6">
        <v>45964</v>
      </c>
      <c r="K826" s="5" t="s">
        <v>167</v>
      </c>
      <c r="L826" s="5" t="s">
        <v>168</v>
      </c>
      <c r="M826" s="5" t="s">
        <v>43</v>
      </c>
      <c r="N826" s="5" t="s">
        <v>169</v>
      </c>
      <c r="O826" s="7">
        <v>1965.53</v>
      </c>
      <c r="P826" s="5" t="s">
        <v>45</v>
      </c>
      <c r="Q826" s="22"/>
      <c r="R826" s="8">
        <f t="shared" si="42"/>
        <v>1965.53</v>
      </c>
      <c r="S826" s="7">
        <v>1965.53</v>
      </c>
      <c r="T826" s="7"/>
      <c r="U826" s="7">
        <f t="shared" si="41"/>
        <v>1965.53</v>
      </c>
      <c r="V826" s="5" t="s">
        <v>45</v>
      </c>
      <c r="W826" s="7">
        <v>578.44000000000005</v>
      </c>
      <c r="X826" s="5" t="s">
        <v>46</v>
      </c>
      <c r="Z826" s="8">
        <f t="shared" si="40"/>
        <v>578.44000000000005</v>
      </c>
    </row>
    <row r="827" spans="1:26" x14ac:dyDescent="0.25">
      <c r="A827" s="5" t="s">
        <v>34</v>
      </c>
      <c r="B827" s="5" t="s">
        <v>225</v>
      </c>
      <c r="C827" s="5" t="s">
        <v>226</v>
      </c>
      <c r="D827" s="5" t="s">
        <v>37</v>
      </c>
      <c r="E827" s="5" t="s">
        <v>72</v>
      </c>
      <c r="F827" s="5" t="s">
        <v>73</v>
      </c>
      <c r="G827" s="5" t="s">
        <v>40</v>
      </c>
      <c r="H827" s="6">
        <v>45961</v>
      </c>
      <c r="I827" s="6">
        <v>45961</v>
      </c>
      <c r="J827" s="6">
        <v>45964</v>
      </c>
      <c r="K827" s="5" t="s">
        <v>167</v>
      </c>
      <c r="L827" s="5" t="s">
        <v>168</v>
      </c>
      <c r="M827" s="5" t="s">
        <v>43</v>
      </c>
      <c r="N827" s="5" t="s">
        <v>169</v>
      </c>
      <c r="O827" s="7">
        <v>292.27999999999997</v>
      </c>
      <c r="P827" s="5" t="s">
        <v>45</v>
      </c>
      <c r="Q827" s="22"/>
      <c r="R827" s="8">
        <f t="shared" si="42"/>
        <v>292.27999999999997</v>
      </c>
      <c r="S827" s="7">
        <v>292.27999999999997</v>
      </c>
      <c r="T827" s="7"/>
      <c r="U827" s="7">
        <f t="shared" si="41"/>
        <v>292.27999999999997</v>
      </c>
      <c r="V827" s="5" t="s">
        <v>45</v>
      </c>
      <c r="W827" s="7">
        <v>86.02</v>
      </c>
      <c r="X827" s="5" t="s">
        <v>46</v>
      </c>
      <c r="Z827" s="8">
        <f t="shared" si="40"/>
        <v>86.02</v>
      </c>
    </row>
    <row r="828" spans="1:26" x14ac:dyDescent="0.25">
      <c r="A828" s="5" t="s">
        <v>34</v>
      </c>
      <c r="B828" s="5" t="s">
        <v>225</v>
      </c>
      <c r="C828" s="5" t="s">
        <v>226</v>
      </c>
      <c r="D828" s="5" t="s">
        <v>37</v>
      </c>
      <c r="E828" s="5" t="s">
        <v>54</v>
      </c>
      <c r="F828" s="5" t="s">
        <v>55</v>
      </c>
      <c r="G828" s="5" t="s">
        <v>40</v>
      </c>
      <c r="H828" s="6">
        <v>45961</v>
      </c>
      <c r="I828" s="6">
        <v>45961</v>
      </c>
      <c r="J828" s="6">
        <v>45964</v>
      </c>
      <c r="K828" s="5" t="s">
        <v>167</v>
      </c>
      <c r="L828" s="5" t="s">
        <v>168</v>
      </c>
      <c r="M828" s="5" t="s">
        <v>43</v>
      </c>
      <c r="N828" s="5" t="s">
        <v>169</v>
      </c>
      <c r="O828" s="7">
        <v>379.26</v>
      </c>
      <c r="P828" s="5" t="s">
        <v>45</v>
      </c>
      <c r="Q828" s="22"/>
      <c r="R828" s="8">
        <f t="shared" si="42"/>
        <v>379.26</v>
      </c>
      <c r="S828" s="7">
        <v>379.26</v>
      </c>
      <c r="T828" s="7"/>
      <c r="U828" s="7">
        <f t="shared" si="41"/>
        <v>379.26</v>
      </c>
      <c r="V828" s="5" t="s">
        <v>45</v>
      </c>
      <c r="W828" s="7">
        <v>111.61</v>
      </c>
      <c r="X828" s="5" t="s">
        <v>46</v>
      </c>
      <c r="Z828" s="8">
        <f t="shared" si="40"/>
        <v>111.61</v>
      </c>
    </row>
    <row r="829" spans="1:26" x14ac:dyDescent="0.25">
      <c r="A829" s="5" t="s">
        <v>34</v>
      </c>
      <c r="B829" s="5" t="s">
        <v>225</v>
      </c>
      <c r="C829" s="5" t="s">
        <v>226</v>
      </c>
      <c r="D829" s="5" t="s">
        <v>37</v>
      </c>
      <c r="E829" s="5" t="s">
        <v>112</v>
      </c>
      <c r="F829" s="5" t="s">
        <v>113</v>
      </c>
      <c r="G829" s="5" t="s">
        <v>40</v>
      </c>
      <c r="H829" s="6">
        <v>45961</v>
      </c>
      <c r="I829" s="6">
        <v>45961</v>
      </c>
      <c r="J829" s="6">
        <v>45964</v>
      </c>
      <c r="K829" s="5" t="s">
        <v>167</v>
      </c>
      <c r="L829" s="5" t="s">
        <v>168</v>
      </c>
      <c r="M829" s="5" t="s">
        <v>43</v>
      </c>
      <c r="N829" s="5" t="s">
        <v>169</v>
      </c>
      <c r="O829" s="7">
        <v>226.56</v>
      </c>
      <c r="P829" s="5" t="s">
        <v>45</v>
      </c>
      <c r="Q829" s="22"/>
      <c r="R829" s="8">
        <f t="shared" si="42"/>
        <v>226.56</v>
      </c>
      <c r="S829" s="7">
        <v>226.56</v>
      </c>
      <c r="T829" s="7"/>
      <c r="U829" s="7">
        <f t="shared" si="41"/>
        <v>226.56</v>
      </c>
      <c r="V829" s="5" t="s">
        <v>45</v>
      </c>
      <c r="W829" s="7">
        <v>66.67</v>
      </c>
      <c r="X829" s="5" t="s">
        <v>46</v>
      </c>
      <c r="Z829" s="8">
        <f t="shared" si="40"/>
        <v>66.67</v>
      </c>
    </row>
    <row r="830" spans="1:26" x14ac:dyDescent="0.25">
      <c r="A830" s="5" t="s">
        <v>34</v>
      </c>
      <c r="B830" s="5" t="s">
        <v>225</v>
      </c>
      <c r="C830" s="5" t="s">
        <v>226</v>
      </c>
      <c r="D830" s="5" t="s">
        <v>37</v>
      </c>
      <c r="E830" s="5" t="s">
        <v>76</v>
      </c>
      <c r="F830" s="5" t="s">
        <v>77</v>
      </c>
      <c r="G830" s="5" t="s">
        <v>40</v>
      </c>
      <c r="H830" s="6">
        <v>45961</v>
      </c>
      <c r="I830" s="6">
        <v>45961</v>
      </c>
      <c r="J830" s="6">
        <v>45964</v>
      </c>
      <c r="K830" s="5" t="s">
        <v>167</v>
      </c>
      <c r="L830" s="5" t="s">
        <v>168</v>
      </c>
      <c r="M830" s="5" t="s">
        <v>43</v>
      </c>
      <c r="N830" s="5" t="s">
        <v>169</v>
      </c>
      <c r="O830" s="7">
        <v>249.01</v>
      </c>
      <c r="P830" s="5" t="s">
        <v>45</v>
      </c>
      <c r="Q830" s="22"/>
      <c r="R830" s="8">
        <f t="shared" si="42"/>
        <v>249.01</v>
      </c>
      <c r="S830" s="7">
        <v>249.01</v>
      </c>
      <c r="T830" s="7"/>
      <c r="U830" s="7">
        <f t="shared" si="41"/>
        <v>249.01</v>
      </c>
      <c r="V830" s="5" t="s">
        <v>45</v>
      </c>
      <c r="W830" s="7">
        <v>73.28</v>
      </c>
      <c r="X830" s="5" t="s">
        <v>46</v>
      </c>
      <c r="Z830" s="8">
        <f t="shared" si="40"/>
        <v>73.28</v>
      </c>
    </row>
    <row r="831" spans="1:26" x14ac:dyDescent="0.25">
      <c r="A831" s="5" t="s">
        <v>34</v>
      </c>
      <c r="B831" s="5" t="s">
        <v>225</v>
      </c>
      <c r="C831" s="5" t="s">
        <v>226</v>
      </c>
      <c r="D831" s="5" t="s">
        <v>37</v>
      </c>
      <c r="E831" s="5" t="s">
        <v>96</v>
      </c>
      <c r="F831" s="5" t="s">
        <v>97</v>
      </c>
      <c r="G831" s="5" t="s">
        <v>40</v>
      </c>
      <c r="H831" s="6">
        <v>45961</v>
      </c>
      <c r="I831" s="6">
        <v>45961</v>
      </c>
      <c r="J831" s="6">
        <v>45964</v>
      </c>
      <c r="K831" s="5" t="s">
        <v>167</v>
      </c>
      <c r="L831" s="5" t="s">
        <v>168</v>
      </c>
      <c r="M831" s="5" t="s">
        <v>43</v>
      </c>
      <c r="N831" s="5" t="s">
        <v>169</v>
      </c>
      <c r="O831" s="7">
        <v>2658.51</v>
      </c>
      <c r="P831" s="5" t="s">
        <v>45</v>
      </c>
      <c r="Q831" s="22"/>
      <c r="R831" s="8">
        <f t="shared" si="42"/>
        <v>2658.51</v>
      </c>
      <c r="S831" s="7">
        <v>2658.51</v>
      </c>
      <c r="T831" s="7"/>
      <c r="U831" s="7">
        <f t="shared" si="41"/>
        <v>2658.51</v>
      </c>
      <c r="V831" s="5" t="s">
        <v>45</v>
      </c>
      <c r="W831" s="7">
        <v>782.37</v>
      </c>
      <c r="X831" s="5" t="s">
        <v>46</v>
      </c>
      <c r="Z831" s="8">
        <f t="shared" si="40"/>
        <v>782.37</v>
      </c>
    </row>
    <row r="832" spans="1:26" x14ac:dyDescent="0.25">
      <c r="A832" s="5" t="s">
        <v>34</v>
      </c>
      <c r="B832" s="5" t="s">
        <v>225</v>
      </c>
      <c r="C832" s="5" t="s">
        <v>226</v>
      </c>
      <c r="D832" s="5" t="s">
        <v>37</v>
      </c>
      <c r="E832" s="5" t="s">
        <v>58</v>
      </c>
      <c r="F832" s="5" t="s">
        <v>59</v>
      </c>
      <c r="G832" s="5" t="s">
        <v>40</v>
      </c>
      <c r="H832" s="6">
        <v>45961</v>
      </c>
      <c r="I832" s="6">
        <v>45961</v>
      </c>
      <c r="J832" s="6">
        <v>45964</v>
      </c>
      <c r="K832" s="5" t="s">
        <v>167</v>
      </c>
      <c r="L832" s="5" t="s">
        <v>168</v>
      </c>
      <c r="M832" s="5" t="s">
        <v>43</v>
      </c>
      <c r="N832" s="5" t="s">
        <v>169</v>
      </c>
      <c r="O832" s="7">
        <v>2650.59</v>
      </c>
      <c r="P832" s="5" t="s">
        <v>45</v>
      </c>
      <c r="Q832" s="22"/>
      <c r="R832" s="8">
        <f t="shared" si="42"/>
        <v>2650.59</v>
      </c>
      <c r="S832" s="7">
        <v>2650.59</v>
      </c>
      <c r="T832" s="7"/>
      <c r="U832" s="7">
        <f t="shared" si="41"/>
        <v>2650.59</v>
      </c>
      <c r="V832" s="5" t="s">
        <v>45</v>
      </c>
      <c r="W832" s="7">
        <v>780.04</v>
      </c>
      <c r="X832" s="5" t="s">
        <v>46</v>
      </c>
      <c r="Z832" s="8">
        <f t="shared" si="40"/>
        <v>780.04</v>
      </c>
    </row>
    <row r="833" spans="1:26" x14ac:dyDescent="0.25">
      <c r="A833" s="5" t="s">
        <v>34</v>
      </c>
      <c r="B833" s="5" t="s">
        <v>225</v>
      </c>
      <c r="C833" s="5" t="s">
        <v>226</v>
      </c>
      <c r="D833" s="5" t="s">
        <v>37</v>
      </c>
      <c r="E833" s="5" t="s">
        <v>80</v>
      </c>
      <c r="F833" s="5" t="s">
        <v>81</v>
      </c>
      <c r="G833" s="5" t="s">
        <v>40</v>
      </c>
      <c r="H833" s="6">
        <v>45961</v>
      </c>
      <c r="I833" s="6">
        <v>45961</v>
      </c>
      <c r="J833" s="6">
        <v>45964</v>
      </c>
      <c r="K833" s="5" t="s">
        <v>167</v>
      </c>
      <c r="L833" s="5" t="s">
        <v>168</v>
      </c>
      <c r="M833" s="5" t="s">
        <v>43</v>
      </c>
      <c r="N833" s="5" t="s">
        <v>169</v>
      </c>
      <c r="O833" s="7">
        <v>547.47</v>
      </c>
      <c r="P833" s="5" t="s">
        <v>45</v>
      </c>
      <c r="Q833" s="22"/>
      <c r="R833" s="8">
        <f t="shared" si="42"/>
        <v>547.47</v>
      </c>
      <c r="S833" s="7">
        <v>547.47</v>
      </c>
      <c r="T833" s="7"/>
      <c r="U833" s="7">
        <f t="shared" si="41"/>
        <v>547.47</v>
      </c>
      <c r="V833" s="5" t="s">
        <v>45</v>
      </c>
      <c r="W833" s="7">
        <v>161.12</v>
      </c>
      <c r="X833" s="5" t="s">
        <v>46</v>
      </c>
      <c r="Z833" s="8">
        <f t="shared" si="40"/>
        <v>161.12</v>
      </c>
    </row>
    <row r="834" spans="1:26" x14ac:dyDescent="0.25">
      <c r="A834" s="5" t="s">
        <v>34</v>
      </c>
      <c r="B834" s="5" t="s">
        <v>225</v>
      </c>
      <c r="C834" s="5" t="s">
        <v>226</v>
      </c>
      <c r="D834" s="5" t="s">
        <v>37</v>
      </c>
      <c r="E834" s="5" t="s">
        <v>82</v>
      </c>
      <c r="F834" s="5" t="s">
        <v>83</v>
      </c>
      <c r="G834" s="5" t="s">
        <v>40</v>
      </c>
      <c r="H834" s="6">
        <v>45961</v>
      </c>
      <c r="I834" s="6">
        <v>45961</v>
      </c>
      <c r="J834" s="6">
        <v>45964</v>
      </c>
      <c r="K834" s="5" t="s">
        <v>167</v>
      </c>
      <c r="L834" s="5" t="s">
        <v>168</v>
      </c>
      <c r="M834" s="5" t="s">
        <v>43</v>
      </c>
      <c r="N834" s="5" t="s">
        <v>169</v>
      </c>
      <c r="O834" s="7">
        <v>555.42999999999995</v>
      </c>
      <c r="P834" s="5" t="s">
        <v>45</v>
      </c>
      <c r="Q834" s="22"/>
      <c r="R834" s="8">
        <f t="shared" si="42"/>
        <v>555.42999999999995</v>
      </c>
      <c r="S834" s="7">
        <v>555.42999999999995</v>
      </c>
      <c r="T834" s="7"/>
      <c r="U834" s="7">
        <f t="shared" si="41"/>
        <v>555.42999999999995</v>
      </c>
      <c r="V834" s="5" t="s">
        <v>45</v>
      </c>
      <c r="W834" s="7">
        <v>163.46</v>
      </c>
      <c r="X834" s="5" t="s">
        <v>46</v>
      </c>
      <c r="Z834" s="8">
        <f t="shared" ref="Z834:Z897" si="43">+W834+Y834</f>
        <v>163.46</v>
      </c>
    </row>
    <row r="835" spans="1:26" x14ac:dyDescent="0.25">
      <c r="A835" s="5" t="s">
        <v>34</v>
      </c>
      <c r="B835" s="5" t="s">
        <v>225</v>
      </c>
      <c r="C835" s="5" t="s">
        <v>226</v>
      </c>
      <c r="D835" s="5" t="s">
        <v>37</v>
      </c>
      <c r="E835" s="5" t="s">
        <v>100</v>
      </c>
      <c r="F835" s="5" t="s">
        <v>101</v>
      </c>
      <c r="G835" s="5" t="s">
        <v>40</v>
      </c>
      <c r="H835" s="6">
        <v>45961</v>
      </c>
      <c r="I835" s="6">
        <v>45961</v>
      </c>
      <c r="J835" s="6">
        <v>45964</v>
      </c>
      <c r="K835" s="5" t="s">
        <v>167</v>
      </c>
      <c r="L835" s="5" t="s">
        <v>168</v>
      </c>
      <c r="M835" s="5" t="s">
        <v>43</v>
      </c>
      <c r="N835" s="5" t="s">
        <v>169</v>
      </c>
      <c r="O835" s="7">
        <v>797.31</v>
      </c>
      <c r="P835" s="5" t="s">
        <v>45</v>
      </c>
      <c r="Q835" s="22"/>
      <c r="R835" s="8">
        <f t="shared" si="42"/>
        <v>797.31</v>
      </c>
      <c r="S835" s="7">
        <v>797.31</v>
      </c>
      <c r="T835" s="7"/>
      <c r="U835" s="7">
        <f t="shared" ref="U835:U898" si="44">+S835+T835</f>
        <v>797.31</v>
      </c>
      <c r="V835" s="5" t="s">
        <v>45</v>
      </c>
      <c r="W835" s="7">
        <v>234.64</v>
      </c>
      <c r="X835" s="5" t="s">
        <v>46</v>
      </c>
      <c r="Z835" s="8">
        <f t="shared" si="43"/>
        <v>234.64</v>
      </c>
    </row>
    <row r="836" spans="1:26" x14ac:dyDescent="0.25">
      <c r="A836" s="5" t="s">
        <v>34</v>
      </c>
      <c r="B836" s="5" t="s">
        <v>225</v>
      </c>
      <c r="C836" s="5" t="s">
        <v>226</v>
      </c>
      <c r="D836" s="5" t="s">
        <v>37</v>
      </c>
      <c r="E836" s="5" t="s">
        <v>94</v>
      </c>
      <c r="F836" s="5" t="s">
        <v>95</v>
      </c>
      <c r="G836" s="5" t="s">
        <v>40</v>
      </c>
      <c r="H836" s="6">
        <v>45961</v>
      </c>
      <c r="I836" s="6">
        <v>45961</v>
      </c>
      <c r="J836" s="6">
        <v>45964</v>
      </c>
      <c r="K836" s="5" t="s">
        <v>167</v>
      </c>
      <c r="L836" s="5" t="s">
        <v>168</v>
      </c>
      <c r="M836" s="5" t="s">
        <v>43</v>
      </c>
      <c r="N836" s="5" t="s">
        <v>169</v>
      </c>
      <c r="O836" s="7">
        <v>4304.66</v>
      </c>
      <c r="P836" s="5" t="s">
        <v>45</v>
      </c>
      <c r="Q836" s="22"/>
      <c r="R836" s="8">
        <f t="shared" si="42"/>
        <v>4304.66</v>
      </c>
      <c r="S836" s="7">
        <v>4304.66</v>
      </c>
      <c r="T836" s="7"/>
      <c r="U836" s="7">
        <f t="shared" si="44"/>
        <v>4304.66</v>
      </c>
      <c r="V836" s="5" t="s">
        <v>45</v>
      </c>
      <c r="W836" s="7">
        <v>1266.82</v>
      </c>
      <c r="X836" s="5" t="s">
        <v>46</v>
      </c>
      <c r="Z836" s="8">
        <f t="shared" si="43"/>
        <v>1266.82</v>
      </c>
    </row>
    <row r="837" spans="1:26" x14ac:dyDescent="0.25">
      <c r="A837" s="5" t="s">
        <v>34</v>
      </c>
      <c r="B837" s="5" t="s">
        <v>225</v>
      </c>
      <c r="C837" s="5" t="s">
        <v>226</v>
      </c>
      <c r="D837" s="5" t="s">
        <v>37</v>
      </c>
      <c r="E837" s="5" t="s">
        <v>60</v>
      </c>
      <c r="F837" s="5" t="s">
        <v>61</v>
      </c>
      <c r="G837" s="5" t="s">
        <v>40</v>
      </c>
      <c r="H837" s="6">
        <v>45961</v>
      </c>
      <c r="I837" s="6">
        <v>45961</v>
      </c>
      <c r="J837" s="6">
        <v>45964</v>
      </c>
      <c r="K837" s="5" t="s">
        <v>167</v>
      </c>
      <c r="L837" s="5" t="s">
        <v>168</v>
      </c>
      <c r="M837" s="5" t="s">
        <v>43</v>
      </c>
      <c r="N837" s="5" t="s">
        <v>169</v>
      </c>
      <c r="O837" s="7">
        <v>3542.66</v>
      </c>
      <c r="P837" s="5" t="s">
        <v>45</v>
      </c>
      <c r="Q837" s="22"/>
      <c r="R837" s="8">
        <f t="shared" si="42"/>
        <v>3542.66</v>
      </c>
      <c r="S837" s="7">
        <v>3542.66</v>
      </c>
      <c r="T837" s="7"/>
      <c r="U837" s="7">
        <f t="shared" si="44"/>
        <v>3542.66</v>
      </c>
      <c r="V837" s="5" t="s">
        <v>45</v>
      </c>
      <c r="W837" s="7">
        <v>1042.57</v>
      </c>
      <c r="X837" s="5" t="s">
        <v>46</v>
      </c>
      <c r="Z837" s="8">
        <f t="shared" si="43"/>
        <v>1042.57</v>
      </c>
    </row>
    <row r="838" spans="1:26" x14ac:dyDescent="0.25">
      <c r="A838" s="5" t="s">
        <v>34</v>
      </c>
      <c r="B838" s="5" t="s">
        <v>225</v>
      </c>
      <c r="C838" s="5" t="s">
        <v>226</v>
      </c>
      <c r="D838" s="5" t="s">
        <v>37</v>
      </c>
      <c r="E838" s="5" t="s">
        <v>68</v>
      </c>
      <c r="F838" s="5" t="s">
        <v>69</v>
      </c>
      <c r="G838" s="5" t="s">
        <v>40</v>
      </c>
      <c r="H838" s="6">
        <v>45961</v>
      </c>
      <c r="I838" s="6">
        <v>45961</v>
      </c>
      <c r="J838" s="6">
        <v>45964</v>
      </c>
      <c r="K838" s="5" t="s">
        <v>167</v>
      </c>
      <c r="L838" s="5" t="s">
        <v>168</v>
      </c>
      <c r="M838" s="5" t="s">
        <v>43</v>
      </c>
      <c r="N838" s="5" t="s">
        <v>169</v>
      </c>
      <c r="O838" s="7">
        <v>319.10000000000002</v>
      </c>
      <c r="P838" s="5" t="s">
        <v>45</v>
      </c>
      <c r="Q838" s="22"/>
      <c r="R838" s="8">
        <f t="shared" si="42"/>
        <v>319.10000000000002</v>
      </c>
      <c r="S838" s="7">
        <v>319.10000000000002</v>
      </c>
      <c r="T838" s="7"/>
      <c r="U838" s="7">
        <f t="shared" si="44"/>
        <v>319.10000000000002</v>
      </c>
      <c r="V838" s="5" t="s">
        <v>45</v>
      </c>
      <c r="W838" s="7">
        <v>93.91</v>
      </c>
      <c r="X838" s="5" t="s">
        <v>46</v>
      </c>
      <c r="Z838" s="8">
        <f t="shared" si="43"/>
        <v>93.91</v>
      </c>
    </row>
    <row r="839" spans="1:26" x14ac:dyDescent="0.25">
      <c r="A839" s="5" t="s">
        <v>34</v>
      </c>
      <c r="B839" s="5" t="s">
        <v>225</v>
      </c>
      <c r="C839" s="5" t="s">
        <v>226</v>
      </c>
      <c r="D839" s="5" t="s">
        <v>37</v>
      </c>
      <c r="E839" s="5" t="s">
        <v>90</v>
      </c>
      <c r="F839" s="5" t="s">
        <v>91</v>
      </c>
      <c r="G839" s="5" t="s">
        <v>40</v>
      </c>
      <c r="H839" s="6">
        <v>45961</v>
      </c>
      <c r="I839" s="6">
        <v>45961</v>
      </c>
      <c r="J839" s="6">
        <v>45964</v>
      </c>
      <c r="K839" s="5" t="s">
        <v>167</v>
      </c>
      <c r="L839" s="5" t="s">
        <v>168</v>
      </c>
      <c r="M839" s="5" t="s">
        <v>43</v>
      </c>
      <c r="N839" s="5" t="s">
        <v>169</v>
      </c>
      <c r="O839" s="7">
        <v>472.42</v>
      </c>
      <c r="P839" s="5" t="s">
        <v>45</v>
      </c>
      <c r="Q839" s="22"/>
      <c r="R839" s="8">
        <f t="shared" si="42"/>
        <v>472.42</v>
      </c>
      <c r="S839" s="7">
        <v>472.42</v>
      </c>
      <c r="T839" s="7"/>
      <c r="U839" s="7">
        <f t="shared" si="44"/>
        <v>472.42</v>
      </c>
      <c r="V839" s="5" t="s">
        <v>45</v>
      </c>
      <c r="W839" s="7">
        <v>139.03</v>
      </c>
      <c r="X839" s="5" t="s">
        <v>46</v>
      </c>
      <c r="Z839" s="8">
        <f t="shared" si="43"/>
        <v>139.03</v>
      </c>
    </row>
    <row r="840" spans="1:26" x14ac:dyDescent="0.25">
      <c r="A840" s="5" t="s">
        <v>34</v>
      </c>
      <c r="B840" s="5" t="s">
        <v>225</v>
      </c>
      <c r="C840" s="5" t="s">
        <v>226</v>
      </c>
      <c r="D840" s="5" t="s">
        <v>37</v>
      </c>
      <c r="E840" s="5" t="s">
        <v>38</v>
      </c>
      <c r="F840" s="5" t="s">
        <v>39</v>
      </c>
      <c r="G840" s="5" t="s">
        <v>40</v>
      </c>
      <c r="H840" s="6">
        <v>45961</v>
      </c>
      <c r="I840" s="6">
        <v>45961</v>
      </c>
      <c r="J840" s="6">
        <v>45964</v>
      </c>
      <c r="K840" s="5" t="s">
        <v>167</v>
      </c>
      <c r="L840" s="5" t="s">
        <v>168</v>
      </c>
      <c r="M840" s="5" t="s">
        <v>43</v>
      </c>
      <c r="N840" s="5" t="s">
        <v>169</v>
      </c>
      <c r="O840" s="7">
        <v>254.37</v>
      </c>
      <c r="P840" s="5" t="s">
        <v>45</v>
      </c>
      <c r="Q840" s="22"/>
      <c r="R840" s="8">
        <f t="shared" si="42"/>
        <v>254.37</v>
      </c>
      <c r="S840" s="7">
        <v>254.37</v>
      </c>
      <c r="T840" s="7"/>
      <c r="U840" s="7">
        <f t="shared" si="44"/>
        <v>254.37</v>
      </c>
      <c r="V840" s="5" t="s">
        <v>45</v>
      </c>
      <c r="W840" s="7">
        <v>74.86</v>
      </c>
      <c r="X840" s="5" t="s">
        <v>46</v>
      </c>
      <c r="Z840" s="8">
        <f t="shared" si="43"/>
        <v>74.86</v>
      </c>
    </row>
    <row r="841" spans="1:26" x14ac:dyDescent="0.25">
      <c r="A841" s="5" t="s">
        <v>34</v>
      </c>
      <c r="B841" s="5" t="s">
        <v>225</v>
      </c>
      <c r="C841" s="5" t="s">
        <v>226</v>
      </c>
      <c r="D841" s="5" t="s">
        <v>37</v>
      </c>
      <c r="E841" s="5" t="s">
        <v>52</v>
      </c>
      <c r="F841" s="5" t="s">
        <v>53</v>
      </c>
      <c r="G841" s="5" t="s">
        <v>40</v>
      </c>
      <c r="H841" s="6">
        <v>45961</v>
      </c>
      <c r="I841" s="6">
        <v>45961</v>
      </c>
      <c r="J841" s="6">
        <v>45964</v>
      </c>
      <c r="K841" s="5" t="s">
        <v>167</v>
      </c>
      <c r="L841" s="5" t="s">
        <v>168</v>
      </c>
      <c r="M841" s="5" t="s">
        <v>43</v>
      </c>
      <c r="N841" s="5" t="s">
        <v>169</v>
      </c>
      <c r="O841" s="7">
        <v>159.36000000000001</v>
      </c>
      <c r="P841" s="5" t="s">
        <v>45</v>
      </c>
      <c r="Q841" s="22"/>
      <c r="R841" s="8">
        <f t="shared" si="42"/>
        <v>159.36000000000001</v>
      </c>
      <c r="S841" s="7">
        <v>159.36000000000001</v>
      </c>
      <c r="T841" s="7"/>
      <c r="U841" s="7">
        <f t="shared" si="44"/>
        <v>159.36000000000001</v>
      </c>
      <c r="V841" s="5" t="s">
        <v>45</v>
      </c>
      <c r="W841" s="7">
        <v>46.9</v>
      </c>
      <c r="X841" s="5" t="s">
        <v>46</v>
      </c>
      <c r="Z841" s="8">
        <f t="shared" si="43"/>
        <v>46.9</v>
      </c>
    </row>
    <row r="842" spans="1:26" x14ac:dyDescent="0.25">
      <c r="A842" s="5" t="s">
        <v>34</v>
      </c>
      <c r="B842" s="5" t="s">
        <v>225</v>
      </c>
      <c r="C842" s="5" t="s">
        <v>226</v>
      </c>
      <c r="D842" s="5" t="s">
        <v>37</v>
      </c>
      <c r="E842" s="5" t="s">
        <v>88</v>
      </c>
      <c r="F842" s="5" t="s">
        <v>89</v>
      </c>
      <c r="G842" s="5" t="s">
        <v>40</v>
      </c>
      <c r="H842" s="6">
        <v>45961</v>
      </c>
      <c r="I842" s="6">
        <v>45961</v>
      </c>
      <c r="J842" s="6">
        <v>45964</v>
      </c>
      <c r="K842" s="5" t="s">
        <v>167</v>
      </c>
      <c r="L842" s="5" t="s">
        <v>168</v>
      </c>
      <c r="M842" s="5" t="s">
        <v>43</v>
      </c>
      <c r="N842" s="5" t="s">
        <v>169</v>
      </c>
      <c r="O842" s="7">
        <v>359.17</v>
      </c>
      <c r="P842" s="5" t="s">
        <v>45</v>
      </c>
      <c r="Q842" s="22"/>
      <c r="R842" s="8">
        <f t="shared" si="42"/>
        <v>359.17</v>
      </c>
      <c r="S842" s="7">
        <v>359.17</v>
      </c>
      <c r="T842" s="7"/>
      <c r="U842" s="7">
        <f t="shared" si="44"/>
        <v>359.17</v>
      </c>
      <c r="V842" s="5" t="s">
        <v>45</v>
      </c>
      <c r="W842" s="7">
        <v>105.7</v>
      </c>
      <c r="X842" s="5" t="s">
        <v>46</v>
      </c>
      <c r="Z842" s="8">
        <f t="shared" si="43"/>
        <v>105.7</v>
      </c>
    </row>
    <row r="843" spans="1:26" x14ac:dyDescent="0.25">
      <c r="A843" s="5" t="s">
        <v>34</v>
      </c>
      <c r="B843" s="5" t="s">
        <v>225</v>
      </c>
      <c r="C843" s="5" t="s">
        <v>226</v>
      </c>
      <c r="D843" s="5" t="s">
        <v>37</v>
      </c>
      <c r="E843" s="5" t="s">
        <v>78</v>
      </c>
      <c r="F843" s="5" t="s">
        <v>79</v>
      </c>
      <c r="G843" s="5" t="s">
        <v>40</v>
      </c>
      <c r="H843" s="6">
        <v>45961</v>
      </c>
      <c r="I843" s="6">
        <v>45961</v>
      </c>
      <c r="J843" s="6">
        <v>45964</v>
      </c>
      <c r="K843" s="5" t="s">
        <v>167</v>
      </c>
      <c r="L843" s="5" t="s">
        <v>168</v>
      </c>
      <c r="M843" s="5" t="s">
        <v>43</v>
      </c>
      <c r="N843" s="5" t="s">
        <v>169</v>
      </c>
      <c r="O843" s="7">
        <v>232.9</v>
      </c>
      <c r="P843" s="5" t="s">
        <v>45</v>
      </c>
      <c r="Q843" s="22"/>
      <c r="R843" s="8">
        <f t="shared" si="42"/>
        <v>232.9</v>
      </c>
      <c r="S843" s="7">
        <v>232.9</v>
      </c>
      <c r="T843" s="7"/>
      <c r="U843" s="7">
        <f t="shared" si="44"/>
        <v>232.9</v>
      </c>
      <c r="V843" s="5" t="s">
        <v>45</v>
      </c>
      <c r="W843" s="7">
        <v>68.540000000000006</v>
      </c>
      <c r="X843" s="5" t="s">
        <v>46</v>
      </c>
      <c r="Z843" s="8">
        <f t="shared" si="43"/>
        <v>68.540000000000006</v>
      </c>
    </row>
    <row r="844" spans="1:26" x14ac:dyDescent="0.25">
      <c r="A844" s="5" t="s">
        <v>34</v>
      </c>
      <c r="B844" s="5" t="s">
        <v>225</v>
      </c>
      <c r="C844" s="5" t="s">
        <v>226</v>
      </c>
      <c r="D844" s="5" t="s">
        <v>37</v>
      </c>
      <c r="E844" s="5" t="s">
        <v>74</v>
      </c>
      <c r="F844" s="5" t="s">
        <v>75</v>
      </c>
      <c r="G844" s="5" t="s">
        <v>40</v>
      </c>
      <c r="H844" s="6">
        <v>45961</v>
      </c>
      <c r="I844" s="6">
        <v>45961</v>
      </c>
      <c r="J844" s="6">
        <v>45964</v>
      </c>
      <c r="K844" s="5" t="s">
        <v>167</v>
      </c>
      <c r="L844" s="5" t="s">
        <v>168</v>
      </c>
      <c r="M844" s="5" t="s">
        <v>43</v>
      </c>
      <c r="N844" s="5" t="s">
        <v>169</v>
      </c>
      <c r="O844" s="7">
        <v>1831.21</v>
      </c>
      <c r="P844" s="5" t="s">
        <v>45</v>
      </c>
      <c r="Q844" s="22"/>
      <c r="R844" s="8">
        <f t="shared" si="42"/>
        <v>1831.21</v>
      </c>
      <c r="S844" s="7">
        <v>1831.21</v>
      </c>
      <c r="T844" s="7"/>
      <c r="U844" s="7">
        <f t="shared" si="44"/>
        <v>1831.21</v>
      </c>
      <c r="V844" s="5" t="s">
        <v>45</v>
      </c>
      <c r="W844" s="7">
        <v>538.91</v>
      </c>
      <c r="X844" s="5" t="s">
        <v>46</v>
      </c>
      <c r="Z844" s="8">
        <f t="shared" si="43"/>
        <v>538.91</v>
      </c>
    </row>
    <row r="845" spans="1:26" x14ac:dyDescent="0.25">
      <c r="A845" s="5" t="s">
        <v>34</v>
      </c>
      <c r="B845" s="5" t="s">
        <v>225</v>
      </c>
      <c r="C845" s="5" t="s">
        <v>226</v>
      </c>
      <c r="D845" s="5" t="s">
        <v>37</v>
      </c>
      <c r="E845" s="5" t="s">
        <v>64</v>
      </c>
      <c r="F845" s="5" t="s">
        <v>65</v>
      </c>
      <c r="G845" s="5" t="s">
        <v>40</v>
      </c>
      <c r="H845" s="6">
        <v>45961</v>
      </c>
      <c r="I845" s="6">
        <v>45961</v>
      </c>
      <c r="J845" s="6">
        <v>45964</v>
      </c>
      <c r="K845" s="5" t="s">
        <v>167</v>
      </c>
      <c r="L845" s="5" t="s">
        <v>168</v>
      </c>
      <c r="M845" s="5" t="s">
        <v>43</v>
      </c>
      <c r="N845" s="5" t="s">
        <v>169</v>
      </c>
      <c r="O845" s="7">
        <v>228.73</v>
      </c>
      <c r="P845" s="5" t="s">
        <v>45</v>
      </c>
      <c r="Q845" s="22"/>
      <c r="R845" s="8">
        <f t="shared" si="42"/>
        <v>228.73</v>
      </c>
      <c r="S845" s="7">
        <v>228.73</v>
      </c>
      <c r="T845" s="7"/>
      <c r="U845" s="7">
        <f t="shared" si="44"/>
        <v>228.73</v>
      </c>
      <c r="V845" s="5" t="s">
        <v>45</v>
      </c>
      <c r="W845" s="7">
        <v>67.31</v>
      </c>
      <c r="X845" s="5" t="s">
        <v>46</v>
      </c>
      <c r="Z845" s="8">
        <f t="shared" si="43"/>
        <v>67.31</v>
      </c>
    </row>
    <row r="846" spans="1:26" x14ac:dyDescent="0.25">
      <c r="A846" s="5" t="s">
        <v>34</v>
      </c>
      <c r="B846" s="5" t="s">
        <v>225</v>
      </c>
      <c r="C846" s="5" t="s">
        <v>226</v>
      </c>
      <c r="D846" s="5" t="s">
        <v>37</v>
      </c>
      <c r="E846" s="5" t="s">
        <v>84</v>
      </c>
      <c r="F846" s="5" t="s">
        <v>85</v>
      </c>
      <c r="G846" s="5" t="s">
        <v>40</v>
      </c>
      <c r="H846" s="6">
        <v>45961</v>
      </c>
      <c r="I846" s="6">
        <v>45961</v>
      </c>
      <c r="J846" s="6">
        <v>45964</v>
      </c>
      <c r="K846" s="5" t="s">
        <v>167</v>
      </c>
      <c r="L846" s="5" t="s">
        <v>168</v>
      </c>
      <c r="M846" s="5" t="s">
        <v>43</v>
      </c>
      <c r="N846" s="5" t="s">
        <v>169</v>
      </c>
      <c r="O846" s="7">
        <v>1502.36</v>
      </c>
      <c r="P846" s="5" t="s">
        <v>45</v>
      </c>
      <c r="Q846" s="22"/>
      <c r="R846" s="8">
        <f t="shared" si="42"/>
        <v>1502.36</v>
      </c>
      <c r="S846" s="7">
        <v>1502.36</v>
      </c>
      <c r="T846" s="7"/>
      <c r="U846" s="7">
        <f t="shared" si="44"/>
        <v>1502.36</v>
      </c>
      <c r="V846" s="5" t="s">
        <v>45</v>
      </c>
      <c r="W846" s="7">
        <v>442.13</v>
      </c>
      <c r="X846" s="5" t="s">
        <v>46</v>
      </c>
      <c r="Z846" s="8">
        <f t="shared" si="43"/>
        <v>442.13</v>
      </c>
    </row>
    <row r="847" spans="1:26" x14ac:dyDescent="0.25">
      <c r="A847" s="5" t="s">
        <v>34</v>
      </c>
      <c r="B847" s="5" t="s">
        <v>225</v>
      </c>
      <c r="C847" s="5" t="s">
        <v>226</v>
      </c>
      <c r="D847" s="5" t="s">
        <v>37</v>
      </c>
      <c r="E847" s="5" t="s">
        <v>62</v>
      </c>
      <c r="F847" s="5" t="s">
        <v>63</v>
      </c>
      <c r="G847" s="5" t="s">
        <v>40</v>
      </c>
      <c r="H847" s="6">
        <v>45961</v>
      </c>
      <c r="I847" s="6">
        <v>45961</v>
      </c>
      <c r="J847" s="6">
        <v>45964</v>
      </c>
      <c r="K847" s="5" t="s">
        <v>167</v>
      </c>
      <c r="L847" s="5" t="s">
        <v>168</v>
      </c>
      <c r="M847" s="5" t="s">
        <v>43</v>
      </c>
      <c r="N847" s="5" t="s">
        <v>169</v>
      </c>
      <c r="O847" s="7">
        <v>314.68</v>
      </c>
      <c r="P847" s="5" t="s">
        <v>45</v>
      </c>
      <c r="Q847" s="22"/>
      <c r="R847" s="8">
        <f t="shared" si="42"/>
        <v>314.68</v>
      </c>
      <c r="S847" s="7">
        <v>314.68</v>
      </c>
      <c r="T847" s="7"/>
      <c r="U847" s="7">
        <f t="shared" si="44"/>
        <v>314.68</v>
      </c>
      <c r="V847" s="5" t="s">
        <v>45</v>
      </c>
      <c r="W847" s="7">
        <v>92.61</v>
      </c>
      <c r="X847" s="5" t="s">
        <v>46</v>
      </c>
      <c r="Z847" s="8">
        <f t="shared" si="43"/>
        <v>92.61</v>
      </c>
    </row>
    <row r="848" spans="1:26" x14ac:dyDescent="0.25">
      <c r="A848" s="5" t="s">
        <v>34</v>
      </c>
      <c r="B848" s="5" t="s">
        <v>225</v>
      </c>
      <c r="C848" s="5" t="s">
        <v>226</v>
      </c>
      <c r="D848" s="5" t="s">
        <v>37</v>
      </c>
      <c r="E848" s="5" t="s">
        <v>86</v>
      </c>
      <c r="F848" s="5" t="s">
        <v>87</v>
      </c>
      <c r="G848" s="5" t="s">
        <v>40</v>
      </c>
      <c r="H848" s="6">
        <v>45961</v>
      </c>
      <c r="I848" s="6">
        <v>45961</v>
      </c>
      <c r="J848" s="6">
        <v>45964</v>
      </c>
      <c r="K848" s="5" t="s">
        <v>167</v>
      </c>
      <c r="L848" s="5" t="s">
        <v>168</v>
      </c>
      <c r="M848" s="5" t="s">
        <v>43</v>
      </c>
      <c r="N848" s="5" t="s">
        <v>169</v>
      </c>
      <c r="O848" s="7">
        <v>644.91999999999996</v>
      </c>
      <c r="P848" s="5" t="s">
        <v>45</v>
      </c>
      <c r="Q848" s="22"/>
      <c r="R848" s="8">
        <f t="shared" si="42"/>
        <v>644.91999999999996</v>
      </c>
      <c r="S848" s="7">
        <v>644.91999999999996</v>
      </c>
      <c r="T848" s="7"/>
      <c r="U848" s="7">
        <f t="shared" si="44"/>
        <v>644.91999999999996</v>
      </c>
      <c r="V848" s="5" t="s">
        <v>45</v>
      </c>
      <c r="W848" s="7">
        <v>189.79</v>
      </c>
      <c r="X848" s="5" t="s">
        <v>46</v>
      </c>
      <c r="Z848" s="8">
        <f t="shared" si="43"/>
        <v>189.79</v>
      </c>
    </row>
    <row r="849" spans="1:26" x14ac:dyDescent="0.25">
      <c r="A849" s="5" t="s">
        <v>34</v>
      </c>
      <c r="B849" s="5" t="s">
        <v>225</v>
      </c>
      <c r="C849" s="5" t="s">
        <v>226</v>
      </c>
      <c r="D849" s="5" t="s">
        <v>37</v>
      </c>
      <c r="E849" s="5" t="s">
        <v>48</v>
      </c>
      <c r="F849" s="5" t="s">
        <v>49</v>
      </c>
      <c r="G849" s="5" t="s">
        <v>40</v>
      </c>
      <c r="H849" s="6">
        <v>45961</v>
      </c>
      <c r="I849" s="6">
        <v>45961</v>
      </c>
      <c r="J849" s="6">
        <v>45964</v>
      </c>
      <c r="K849" s="5" t="s">
        <v>167</v>
      </c>
      <c r="L849" s="5" t="s">
        <v>168</v>
      </c>
      <c r="M849" s="5" t="s">
        <v>43</v>
      </c>
      <c r="N849" s="5" t="s">
        <v>169</v>
      </c>
      <c r="O849" s="7">
        <v>624.28</v>
      </c>
      <c r="P849" s="5" t="s">
        <v>45</v>
      </c>
      <c r="Q849" s="22"/>
      <c r="R849" s="8">
        <f t="shared" si="42"/>
        <v>624.28</v>
      </c>
      <c r="S849" s="7">
        <v>624.28</v>
      </c>
      <c r="T849" s="7"/>
      <c r="U849" s="7">
        <f t="shared" si="44"/>
        <v>624.28</v>
      </c>
      <c r="V849" s="5" t="s">
        <v>45</v>
      </c>
      <c r="W849" s="7">
        <v>183.72</v>
      </c>
      <c r="X849" s="5" t="s">
        <v>46</v>
      </c>
      <c r="Z849" s="8">
        <f t="shared" si="43"/>
        <v>183.72</v>
      </c>
    </row>
    <row r="850" spans="1:26" x14ac:dyDescent="0.25">
      <c r="A850" s="5" t="s">
        <v>34</v>
      </c>
      <c r="B850" s="5" t="s">
        <v>225</v>
      </c>
      <c r="C850" s="5" t="s">
        <v>226</v>
      </c>
      <c r="D850" s="5" t="s">
        <v>37</v>
      </c>
      <c r="E850" s="5" t="s">
        <v>98</v>
      </c>
      <c r="F850" s="5" t="s">
        <v>99</v>
      </c>
      <c r="G850" s="5" t="s">
        <v>40</v>
      </c>
      <c r="H850" s="6">
        <v>45961</v>
      </c>
      <c r="I850" s="6">
        <v>45961</v>
      </c>
      <c r="J850" s="6">
        <v>45964</v>
      </c>
      <c r="K850" s="5" t="s">
        <v>167</v>
      </c>
      <c r="L850" s="5" t="s">
        <v>168</v>
      </c>
      <c r="M850" s="5" t="s">
        <v>43</v>
      </c>
      <c r="N850" s="5" t="s">
        <v>169</v>
      </c>
      <c r="O850" s="7">
        <v>1570.53</v>
      </c>
      <c r="P850" s="5" t="s">
        <v>45</v>
      </c>
      <c r="Q850" s="22"/>
      <c r="R850" s="8">
        <f t="shared" si="42"/>
        <v>1570.53</v>
      </c>
      <c r="S850" s="7">
        <v>1570.53</v>
      </c>
      <c r="T850" s="7"/>
      <c r="U850" s="7">
        <f t="shared" si="44"/>
        <v>1570.53</v>
      </c>
      <c r="V850" s="5" t="s">
        <v>45</v>
      </c>
      <c r="W850" s="7">
        <v>462.19</v>
      </c>
      <c r="X850" s="5" t="s">
        <v>46</v>
      </c>
      <c r="Z850" s="8">
        <f t="shared" si="43"/>
        <v>462.19</v>
      </c>
    </row>
    <row r="851" spans="1:26" x14ac:dyDescent="0.25">
      <c r="A851" s="5" t="s">
        <v>34</v>
      </c>
      <c r="B851" s="5" t="s">
        <v>225</v>
      </c>
      <c r="C851" s="5" t="s">
        <v>226</v>
      </c>
      <c r="D851" s="5" t="s">
        <v>37</v>
      </c>
      <c r="E851" s="5" t="s">
        <v>106</v>
      </c>
      <c r="F851" s="5" t="s">
        <v>107</v>
      </c>
      <c r="G851" s="5" t="s">
        <v>40</v>
      </c>
      <c r="H851" s="6">
        <v>45961</v>
      </c>
      <c r="I851" s="6">
        <v>45961</v>
      </c>
      <c r="J851" s="6">
        <v>45964</v>
      </c>
      <c r="K851" s="5" t="s">
        <v>167</v>
      </c>
      <c r="L851" s="5" t="s">
        <v>168</v>
      </c>
      <c r="M851" s="5" t="s">
        <v>43</v>
      </c>
      <c r="N851" s="5" t="s">
        <v>169</v>
      </c>
      <c r="O851" s="7">
        <v>547.36</v>
      </c>
      <c r="P851" s="5" t="s">
        <v>45</v>
      </c>
      <c r="Q851" s="22"/>
      <c r="R851" s="8">
        <f t="shared" si="42"/>
        <v>547.36</v>
      </c>
      <c r="S851" s="7">
        <v>547.36</v>
      </c>
      <c r="T851" s="7"/>
      <c r="U851" s="7">
        <f t="shared" si="44"/>
        <v>547.36</v>
      </c>
      <c r="V851" s="5" t="s">
        <v>45</v>
      </c>
      <c r="W851" s="7">
        <v>161.08000000000001</v>
      </c>
      <c r="X851" s="5" t="s">
        <v>46</v>
      </c>
      <c r="Z851" s="8">
        <f t="shared" si="43"/>
        <v>161.08000000000001</v>
      </c>
    </row>
    <row r="852" spans="1:26" x14ac:dyDescent="0.25">
      <c r="A852" s="5" t="s">
        <v>34</v>
      </c>
      <c r="B852" s="5" t="s">
        <v>225</v>
      </c>
      <c r="C852" s="5" t="s">
        <v>226</v>
      </c>
      <c r="D852" s="5" t="s">
        <v>37</v>
      </c>
      <c r="E852" s="5" t="s">
        <v>110</v>
      </c>
      <c r="F852" s="5" t="s">
        <v>111</v>
      </c>
      <c r="G852" s="5" t="s">
        <v>40</v>
      </c>
      <c r="H852" s="6">
        <v>45961</v>
      </c>
      <c r="I852" s="6">
        <v>45961</v>
      </c>
      <c r="J852" s="6">
        <v>45964</v>
      </c>
      <c r="K852" s="5" t="s">
        <v>167</v>
      </c>
      <c r="L852" s="5" t="s">
        <v>168</v>
      </c>
      <c r="M852" s="5" t="s">
        <v>43</v>
      </c>
      <c r="N852" s="5" t="s">
        <v>169</v>
      </c>
      <c r="O852" s="7">
        <v>573.94000000000005</v>
      </c>
      <c r="P852" s="5" t="s">
        <v>45</v>
      </c>
      <c r="Q852" s="22"/>
      <c r="R852" s="8">
        <f t="shared" ref="R852:R898" si="45">+O852+Q852</f>
        <v>573.94000000000005</v>
      </c>
      <c r="S852" s="7">
        <v>573.94000000000005</v>
      </c>
      <c r="T852" s="7"/>
      <c r="U852" s="7">
        <f t="shared" si="44"/>
        <v>573.94000000000005</v>
      </c>
      <c r="V852" s="5" t="s">
        <v>45</v>
      </c>
      <c r="W852" s="7">
        <v>168.91</v>
      </c>
      <c r="X852" s="5" t="s">
        <v>46</v>
      </c>
      <c r="Z852" s="8">
        <f t="shared" si="43"/>
        <v>168.91</v>
      </c>
    </row>
    <row r="853" spans="1:26" x14ac:dyDescent="0.25">
      <c r="A853" s="5" t="s">
        <v>34</v>
      </c>
      <c r="B853" s="5" t="s">
        <v>225</v>
      </c>
      <c r="C853" s="5" t="s">
        <v>226</v>
      </c>
      <c r="D853" s="5" t="s">
        <v>37</v>
      </c>
      <c r="E853" s="5" t="s">
        <v>56</v>
      </c>
      <c r="F853" s="5" t="s">
        <v>57</v>
      </c>
      <c r="G853" s="5" t="s">
        <v>40</v>
      </c>
      <c r="H853" s="6">
        <v>45961</v>
      </c>
      <c r="I853" s="6">
        <v>45961</v>
      </c>
      <c r="J853" s="6">
        <v>45964</v>
      </c>
      <c r="K853" s="5" t="s">
        <v>167</v>
      </c>
      <c r="L853" s="5" t="s">
        <v>168</v>
      </c>
      <c r="M853" s="5" t="s">
        <v>43</v>
      </c>
      <c r="N853" s="5" t="s">
        <v>169</v>
      </c>
      <c r="O853" s="7">
        <v>2913.71</v>
      </c>
      <c r="P853" s="5" t="s">
        <v>45</v>
      </c>
      <c r="Q853" s="22"/>
      <c r="R853" s="8">
        <f t="shared" si="45"/>
        <v>2913.71</v>
      </c>
      <c r="S853" s="7">
        <v>2913.71</v>
      </c>
      <c r="T853" s="7"/>
      <c r="U853" s="7">
        <f t="shared" si="44"/>
        <v>2913.71</v>
      </c>
      <c r="V853" s="5" t="s">
        <v>45</v>
      </c>
      <c r="W853" s="7">
        <v>857.48</v>
      </c>
      <c r="X853" s="5" t="s">
        <v>46</v>
      </c>
      <c r="Z853" s="8">
        <f t="shared" si="43"/>
        <v>857.48</v>
      </c>
    </row>
    <row r="854" spans="1:26" x14ac:dyDescent="0.25">
      <c r="A854" s="5" t="s">
        <v>34</v>
      </c>
      <c r="B854" s="5" t="s">
        <v>225</v>
      </c>
      <c r="C854" s="5" t="s">
        <v>226</v>
      </c>
      <c r="D854" s="5" t="s">
        <v>37</v>
      </c>
      <c r="E854" s="5" t="s">
        <v>104</v>
      </c>
      <c r="F854" s="5" t="s">
        <v>105</v>
      </c>
      <c r="G854" s="5" t="s">
        <v>40</v>
      </c>
      <c r="H854" s="6">
        <v>45961</v>
      </c>
      <c r="I854" s="6">
        <v>45961</v>
      </c>
      <c r="J854" s="6">
        <v>45964</v>
      </c>
      <c r="K854" s="5" t="s">
        <v>167</v>
      </c>
      <c r="L854" s="5" t="s">
        <v>168</v>
      </c>
      <c r="M854" s="5" t="s">
        <v>43</v>
      </c>
      <c r="N854" s="5" t="s">
        <v>169</v>
      </c>
      <c r="O854" s="7">
        <v>1510.05</v>
      </c>
      <c r="P854" s="5" t="s">
        <v>45</v>
      </c>
      <c r="Q854" s="22"/>
      <c r="R854" s="8">
        <f t="shared" si="45"/>
        <v>1510.05</v>
      </c>
      <c r="S854" s="7">
        <v>1510.05</v>
      </c>
      <c r="T854" s="7"/>
      <c r="U854" s="7">
        <f t="shared" si="44"/>
        <v>1510.05</v>
      </c>
      <c r="V854" s="5" t="s">
        <v>45</v>
      </c>
      <c r="W854" s="7">
        <v>444.39</v>
      </c>
      <c r="X854" s="5" t="s">
        <v>46</v>
      </c>
      <c r="Z854" s="8">
        <f t="shared" si="43"/>
        <v>444.39</v>
      </c>
    </row>
    <row r="855" spans="1:26" x14ac:dyDescent="0.25">
      <c r="A855" s="5" t="s">
        <v>34</v>
      </c>
      <c r="B855" s="5" t="s">
        <v>225</v>
      </c>
      <c r="C855" s="5" t="s">
        <v>226</v>
      </c>
      <c r="D855" s="5" t="s">
        <v>37</v>
      </c>
      <c r="E855" s="5" t="s">
        <v>102</v>
      </c>
      <c r="F855" s="5" t="s">
        <v>103</v>
      </c>
      <c r="G855" s="5" t="s">
        <v>40</v>
      </c>
      <c r="H855" s="6">
        <v>45961</v>
      </c>
      <c r="I855" s="6">
        <v>45961</v>
      </c>
      <c r="J855" s="6">
        <v>45964</v>
      </c>
      <c r="K855" s="5" t="s">
        <v>167</v>
      </c>
      <c r="L855" s="5" t="s">
        <v>168</v>
      </c>
      <c r="M855" s="5" t="s">
        <v>43</v>
      </c>
      <c r="N855" s="5" t="s">
        <v>169</v>
      </c>
      <c r="O855" s="7">
        <v>810.16</v>
      </c>
      <c r="P855" s="5" t="s">
        <v>45</v>
      </c>
      <c r="Q855" s="22"/>
      <c r="R855" s="8">
        <f t="shared" si="45"/>
        <v>810.16</v>
      </c>
      <c r="S855" s="7">
        <v>810.16</v>
      </c>
      <c r="T855" s="7"/>
      <c r="U855" s="7">
        <f t="shared" si="44"/>
        <v>810.16</v>
      </c>
      <c r="V855" s="5" t="s">
        <v>45</v>
      </c>
      <c r="W855" s="7">
        <v>238.42</v>
      </c>
      <c r="X855" s="5" t="s">
        <v>46</v>
      </c>
      <c r="Z855" s="8">
        <f t="shared" si="43"/>
        <v>238.42</v>
      </c>
    </row>
    <row r="856" spans="1:26" x14ac:dyDescent="0.25">
      <c r="A856" s="5" t="s">
        <v>34</v>
      </c>
      <c r="B856" s="5" t="s">
        <v>225</v>
      </c>
      <c r="C856" s="5" t="s">
        <v>226</v>
      </c>
      <c r="D856" s="5" t="s">
        <v>37</v>
      </c>
      <c r="E856" s="5" t="s">
        <v>118</v>
      </c>
      <c r="F856" s="5" t="s">
        <v>119</v>
      </c>
      <c r="G856" s="5" t="s">
        <v>40</v>
      </c>
      <c r="H856" s="6">
        <v>45961</v>
      </c>
      <c r="I856" s="6">
        <v>45961</v>
      </c>
      <c r="J856" s="6">
        <v>45964</v>
      </c>
      <c r="K856" s="5" t="s">
        <v>167</v>
      </c>
      <c r="L856" s="5" t="s">
        <v>168</v>
      </c>
      <c r="M856" s="5" t="s">
        <v>43</v>
      </c>
      <c r="N856" s="5" t="s">
        <v>169</v>
      </c>
      <c r="O856" s="7">
        <v>248.49</v>
      </c>
      <c r="P856" s="5" t="s">
        <v>45</v>
      </c>
      <c r="Q856" s="22"/>
      <c r="R856" s="8">
        <f t="shared" si="45"/>
        <v>248.49</v>
      </c>
      <c r="S856" s="7">
        <v>248.49</v>
      </c>
      <c r="T856" s="7"/>
      <c r="U856" s="7">
        <f t="shared" si="44"/>
        <v>248.49</v>
      </c>
      <c r="V856" s="5" t="s">
        <v>45</v>
      </c>
      <c r="W856" s="7">
        <v>73.13</v>
      </c>
      <c r="X856" s="5" t="s">
        <v>46</v>
      </c>
      <c r="Z856" s="8">
        <f t="shared" si="43"/>
        <v>73.13</v>
      </c>
    </row>
    <row r="857" spans="1:26" x14ac:dyDescent="0.25">
      <c r="A857" s="5" t="s">
        <v>34</v>
      </c>
      <c r="B857" s="5" t="s">
        <v>225</v>
      </c>
      <c r="C857" s="5" t="s">
        <v>226</v>
      </c>
      <c r="D857" s="5" t="s">
        <v>37</v>
      </c>
      <c r="E857" s="5" t="s">
        <v>70</v>
      </c>
      <c r="F857" s="5" t="s">
        <v>71</v>
      </c>
      <c r="G857" s="5" t="s">
        <v>40</v>
      </c>
      <c r="H857" s="6">
        <v>45961</v>
      </c>
      <c r="I857" s="6">
        <v>45961</v>
      </c>
      <c r="J857" s="6">
        <v>45964</v>
      </c>
      <c r="K857" s="5" t="s">
        <v>167</v>
      </c>
      <c r="L857" s="5" t="s">
        <v>168</v>
      </c>
      <c r="M857" s="5" t="s">
        <v>43</v>
      </c>
      <c r="N857" s="5" t="s">
        <v>169</v>
      </c>
      <c r="O857" s="7">
        <v>586.73</v>
      </c>
      <c r="P857" s="5" t="s">
        <v>45</v>
      </c>
      <c r="Q857" s="22"/>
      <c r="R857" s="8">
        <f t="shared" si="45"/>
        <v>586.73</v>
      </c>
      <c r="S857" s="7">
        <v>586.73</v>
      </c>
      <c r="T857" s="7"/>
      <c r="U857" s="7">
        <f t="shared" si="44"/>
        <v>586.73</v>
      </c>
      <c r="V857" s="5" t="s">
        <v>45</v>
      </c>
      <c r="W857" s="7">
        <v>172.67</v>
      </c>
      <c r="X857" s="5" t="s">
        <v>46</v>
      </c>
      <c r="Z857" s="8">
        <f t="shared" si="43"/>
        <v>172.67</v>
      </c>
    </row>
    <row r="858" spans="1:26" x14ac:dyDescent="0.25">
      <c r="A858" s="5" t="s">
        <v>34</v>
      </c>
      <c r="B858" s="5" t="s">
        <v>225</v>
      </c>
      <c r="C858" s="5" t="s">
        <v>226</v>
      </c>
      <c r="D858" s="5" t="s">
        <v>37</v>
      </c>
      <c r="E858" s="5" t="s">
        <v>116</v>
      </c>
      <c r="F858" s="5" t="s">
        <v>117</v>
      </c>
      <c r="G858" s="5" t="s">
        <v>40</v>
      </c>
      <c r="H858" s="6">
        <v>45961</v>
      </c>
      <c r="I858" s="6">
        <v>45961</v>
      </c>
      <c r="J858" s="6">
        <v>45964</v>
      </c>
      <c r="K858" s="5" t="s">
        <v>167</v>
      </c>
      <c r="L858" s="5" t="s">
        <v>168</v>
      </c>
      <c r="M858" s="5" t="s">
        <v>43</v>
      </c>
      <c r="N858" s="5" t="s">
        <v>169</v>
      </c>
      <c r="O858" s="7">
        <v>635.36</v>
      </c>
      <c r="P858" s="5" t="s">
        <v>45</v>
      </c>
      <c r="Q858" s="22"/>
      <c r="R858" s="8">
        <f t="shared" si="45"/>
        <v>635.36</v>
      </c>
      <c r="S858" s="7">
        <v>635.36</v>
      </c>
      <c r="T858" s="7"/>
      <c r="U858" s="7">
        <f t="shared" si="44"/>
        <v>635.36</v>
      </c>
      <c r="V858" s="5" t="s">
        <v>45</v>
      </c>
      <c r="W858" s="7">
        <v>186.98</v>
      </c>
      <c r="X858" s="5" t="s">
        <v>46</v>
      </c>
      <c r="Z858" s="8">
        <f t="shared" si="43"/>
        <v>186.98</v>
      </c>
    </row>
    <row r="859" spans="1:26" x14ac:dyDescent="0.25">
      <c r="A859" s="5" t="s">
        <v>34</v>
      </c>
      <c r="B859" s="5" t="s">
        <v>225</v>
      </c>
      <c r="C859" s="5" t="s">
        <v>226</v>
      </c>
      <c r="D859" s="5" t="s">
        <v>37</v>
      </c>
      <c r="E859" s="5" t="s">
        <v>66</v>
      </c>
      <c r="F859" s="5" t="s">
        <v>67</v>
      </c>
      <c r="G859" s="5" t="s">
        <v>40</v>
      </c>
      <c r="H859" s="6">
        <v>45961</v>
      </c>
      <c r="I859" s="6">
        <v>45961</v>
      </c>
      <c r="J859" s="6">
        <v>45964</v>
      </c>
      <c r="K859" s="5" t="s">
        <v>167</v>
      </c>
      <c r="L859" s="5" t="s">
        <v>168</v>
      </c>
      <c r="M859" s="5" t="s">
        <v>43</v>
      </c>
      <c r="N859" s="5" t="s">
        <v>169</v>
      </c>
      <c r="O859" s="7">
        <v>1576.03</v>
      </c>
      <c r="P859" s="5" t="s">
        <v>45</v>
      </c>
      <c r="Q859" s="22"/>
      <c r="R859" s="8">
        <f t="shared" si="45"/>
        <v>1576.03</v>
      </c>
      <c r="S859" s="7">
        <v>1576.03</v>
      </c>
      <c r="T859" s="7"/>
      <c r="U859" s="7">
        <f t="shared" si="44"/>
        <v>1576.03</v>
      </c>
      <c r="V859" s="5" t="s">
        <v>45</v>
      </c>
      <c r="W859" s="7">
        <v>463.81</v>
      </c>
      <c r="X859" s="5" t="s">
        <v>46</v>
      </c>
      <c r="Z859" s="8">
        <f t="shared" si="43"/>
        <v>463.81</v>
      </c>
    </row>
    <row r="860" spans="1:26" x14ac:dyDescent="0.25">
      <c r="A860" s="5" t="s">
        <v>34</v>
      </c>
      <c r="B860" s="5" t="s">
        <v>225</v>
      </c>
      <c r="C860" s="5" t="s">
        <v>226</v>
      </c>
      <c r="D860" s="5" t="s">
        <v>37</v>
      </c>
      <c r="E860" s="5" t="s">
        <v>108</v>
      </c>
      <c r="F860" s="5" t="s">
        <v>109</v>
      </c>
      <c r="G860" s="5" t="s">
        <v>40</v>
      </c>
      <c r="H860" s="6">
        <v>45961</v>
      </c>
      <c r="I860" s="6">
        <v>45961</v>
      </c>
      <c r="J860" s="6">
        <v>45964</v>
      </c>
      <c r="K860" s="5" t="s">
        <v>167</v>
      </c>
      <c r="L860" s="5" t="s">
        <v>168</v>
      </c>
      <c r="M860" s="5" t="s">
        <v>43</v>
      </c>
      <c r="N860" s="5" t="s">
        <v>169</v>
      </c>
      <c r="O860" s="7">
        <v>576.62</v>
      </c>
      <c r="P860" s="5" t="s">
        <v>45</v>
      </c>
      <c r="Q860" s="22"/>
      <c r="R860" s="8">
        <f t="shared" si="45"/>
        <v>576.62</v>
      </c>
      <c r="S860" s="7">
        <v>576.62</v>
      </c>
      <c r="T860" s="7"/>
      <c r="U860" s="7">
        <f t="shared" si="44"/>
        <v>576.62</v>
      </c>
      <c r="V860" s="5" t="s">
        <v>45</v>
      </c>
      <c r="W860" s="7">
        <v>169.69</v>
      </c>
      <c r="X860" s="5" t="s">
        <v>46</v>
      </c>
      <c r="Z860" s="8">
        <f t="shared" si="43"/>
        <v>169.69</v>
      </c>
    </row>
    <row r="861" spans="1:26" x14ac:dyDescent="0.25">
      <c r="A861" s="5" t="s">
        <v>34</v>
      </c>
      <c r="B861" s="5" t="s">
        <v>225</v>
      </c>
      <c r="C861" s="5" t="s">
        <v>226</v>
      </c>
      <c r="D861" s="5" t="s">
        <v>37</v>
      </c>
      <c r="E861" s="5" t="s">
        <v>92</v>
      </c>
      <c r="F861" s="5" t="s">
        <v>93</v>
      </c>
      <c r="G861" s="5" t="s">
        <v>40</v>
      </c>
      <c r="H861" s="6">
        <v>45961</v>
      </c>
      <c r="I861" s="6">
        <v>45961</v>
      </c>
      <c r="J861" s="6">
        <v>45964</v>
      </c>
      <c r="K861" s="5" t="s">
        <v>167</v>
      </c>
      <c r="L861" s="5" t="s">
        <v>168</v>
      </c>
      <c r="M861" s="5" t="s">
        <v>43</v>
      </c>
      <c r="N861" s="5" t="s">
        <v>169</v>
      </c>
      <c r="O861" s="7">
        <v>593.04999999999995</v>
      </c>
      <c r="P861" s="5" t="s">
        <v>45</v>
      </c>
      <c r="Q861" s="22"/>
      <c r="R861" s="8">
        <f t="shared" si="45"/>
        <v>593.04999999999995</v>
      </c>
      <c r="S861" s="7">
        <v>593.04999999999995</v>
      </c>
      <c r="T861" s="7"/>
      <c r="U861" s="7">
        <f t="shared" si="44"/>
        <v>593.04999999999995</v>
      </c>
      <c r="V861" s="5" t="s">
        <v>45</v>
      </c>
      <c r="W861" s="7">
        <v>174.53</v>
      </c>
      <c r="X861" s="5" t="s">
        <v>46</v>
      </c>
      <c r="Z861" s="8">
        <f t="shared" si="43"/>
        <v>174.53</v>
      </c>
    </row>
    <row r="862" spans="1:26" x14ac:dyDescent="0.25">
      <c r="A862" s="5" t="s">
        <v>34</v>
      </c>
      <c r="B862" s="5" t="s">
        <v>225</v>
      </c>
      <c r="C862" s="5" t="s">
        <v>226</v>
      </c>
      <c r="D862" s="5" t="s">
        <v>37</v>
      </c>
      <c r="E862" s="5" t="s">
        <v>50</v>
      </c>
      <c r="F862" s="5" t="s">
        <v>51</v>
      </c>
      <c r="G862" s="5" t="s">
        <v>40</v>
      </c>
      <c r="H862" s="6">
        <v>45961</v>
      </c>
      <c r="I862" s="6">
        <v>45961</v>
      </c>
      <c r="J862" s="6">
        <v>45964</v>
      </c>
      <c r="K862" s="5" t="s">
        <v>167</v>
      </c>
      <c r="L862" s="5" t="s">
        <v>168</v>
      </c>
      <c r="M862" s="5" t="s">
        <v>43</v>
      </c>
      <c r="N862" s="5" t="s">
        <v>169</v>
      </c>
      <c r="O862" s="7">
        <v>536.88</v>
      </c>
      <c r="P862" s="5" t="s">
        <v>45</v>
      </c>
      <c r="Q862" s="22"/>
      <c r="R862" s="8">
        <f t="shared" si="45"/>
        <v>536.88</v>
      </c>
      <c r="S862" s="7">
        <v>536.88</v>
      </c>
      <c r="T862" s="7"/>
      <c r="U862" s="7">
        <f t="shared" si="44"/>
        <v>536.88</v>
      </c>
      <c r="V862" s="5" t="s">
        <v>45</v>
      </c>
      <c r="W862" s="7">
        <v>158</v>
      </c>
      <c r="X862" s="5" t="s">
        <v>46</v>
      </c>
      <c r="Z862" s="8">
        <f t="shared" si="43"/>
        <v>158</v>
      </c>
    </row>
    <row r="863" spans="1:26" x14ac:dyDescent="0.25">
      <c r="A863" s="5" t="s">
        <v>34</v>
      </c>
      <c r="B863" s="5" t="s">
        <v>225</v>
      </c>
      <c r="C863" s="5" t="s">
        <v>226</v>
      </c>
      <c r="D863" s="5" t="s">
        <v>37</v>
      </c>
      <c r="E863" s="5" t="s">
        <v>122</v>
      </c>
      <c r="F863" s="5" t="s">
        <v>123</v>
      </c>
      <c r="G863" s="5" t="s">
        <v>40</v>
      </c>
      <c r="H863" s="6">
        <v>45961</v>
      </c>
      <c r="I863" s="6">
        <v>45961</v>
      </c>
      <c r="J863" s="6">
        <v>45964</v>
      </c>
      <c r="K863" s="5" t="s">
        <v>167</v>
      </c>
      <c r="L863" s="5" t="s">
        <v>168</v>
      </c>
      <c r="M863" s="5" t="s">
        <v>43</v>
      </c>
      <c r="N863" s="5" t="s">
        <v>169</v>
      </c>
      <c r="O863" s="7">
        <v>298.89</v>
      </c>
      <c r="P863" s="5" t="s">
        <v>45</v>
      </c>
      <c r="Q863" s="22"/>
      <c r="R863" s="8">
        <f t="shared" si="45"/>
        <v>298.89</v>
      </c>
      <c r="S863" s="7">
        <v>298.89</v>
      </c>
      <c r="T863" s="7"/>
      <c r="U863" s="7">
        <f t="shared" si="44"/>
        <v>298.89</v>
      </c>
      <c r="V863" s="5" t="s">
        <v>45</v>
      </c>
      <c r="W863" s="7">
        <v>87.96</v>
      </c>
      <c r="X863" s="5" t="s">
        <v>46</v>
      </c>
      <c r="Z863" s="8">
        <f t="shared" si="43"/>
        <v>87.96</v>
      </c>
    </row>
    <row r="864" spans="1:26" x14ac:dyDescent="0.25">
      <c r="A864" s="5" t="s">
        <v>34</v>
      </c>
      <c r="B864" s="5" t="s">
        <v>227</v>
      </c>
      <c r="C864" s="5" t="s">
        <v>228</v>
      </c>
      <c r="D864" s="5" t="s">
        <v>37</v>
      </c>
      <c r="E864" s="5" t="s">
        <v>116</v>
      </c>
      <c r="F864" s="5" t="s">
        <v>117</v>
      </c>
      <c r="G864" s="5" t="s">
        <v>40</v>
      </c>
      <c r="H864" s="6">
        <v>45961</v>
      </c>
      <c r="I864" s="6">
        <v>45961</v>
      </c>
      <c r="J864" s="6">
        <v>45964</v>
      </c>
      <c r="K864" s="5" t="s">
        <v>172</v>
      </c>
      <c r="L864" s="5" t="s">
        <v>173</v>
      </c>
      <c r="M864" s="5" t="s">
        <v>43</v>
      </c>
      <c r="N864" s="5" t="s">
        <v>174</v>
      </c>
      <c r="O864" s="7">
        <v>4292.7700000000004</v>
      </c>
      <c r="P864" s="5" t="s">
        <v>45</v>
      </c>
      <c r="Q864" s="22"/>
      <c r="R864" s="8">
        <f t="shared" si="45"/>
        <v>4292.7700000000004</v>
      </c>
      <c r="S864" s="7">
        <v>4292.7700000000004</v>
      </c>
      <c r="T864" s="7"/>
      <c r="U864" s="7">
        <f t="shared" si="44"/>
        <v>4292.7700000000004</v>
      </c>
      <c r="V864" s="5" t="s">
        <v>45</v>
      </c>
      <c r="W864" s="7">
        <v>1263.32</v>
      </c>
      <c r="X864" s="5" t="s">
        <v>46</v>
      </c>
      <c r="Z864" s="8">
        <f t="shared" si="43"/>
        <v>1263.32</v>
      </c>
    </row>
    <row r="865" spans="1:26" x14ac:dyDescent="0.25">
      <c r="A865" s="5" t="s">
        <v>34</v>
      </c>
      <c r="B865" s="5" t="s">
        <v>227</v>
      </c>
      <c r="C865" s="5" t="s">
        <v>228</v>
      </c>
      <c r="D865" s="5" t="s">
        <v>37</v>
      </c>
      <c r="E865" s="5" t="s">
        <v>74</v>
      </c>
      <c r="F865" s="5" t="s">
        <v>75</v>
      </c>
      <c r="G865" s="5" t="s">
        <v>40</v>
      </c>
      <c r="H865" s="6">
        <v>45961</v>
      </c>
      <c r="I865" s="6">
        <v>45961</v>
      </c>
      <c r="J865" s="6">
        <v>45964</v>
      </c>
      <c r="K865" s="5" t="s">
        <v>172</v>
      </c>
      <c r="L865" s="5" t="s">
        <v>173</v>
      </c>
      <c r="M865" s="5" t="s">
        <v>43</v>
      </c>
      <c r="N865" s="5" t="s">
        <v>174</v>
      </c>
      <c r="O865" s="7">
        <v>58382.97</v>
      </c>
      <c r="P865" s="5" t="s">
        <v>45</v>
      </c>
      <c r="Q865" s="22"/>
      <c r="R865" s="8">
        <f t="shared" si="45"/>
        <v>58382.97</v>
      </c>
      <c r="S865" s="7">
        <v>58382.97</v>
      </c>
      <c r="T865" s="7"/>
      <c r="U865" s="7">
        <f t="shared" si="44"/>
        <v>58382.97</v>
      </c>
      <c r="V865" s="5" t="s">
        <v>45</v>
      </c>
      <c r="W865" s="7">
        <v>17181.57</v>
      </c>
      <c r="X865" s="5" t="s">
        <v>46</v>
      </c>
      <c r="Z865" s="8">
        <f t="shared" si="43"/>
        <v>17181.57</v>
      </c>
    </row>
    <row r="866" spans="1:26" x14ac:dyDescent="0.25">
      <c r="A866" s="5" t="s">
        <v>34</v>
      </c>
      <c r="B866" s="5" t="s">
        <v>227</v>
      </c>
      <c r="C866" s="5" t="s">
        <v>228</v>
      </c>
      <c r="D866" s="5" t="s">
        <v>37</v>
      </c>
      <c r="E866" s="5" t="s">
        <v>68</v>
      </c>
      <c r="F866" s="5" t="s">
        <v>69</v>
      </c>
      <c r="G866" s="5" t="s">
        <v>40</v>
      </c>
      <c r="H866" s="6">
        <v>45961</v>
      </c>
      <c r="I866" s="6">
        <v>45961</v>
      </c>
      <c r="J866" s="6">
        <v>45964</v>
      </c>
      <c r="K866" s="5" t="s">
        <v>172</v>
      </c>
      <c r="L866" s="5" t="s">
        <v>173</v>
      </c>
      <c r="M866" s="5" t="s">
        <v>43</v>
      </c>
      <c r="N866" s="5" t="s">
        <v>174</v>
      </c>
      <c r="O866" s="7">
        <v>3790.4</v>
      </c>
      <c r="P866" s="5" t="s">
        <v>45</v>
      </c>
      <c r="Q866" s="22"/>
      <c r="R866" s="8">
        <f t="shared" si="45"/>
        <v>3790.4</v>
      </c>
      <c r="S866" s="7">
        <v>3790.4</v>
      </c>
      <c r="T866" s="7"/>
      <c r="U866" s="7">
        <f t="shared" si="44"/>
        <v>3790.4</v>
      </c>
      <c r="V866" s="5" t="s">
        <v>45</v>
      </c>
      <c r="W866" s="7">
        <v>1115.48</v>
      </c>
      <c r="X866" s="5" t="s">
        <v>46</v>
      </c>
      <c r="Z866" s="8">
        <f t="shared" si="43"/>
        <v>1115.48</v>
      </c>
    </row>
    <row r="867" spans="1:26" x14ac:dyDescent="0.25">
      <c r="A867" s="5" t="s">
        <v>34</v>
      </c>
      <c r="B867" s="5" t="s">
        <v>227</v>
      </c>
      <c r="C867" s="5" t="s">
        <v>228</v>
      </c>
      <c r="D867" s="5" t="s">
        <v>37</v>
      </c>
      <c r="E867" s="5" t="s">
        <v>84</v>
      </c>
      <c r="F867" s="5" t="s">
        <v>85</v>
      </c>
      <c r="G867" s="5" t="s">
        <v>40</v>
      </c>
      <c r="H867" s="6">
        <v>45961</v>
      </c>
      <c r="I867" s="6">
        <v>45961</v>
      </c>
      <c r="J867" s="6">
        <v>45964</v>
      </c>
      <c r="K867" s="5" t="s">
        <v>172</v>
      </c>
      <c r="L867" s="5" t="s">
        <v>173</v>
      </c>
      <c r="M867" s="5" t="s">
        <v>43</v>
      </c>
      <c r="N867" s="5" t="s">
        <v>174</v>
      </c>
      <c r="O867" s="7">
        <v>1745.42</v>
      </c>
      <c r="P867" s="5" t="s">
        <v>45</v>
      </c>
      <c r="Q867" s="22"/>
      <c r="R867" s="8">
        <f t="shared" si="45"/>
        <v>1745.42</v>
      </c>
      <c r="S867" s="7">
        <v>1745.42</v>
      </c>
      <c r="T867" s="7"/>
      <c r="U867" s="7">
        <f t="shared" si="44"/>
        <v>1745.42</v>
      </c>
      <c r="V867" s="5" t="s">
        <v>45</v>
      </c>
      <c r="W867" s="7">
        <v>513.66</v>
      </c>
      <c r="X867" s="5" t="s">
        <v>46</v>
      </c>
      <c r="Z867" s="8">
        <f t="shared" si="43"/>
        <v>513.66</v>
      </c>
    </row>
    <row r="868" spans="1:26" x14ac:dyDescent="0.25">
      <c r="A868" s="5" t="s">
        <v>34</v>
      </c>
      <c r="B868" s="5" t="s">
        <v>227</v>
      </c>
      <c r="C868" s="5" t="s">
        <v>228</v>
      </c>
      <c r="D868" s="5" t="s">
        <v>37</v>
      </c>
      <c r="E868" s="5" t="s">
        <v>58</v>
      </c>
      <c r="F868" s="5" t="s">
        <v>59</v>
      </c>
      <c r="G868" s="5" t="s">
        <v>40</v>
      </c>
      <c r="H868" s="6">
        <v>45961</v>
      </c>
      <c r="I868" s="6">
        <v>45961</v>
      </c>
      <c r="J868" s="6">
        <v>45964</v>
      </c>
      <c r="K868" s="5" t="s">
        <v>172</v>
      </c>
      <c r="L868" s="5" t="s">
        <v>173</v>
      </c>
      <c r="M868" s="5" t="s">
        <v>43</v>
      </c>
      <c r="N868" s="5" t="s">
        <v>174</v>
      </c>
      <c r="O868" s="7">
        <v>445.16</v>
      </c>
      <c r="P868" s="5" t="s">
        <v>45</v>
      </c>
      <c r="Q868" s="22"/>
      <c r="R868" s="8">
        <f t="shared" si="45"/>
        <v>445.16</v>
      </c>
      <c r="S868" s="7">
        <v>445.16</v>
      </c>
      <c r="T868" s="7"/>
      <c r="U868" s="7">
        <f t="shared" si="44"/>
        <v>445.16</v>
      </c>
      <c r="V868" s="5" t="s">
        <v>45</v>
      </c>
      <c r="W868" s="7">
        <v>131.01</v>
      </c>
      <c r="X868" s="5" t="s">
        <v>46</v>
      </c>
      <c r="Z868" s="8">
        <f t="shared" si="43"/>
        <v>131.01</v>
      </c>
    </row>
    <row r="869" spans="1:26" x14ac:dyDescent="0.25">
      <c r="A869" s="5" t="s">
        <v>34</v>
      </c>
      <c r="B869" s="5" t="s">
        <v>227</v>
      </c>
      <c r="C869" s="5" t="s">
        <v>228</v>
      </c>
      <c r="D869" s="5" t="s">
        <v>37</v>
      </c>
      <c r="E869" s="5" t="s">
        <v>48</v>
      </c>
      <c r="F869" s="5" t="s">
        <v>49</v>
      </c>
      <c r="G869" s="5" t="s">
        <v>40</v>
      </c>
      <c r="H869" s="6">
        <v>45961</v>
      </c>
      <c r="I869" s="6">
        <v>45961</v>
      </c>
      <c r="J869" s="6">
        <v>45964</v>
      </c>
      <c r="K869" s="5" t="s">
        <v>172</v>
      </c>
      <c r="L869" s="5" t="s">
        <v>173</v>
      </c>
      <c r="M869" s="5" t="s">
        <v>43</v>
      </c>
      <c r="N869" s="5" t="s">
        <v>174</v>
      </c>
      <c r="O869" s="7">
        <v>9781.01</v>
      </c>
      <c r="P869" s="5" t="s">
        <v>45</v>
      </c>
      <c r="Q869" s="22"/>
      <c r="R869" s="8">
        <f t="shared" si="45"/>
        <v>9781.01</v>
      </c>
      <c r="S869" s="7">
        <v>9781.01</v>
      </c>
      <c r="T869" s="7"/>
      <c r="U869" s="7">
        <f t="shared" si="44"/>
        <v>9781.01</v>
      </c>
      <c r="V869" s="5" t="s">
        <v>45</v>
      </c>
      <c r="W869" s="7">
        <v>2878.46</v>
      </c>
      <c r="X869" s="5" t="s">
        <v>46</v>
      </c>
      <c r="Z869" s="8">
        <f t="shared" si="43"/>
        <v>2878.46</v>
      </c>
    </row>
    <row r="870" spans="1:26" x14ac:dyDescent="0.25">
      <c r="A870" s="5" t="s">
        <v>34</v>
      </c>
      <c r="B870" s="5" t="s">
        <v>227</v>
      </c>
      <c r="C870" s="5" t="s">
        <v>228</v>
      </c>
      <c r="D870" s="5" t="s">
        <v>37</v>
      </c>
      <c r="E870" s="5" t="s">
        <v>122</v>
      </c>
      <c r="F870" s="5" t="s">
        <v>123</v>
      </c>
      <c r="G870" s="5" t="s">
        <v>40</v>
      </c>
      <c r="H870" s="6">
        <v>45961</v>
      </c>
      <c r="I870" s="6">
        <v>45961</v>
      </c>
      <c r="J870" s="6">
        <v>45964</v>
      </c>
      <c r="K870" s="5" t="s">
        <v>172</v>
      </c>
      <c r="L870" s="5" t="s">
        <v>173</v>
      </c>
      <c r="M870" s="5" t="s">
        <v>43</v>
      </c>
      <c r="N870" s="5" t="s">
        <v>174</v>
      </c>
      <c r="O870" s="7">
        <v>82.02</v>
      </c>
      <c r="P870" s="5" t="s">
        <v>45</v>
      </c>
      <c r="Q870" s="22"/>
      <c r="R870" s="8">
        <f t="shared" si="45"/>
        <v>82.02</v>
      </c>
      <c r="S870" s="7">
        <v>82.02</v>
      </c>
      <c r="T870" s="7"/>
      <c r="U870" s="7">
        <f t="shared" si="44"/>
        <v>82.02</v>
      </c>
      <c r="V870" s="5" t="s">
        <v>45</v>
      </c>
      <c r="W870" s="7">
        <v>24.14</v>
      </c>
      <c r="X870" s="5" t="s">
        <v>46</v>
      </c>
      <c r="Z870" s="8">
        <f t="shared" si="43"/>
        <v>24.14</v>
      </c>
    </row>
    <row r="871" spans="1:26" x14ac:dyDescent="0.25">
      <c r="A871" s="5" t="s">
        <v>34</v>
      </c>
      <c r="B871" s="5" t="s">
        <v>227</v>
      </c>
      <c r="C871" s="5" t="s">
        <v>228</v>
      </c>
      <c r="D871" s="5" t="s">
        <v>37</v>
      </c>
      <c r="E871" s="5" t="s">
        <v>64</v>
      </c>
      <c r="F871" s="5" t="s">
        <v>65</v>
      </c>
      <c r="G871" s="5" t="s">
        <v>40</v>
      </c>
      <c r="H871" s="6">
        <v>45961</v>
      </c>
      <c r="I871" s="6">
        <v>45961</v>
      </c>
      <c r="J871" s="6">
        <v>45964</v>
      </c>
      <c r="K871" s="5" t="s">
        <v>172</v>
      </c>
      <c r="L871" s="5" t="s">
        <v>173</v>
      </c>
      <c r="M871" s="5" t="s">
        <v>43</v>
      </c>
      <c r="N871" s="5" t="s">
        <v>174</v>
      </c>
      <c r="O871" s="7">
        <v>5134.66</v>
      </c>
      <c r="P871" s="5" t="s">
        <v>45</v>
      </c>
      <c r="Q871" s="22"/>
      <c r="R871" s="8">
        <f t="shared" si="45"/>
        <v>5134.66</v>
      </c>
      <c r="S871" s="7">
        <v>5134.66</v>
      </c>
      <c r="T871" s="7"/>
      <c r="U871" s="7">
        <f t="shared" si="44"/>
        <v>5134.66</v>
      </c>
      <c r="V871" s="5" t="s">
        <v>45</v>
      </c>
      <c r="W871" s="7">
        <v>1511.08</v>
      </c>
      <c r="X871" s="5" t="s">
        <v>46</v>
      </c>
      <c r="Z871" s="8">
        <f t="shared" si="43"/>
        <v>1511.08</v>
      </c>
    </row>
    <row r="872" spans="1:26" x14ac:dyDescent="0.25">
      <c r="A872" s="5" t="s">
        <v>34</v>
      </c>
      <c r="B872" s="5" t="s">
        <v>227</v>
      </c>
      <c r="C872" s="5" t="s">
        <v>228</v>
      </c>
      <c r="D872" s="5" t="s">
        <v>37</v>
      </c>
      <c r="E872" s="5" t="s">
        <v>110</v>
      </c>
      <c r="F872" s="5" t="s">
        <v>111</v>
      </c>
      <c r="G872" s="5" t="s">
        <v>40</v>
      </c>
      <c r="H872" s="6">
        <v>45961</v>
      </c>
      <c r="I872" s="6">
        <v>45961</v>
      </c>
      <c r="J872" s="6">
        <v>45964</v>
      </c>
      <c r="K872" s="5" t="s">
        <v>172</v>
      </c>
      <c r="L872" s="5" t="s">
        <v>173</v>
      </c>
      <c r="M872" s="5" t="s">
        <v>43</v>
      </c>
      <c r="N872" s="5" t="s">
        <v>174</v>
      </c>
      <c r="O872" s="7">
        <v>10646.81</v>
      </c>
      <c r="P872" s="5" t="s">
        <v>45</v>
      </c>
      <c r="Q872" s="22"/>
      <c r="R872" s="8">
        <f t="shared" si="45"/>
        <v>10646.81</v>
      </c>
      <c r="S872" s="7">
        <v>10646.81</v>
      </c>
      <c r="T872" s="7"/>
      <c r="U872" s="7">
        <f t="shared" si="44"/>
        <v>10646.81</v>
      </c>
      <c r="V872" s="5" t="s">
        <v>45</v>
      </c>
      <c r="W872" s="7">
        <v>3133.26</v>
      </c>
      <c r="X872" s="5" t="s">
        <v>46</v>
      </c>
      <c r="Z872" s="8">
        <f t="shared" si="43"/>
        <v>3133.26</v>
      </c>
    </row>
    <row r="873" spans="1:26" x14ac:dyDescent="0.25">
      <c r="A873" s="5" t="s">
        <v>34</v>
      </c>
      <c r="B873" s="5" t="s">
        <v>227</v>
      </c>
      <c r="C873" s="5" t="s">
        <v>228</v>
      </c>
      <c r="D873" s="5" t="s">
        <v>37</v>
      </c>
      <c r="E873" s="5" t="s">
        <v>106</v>
      </c>
      <c r="F873" s="5" t="s">
        <v>107</v>
      </c>
      <c r="G873" s="5" t="s">
        <v>40</v>
      </c>
      <c r="H873" s="6">
        <v>45961</v>
      </c>
      <c r="I873" s="6">
        <v>45961</v>
      </c>
      <c r="J873" s="6">
        <v>45964</v>
      </c>
      <c r="K873" s="5" t="s">
        <v>172</v>
      </c>
      <c r="L873" s="5" t="s">
        <v>173</v>
      </c>
      <c r="M873" s="5" t="s">
        <v>43</v>
      </c>
      <c r="N873" s="5" t="s">
        <v>174</v>
      </c>
      <c r="O873" s="7">
        <v>1505.48</v>
      </c>
      <c r="P873" s="5" t="s">
        <v>45</v>
      </c>
      <c r="Q873" s="22"/>
      <c r="R873" s="8">
        <f t="shared" si="45"/>
        <v>1505.48</v>
      </c>
      <c r="S873" s="7">
        <v>1505.48</v>
      </c>
      <c r="T873" s="7"/>
      <c r="U873" s="7">
        <f t="shared" si="44"/>
        <v>1505.48</v>
      </c>
      <c r="V873" s="5" t="s">
        <v>45</v>
      </c>
      <c r="W873" s="7">
        <v>443.05</v>
      </c>
      <c r="X873" s="5" t="s">
        <v>46</v>
      </c>
      <c r="Z873" s="8">
        <f t="shared" si="43"/>
        <v>443.05</v>
      </c>
    </row>
    <row r="874" spans="1:26" x14ac:dyDescent="0.25">
      <c r="A874" s="5" t="s">
        <v>34</v>
      </c>
      <c r="B874" s="5" t="s">
        <v>227</v>
      </c>
      <c r="C874" s="5" t="s">
        <v>228</v>
      </c>
      <c r="D874" s="5" t="s">
        <v>37</v>
      </c>
      <c r="E874" s="5" t="s">
        <v>118</v>
      </c>
      <c r="F874" s="5" t="s">
        <v>119</v>
      </c>
      <c r="G874" s="5" t="s">
        <v>40</v>
      </c>
      <c r="H874" s="6">
        <v>45961</v>
      </c>
      <c r="I874" s="6">
        <v>45961</v>
      </c>
      <c r="J874" s="6">
        <v>45964</v>
      </c>
      <c r="K874" s="5" t="s">
        <v>172</v>
      </c>
      <c r="L874" s="5" t="s">
        <v>173</v>
      </c>
      <c r="M874" s="5" t="s">
        <v>43</v>
      </c>
      <c r="N874" s="5" t="s">
        <v>174</v>
      </c>
      <c r="O874" s="7">
        <v>5945.54</v>
      </c>
      <c r="P874" s="5" t="s">
        <v>45</v>
      </c>
      <c r="Q874" s="22"/>
      <c r="R874" s="8">
        <f t="shared" si="45"/>
        <v>5945.54</v>
      </c>
      <c r="S874" s="7">
        <v>5945.54</v>
      </c>
      <c r="T874" s="7"/>
      <c r="U874" s="7">
        <f t="shared" si="44"/>
        <v>5945.54</v>
      </c>
      <c r="V874" s="5" t="s">
        <v>45</v>
      </c>
      <c r="W874" s="7">
        <v>1749.72</v>
      </c>
      <c r="X874" s="5" t="s">
        <v>46</v>
      </c>
      <c r="Z874" s="8">
        <f t="shared" si="43"/>
        <v>1749.72</v>
      </c>
    </row>
    <row r="875" spans="1:26" x14ac:dyDescent="0.25">
      <c r="A875" s="5" t="s">
        <v>34</v>
      </c>
      <c r="B875" s="5" t="s">
        <v>227</v>
      </c>
      <c r="C875" s="5" t="s">
        <v>228</v>
      </c>
      <c r="D875" s="5" t="s">
        <v>37</v>
      </c>
      <c r="E875" s="5" t="s">
        <v>110</v>
      </c>
      <c r="F875" s="5" t="s">
        <v>111</v>
      </c>
      <c r="G875" s="5" t="s">
        <v>40</v>
      </c>
      <c r="H875" s="6">
        <v>45961</v>
      </c>
      <c r="I875" s="6">
        <v>45961</v>
      </c>
      <c r="J875" s="6">
        <v>45960</v>
      </c>
      <c r="K875" s="5" t="s">
        <v>150</v>
      </c>
      <c r="L875" s="5" t="s">
        <v>151</v>
      </c>
      <c r="M875" s="5" t="s">
        <v>43</v>
      </c>
      <c r="N875" s="5" t="s">
        <v>152</v>
      </c>
      <c r="O875" s="7">
        <v>194.07</v>
      </c>
      <c r="P875" s="5" t="s">
        <v>45</v>
      </c>
      <c r="Q875" s="22"/>
      <c r="R875" s="8">
        <f t="shared" si="45"/>
        <v>194.07</v>
      </c>
      <c r="S875" s="7">
        <v>194.07</v>
      </c>
      <c r="T875" s="7"/>
      <c r="U875" s="7">
        <f t="shared" si="44"/>
        <v>194.07</v>
      </c>
      <c r="V875" s="5" t="s">
        <v>45</v>
      </c>
      <c r="W875" s="7">
        <v>57.18</v>
      </c>
      <c r="X875" s="5" t="s">
        <v>46</v>
      </c>
      <c r="Z875" s="8">
        <f t="shared" si="43"/>
        <v>57.18</v>
      </c>
    </row>
    <row r="876" spans="1:26" x14ac:dyDescent="0.25">
      <c r="A876" s="5" t="s">
        <v>34</v>
      </c>
      <c r="B876" s="5" t="s">
        <v>227</v>
      </c>
      <c r="C876" s="5" t="s">
        <v>228</v>
      </c>
      <c r="D876" s="5" t="s">
        <v>37</v>
      </c>
      <c r="E876" s="5" t="s">
        <v>64</v>
      </c>
      <c r="F876" s="5" t="s">
        <v>65</v>
      </c>
      <c r="G876" s="5" t="s">
        <v>40</v>
      </c>
      <c r="H876" s="6">
        <v>45961</v>
      </c>
      <c r="I876" s="6">
        <v>45961</v>
      </c>
      <c r="J876" s="6">
        <v>45950</v>
      </c>
      <c r="K876" s="5" t="s">
        <v>132</v>
      </c>
      <c r="L876" s="5" t="s">
        <v>133</v>
      </c>
      <c r="M876" s="5" t="s">
        <v>43</v>
      </c>
      <c r="N876" s="5" t="s">
        <v>134</v>
      </c>
      <c r="O876" s="7">
        <v>5.93</v>
      </c>
      <c r="P876" s="5" t="s">
        <v>45</v>
      </c>
      <c r="Q876" s="22"/>
      <c r="R876" s="8">
        <f t="shared" si="45"/>
        <v>5.93</v>
      </c>
      <c r="S876" s="7">
        <v>5.93</v>
      </c>
      <c r="T876" s="7"/>
      <c r="U876" s="7">
        <f t="shared" si="44"/>
        <v>5.93</v>
      </c>
      <c r="V876" s="5" t="s">
        <v>45</v>
      </c>
      <c r="W876" s="7">
        <v>1.75</v>
      </c>
      <c r="X876" s="5" t="s">
        <v>46</v>
      </c>
      <c r="Z876" s="8">
        <f t="shared" si="43"/>
        <v>1.75</v>
      </c>
    </row>
    <row r="877" spans="1:26" x14ac:dyDescent="0.25">
      <c r="A877" s="5" t="s">
        <v>34</v>
      </c>
      <c r="B877" s="5" t="s">
        <v>227</v>
      </c>
      <c r="C877" s="5" t="s">
        <v>228</v>
      </c>
      <c r="D877" s="5" t="s">
        <v>37</v>
      </c>
      <c r="E877" s="5" t="s">
        <v>72</v>
      </c>
      <c r="F877" s="5" t="s">
        <v>73</v>
      </c>
      <c r="G877" s="5" t="s">
        <v>40</v>
      </c>
      <c r="H877" s="6">
        <v>45961</v>
      </c>
      <c r="I877" s="6">
        <v>45961</v>
      </c>
      <c r="J877" s="6">
        <v>45964</v>
      </c>
      <c r="K877" s="5" t="s">
        <v>172</v>
      </c>
      <c r="L877" s="5" t="s">
        <v>173</v>
      </c>
      <c r="M877" s="5" t="s">
        <v>43</v>
      </c>
      <c r="N877" s="5" t="s">
        <v>174</v>
      </c>
      <c r="O877" s="7">
        <v>969.6</v>
      </c>
      <c r="P877" s="5" t="s">
        <v>45</v>
      </c>
      <c r="Q877" s="22"/>
      <c r="R877" s="8">
        <f t="shared" si="45"/>
        <v>969.6</v>
      </c>
      <c r="S877" s="7">
        <v>969.6</v>
      </c>
      <c r="T877" s="7"/>
      <c r="U877" s="7">
        <f t="shared" si="44"/>
        <v>969.6</v>
      </c>
      <c r="V877" s="5" t="s">
        <v>45</v>
      </c>
      <c r="W877" s="7">
        <v>285.33999999999997</v>
      </c>
      <c r="X877" s="5" t="s">
        <v>46</v>
      </c>
      <c r="Z877" s="8">
        <f t="shared" si="43"/>
        <v>285.33999999999997</v>
      </c>
    </row>
    <row r="878" spans="1:26" x14ac:dyDescent="0.25">
      <c r="A878" s="5" t="s">
        <v>34</v>
      </c>
      <c r="B878" s="5" t="s">
        <v>227</v>
      </c>
      <c r="C878" s="5" t="s">
        <v>228</v>
      </c>
      <c r="D878" s="5" t="s">
        <v>37</v>
      </c>
      <c r="E878" s="5" t="s">
        <v>50</v>
      </c>
      <c r="F878" s="5" t="s">
        <v>51</v>
      </c>
      <c r="G878" s="5" t="s">
        <v>40</v>
      </c>
      <c r="H878" s="6">
        <v>45961</v>
      </c>
      <c r="I878" s="6">
        <v>45961</v>
      </c>
      <c r="J878" s="6">
        <v>45964</v>
      </c>
      <c r="K878" s="5" t="s">
        <v>172</v>
      </c>
      <c r="L878" s="5" t="s">
        <v>173</v>
      </c>
      <c r="M878" s="5" t="s">
        <v>43</v>
      </c>
      <c r="N878" s="5" t="s">
        <v>174</v>
      </c>
      <c r="O878" s="7">
        <v>7357.2</v>
      </c>
      <c r="P878" s="5" t="s">
        <v>45</v>
      </c>
      <c r="Q878" s="22"/>
      <c r="R878" s="8">
        <f t="shared" si="45"/>
        <v>7357.2</v>
      </c>
      <c r="S878" s="7">
        <v>7357.2</v>
      </c>
      <c r="T878" s="7"/>
      <c r="U878" s="7">
        <f t="shared" si="44"/>
        <v>7357.2</v>
      </c>
      <c r="V878" s="5" t="s">
        <v>45</v>
      </c>
      <c r="W878" s="7">
        <v>2165.16</v>
      </c>
      <c r="X878" s="5" t="s">
        <v>46</v>
      </c>
      <c r="Z878" s="8">
        <f t="shared" si="43"/>
        <v>2165.16</v>
      </c>
    </row>
    <row r="879" spans="1:26" x14ac:dyDescent="0.25">
      <c r="A879" s="5" t="s">
        <v>34</v>
      </c>
      <c r="B879" s="5" t="s">
        <v>227</v>
      </c>
      <c r="C879" s="5" t="s">
        <v>228</v>
      </c>
      <c r="D879" s="5" t="s">
        <v>37</v>
      </c>
      <c r="E879" s="5" t="s">
        <v>86</v>
      </c>
      <c r="F879" s="5" t="s">
        <v>87</v>
      </c>
      <c r="G879" s="5" t="s">
        <v>40</v>
      </c>
      <c r="H879" s="6">
        <v>45961</v>
      </c>
      <c r="I879" s="6">
        <v>45961</v>
      </c>
      <c r="J879" s="6">
        <v>45964</v>
      </c>
      <c r="K879" s="5" t="s">
        <v>172</v>
      </c>
      <c r="L879" s="5" t="s">
        <v>173</v>
      </c>
      <c r="M879" s="5" t="s">
        <v>43</v>
      </c>
      <c r="N879" s="5" t="s">
        <v>174</v>
      </c>
      <c r="O879" s="7">
        <v>13760.97</v>
      </c>
      <c r="P879" s="5" t="s">
        <v>45</v>
      </c>
      <c r="Q879" s="22"/>
      <c r="R879" s="8">
        <f t="shared" si="45"/>
        <v>13760.97</v>
      </c>
      <c r="S879" s="7">
        <v>13760.97</v>
      </c>
      <c r="T879" s="7"/>
      <c r="U879" s="7">
        <f t="shared" si="44"/>
        <v>13760.97</v>
      </c>
      <c r="V879" s="5" t="s">
        <v>45</v>
      </c>
      <c r="W879" s="7">
        <v>4049.73</v>
      </c>
      <c r="X879" s="5" t="s">
        <v>46</v>
      </c>
      <c r="Z879" s="8">
        <f t="shared" si="43"/>
        <v>4049.73</v>
      </c>
    </row>
    <row r="880" spans="1:26" x14ac:dyDescent="0.25">
      <c r="A880" s="5" t="s">
        <v>34</v>
      </c>
      <c r="B880" s="5" t="s">
        <v>227</v>
      </c>
      <c r="C880" s="5" t="s">
        <v>228</v>
      </c>
      <c r="D880" s="5" t="s">
        <v>37</v>
      </c>
      <c r="E880" s="5" t="s">
        <v>52</v>
      </c>
      <c r="F880" s="5" t="s">
        <v>53</v>
      </c>
      <c r="G880" s="5" t="s">
        <v>40</v>
      </c>
      <c r="H880" s="6">
        <v>45961</v>
      </c>
      <c r="I880" s="6">
        <v>45961</v>
      </c>
      <c r="J880" s="6">
        <v>45964</v>
      </c>
      <c r="K880" s="5" t="s">
        <v>172</v>
      </c>
      <c r="L880" s="5" t="s">
        <v>173</v>
      </c>
      <c r="M880" s="5" t="s">
        <v>43</v>
      </c>
      <c r="N880" s="5" t="s">
        <v>174</v>
      </c>
      <c r="O880" s="7">
        <v>490.87</v>
      </c>
      <c r="P880" s="5" t="s">
        <v>45</v>
      </c>
      <c r="Q880" s="22"/>
      <c r="R880" s="8">
        <f t="shared" si="45"/>
        <v>490.87</v>
      </c>
      <c r="S880" s="7">
        <v>490.87</v>
      </c>
      <c r="T880" s="7"/>
      <c r="U880" s="7">
        <f t="shared" si="44"/>
        <v>490.87</v>
      </c>
      <c r="V880" s="5" t="s">
        <v>45</v>
      </c>
      <c r="W880" s="7">
        <v>144.46</v>
      </c>
      <c r="X880" s="5" t="s">
        <v>46</v>
      </c>
      <c r="Z880" s="8">
        <f t="shared" si="43"/>
        <v>144.46</v>
      </c>
    </row>
    <row r="881" spans="1:26" x14ac:dyDescent="0.25">
      <c r="A881" s="5" t="s">
        <v>34</v>
      </c>
      <c r="B881" s="5" t="s">
        <v>227</v>
      </c>
      <c r="C881" s="5" t="s">
        <v>228</v>
      </c>
      <c r="D881" s="5" t="s">
        <v>37</v>
      </c>
      <c r="E881" s="5" t="s">
        <v>104</v>
      </c>
      <c r="F881" s="5" t="s">
        <v>105</v>
      </c>
      <c r="G881" s="5" t="s">
        <v>40</v>
      </c>
      <c r="H881" s="6">
        <v>45961</v>
      </c>
      <c r="I881" s="6">
        <v>45961</v>
      </c>
      <c r="J881" s="6">
        <v>45964</v>
      </c>
      <c r="K881" s="5" t="s">
        <v>172</v>
      </c>
      <c r="L881" s="5" t="s">
        <v>173</v>
      </c>
      <c r="M881" s="5" t="s">
        <v>43</v>
      </c>
      <c r="N881" s="5" t="s">
        <v>174</v>
      </c>
      <c r="O881" s="7">
        <v>4942.88</v>
      </c>
      <c r="P881" s="5" t="s">
        <v>45</v>
      </c>
      <c r="Q881" s="22"/>
      <c r="R881" s="8">
        <f t="shared" si="45"/>
        <v>4942.88</v>
      </c>
      <c r="S881" s="7">
        <v>4942.88</v>
      </c>
      <c r="T881" s="7"/>
      <c r="U881" s="7">
        <f t="shared" si="44"/>
        <v>4942.88</v>
      </c>
      <c r="V881" s="5" t="s">
        <v>45</v>
      </c>
      <c r="W881" s="7">
        <v>1454.64</v>
      </c>
      <c r="X881" s="5" t="s">
        <v>46</v>
      </c>
      <c r="Z881" s="8">
        <f t="shared" si="43"/>
        <v>1454.64</v>
      </c>
    </row>
    <row r="882" spans="1:26" x14ac:dyDescent="0.25">
      <c r="A882" s="5" t="s">
        <v>34</v>
      </c>
      <c r="B882" s="5" t="s">
        <v>227</v>
      </c>
      <c r="C882" s="5" t="s">
        <v>228</v>
      </c>
      <c r="D882" s="5" t="s">
        <v>37</v>
      </c>
      <c r="E882" s="5" t="s">
        <v>54</v>
      </c>
      <c r="F882" s="5" t="s">
        <v>55</v>
      </c>
      <c r="G882" s="5" t="s">
        <v>40</v>
      </c>
      <c r="H882" s="6">
        <v>45961</v>
      </c>
      <c r="I882" s="6">
        <v>45961</v>
      </c>
      <c r="J882" s="6">
        <v>45964</v>
      </c>
      <c r="K882" s="5" t="s">
        <v>172</v>
      </c>
      <c r="L882" s="5" t="s">
        <v>173</v>
      </c>
      <c r="M882" s="5" t="s">
        <v>43</v>
      </c>
      <c r="N882" s="5" t="s">
        <v>174</v>
      </c>
      <c r="O882" s="7">
        <v>1272.79</v>
      </c>
      <c r="P882" s="5" t="s">
        <v>45</v>
      </c>
      <c r="Q882" s="22"/>
      <c r="R882" s="8">
        <f t="shared" si="45"/>
        <v>1272.79</v>
      </c>
      <c r="S882" s="7">
        <v>1272.79</v>
      </c>
      <c r="T882" s="7"/>
      <c r="U882" s="7">
        <f t="shared" si="44"/>
        <v>1272.79</v>
      </c>
      <c r="V882" s="5" t="s">
        <v>45</v>
      </c>
      <c r="W882" s="7">
        <v>374.57</v>
      </c>
      <c r="X882" s="5" t="s">
        <v>46</v>
      </c>
      <c r="Z882" s="8">
        <f t="shared" si="43"/>
        <v>374.57</v>
      </c>
    </row>
    <row r="883" spans="1:26" x14ac:dyDescent="0.25">
      <c r="A883" s="5" t="s">
        <v>34</v>
      </c>
      <c r="B883" s="5" t="s">
        <v>227</v>
      </c>
      <c r="C883" s="5" t="s">
        <v>228</v>
      </c>
      <c r="D883" s="5" t="s">
        <v>37</v>
      </c>
      <c r="E883" s="5" t="s">
        <v>62</v>
      </c>
      <c r="F883" s="5" t="s">
        <v>63</v>
      </c>
      <c r="G883" s="5" t="s">
        <v>40</v>
      </c>
      <c r="H883" s="6">
        <v>45961</v>
      </c>
      <c r="I883" s="6">
        <v>45961</v>
      </c>
      <c r="J883" s="6">
        <v>45964</v>
      </c>
      <c r="K883" s="5" t="s">
        <v>172</v>
      </c>
      <c r="L883" s="5" t="s">
        <v>173</v>
      </c>
      <c r="M883" s="5" t="s">
        <v>43</v>
      </c>
      <c r="N883" s="5" t="s">
        <v>174</v>
      </c>
      <c r="O883" s="7">
        <v>6712.07</v>
      </c>
      <c r="P883" s="5" t="s">
        <v>45</v>
      </c>
      <c r="Q883" s="22"/>
      <c r="R883" s="8">
        <f t="shared" si="45"/>
        <v>6712.07</v>
      </c>
      <c r="S883" s="7">
        <v>6712.07</v>
      </c>
      <c r="T883" s="7"/>
      <c r="U883" s="7">
        <f t="shared" si="44"/>
        <v>6712.07</v>
      </c>
      <c r="V883" s="5" t="s">
        <v>45</v>
      </c>
      <c r="W883" s="7">
        <v>1975.3</v>
      </c>
      <c r="X883" s="5" t="s">
        <v>46</v>
      </c>
      <c r="Z883" s="8">
        <f t="shared" si="43"/>
        <v>1975.3</v>
      </c>
    </row>
    <row r="884" spans="1:26" x14ac:dyDescent="0.25">
      <c r="A884" s="5" t="s">
        <v>34</v>
      </c>
      <c r="B884" s="5" t="s">
        <v>227</v>
      </c>
      <c r="C884" s="5" t="s">
        <v>228</v>
      </c>
      <c r="D884" s="5" t="s">
        <v>37</v>
      </c>
      <c r="E884" s="5" t="s">
        <v>80</v>
      </c>
      <c r="F884" s="5" t="s">
        <v>81</v>
      </c>
      <c r="G884" s="5" t="s">
        <v>40</v>
      </c>
      <c r="H884" s="6">
        <v>45961</v>
      </c>
      <c r="I884" s="6">
        <v>45961</v>
      </c>
      <c r="J884" s="6">
        <v>45964</v>
      </c>
      <c r="K884" s="5" t="s">
        <v>172</v>
      </c>
      <c r="L884" s="5" t="s">
        <v>173</v>
      </c>
      <c r="M884" s="5" t="s">
        <v>43</v>
      </c>
      <c r="N884" s="5" t="s">
        <v>174</v>
      </c>
      <c r="O884" s="7">
        <v>2241.17</v>
      </c>
      <c r="P884" s="5" t="s">
        <v>45</v>
      </c>
      <c r="Q884" s="22"/>
      <c r="R884" s="8">
        <f t="shared" si="45"/>
        <v>2241.17</v>
      </c>
      <c r="S884" s="7">
        <v>2241.17</v>
      </c>
      <c r="T884" s="7"/>
      <c r="U884" s="7">
        <f t="shared" si="44"/>
        <v>2241.17</v>
      </c>
      <c r="V884" s="5" t="s">
        <v>45</v>
      </c>
      <c r="W884" s="7">
        <v>659.56</v>
      </c>
      <c r="X884" s="5" t="s">
        <v>46</v>
      </c>
      <c r="Z884" s="8">
        <f t="shared" si="43"/>
        <v>659.56</v>
      </c>
    </row>
    <row r="885" spans="1:26" x14ac:dyDescent="0.25">
      <c r="A885" s="5" t="s">
        <v>34</v>
      </c>
      <c r="B885" s="5" t="s">
        <v>227</v>
      </c>
      <c r="C885" s="5" t="s">
        <v>228</v>
      </c>
      <c r="D885" s="5" t="s">
        <v>37</v>
      </c>
      <c r="E885" s="5" t="s">
        <v>96</v>
      </c>
      <c r="F885" s="5" t="s">
        <v>97</v>
      </c>
      <c r="G885" s="5" t="s">
        <v>40</v>
      </c>
      <c r="H885" s="6">
        <v>45961</v>
      </c>
      <c r="I885" s="6">
        <v>45961</v>
      </c>
      <c r="J885" s="6">
        <v>45964</v>
      </c>
      <c r="K885" s="5" t="s">
        <v>172</v>
      </c>
      <c r="L885" s="5" t="s">
        <v>173</v>
      </c>
      <c r="M885" s="5" t="s">
        <v>43</v>
      </c>
      <c r="N885" s="5" t="s">
        <v>174</v>
      </c>
      <c r="O885" s="7">
        <v>34449.08</v>
      </c>
      <c r="P885" s="5" t="s">
        <v>45</v>
      </c>
      <c r="Q885" s="22"/>
      <c r="R885" s="8">
        <f t="shared" si="45"/>
        <v>34449.08</v>
      </c>
      <c r="S885" s="7">
        <v>34449.08</v>
      </c>
      <c r="T885" s="7"/>
      <c r="U885" s="7">
        <f t="shared" si="44"/>
        <v>34449.08</v>
      </c>
      <c r="V885" s="5" t="s">
        <v>45</v>
      </c>
      <c r="W885" s="7">
        <v>10138.049999999999</v>
      </c>
      <c r="X885" s="5" t="s">
        <v>46</v>
      </c>
      <c r="Z885" s="8">
        <f t="shared" si="43"/>
        <v>10138.049999999999</v>
      </c>
    </row>
    <row r="886" spans="1:26" x14ac:dyDescent="0.25">
      <c r="A886" s="5" t="s">
        <v>34</v>
      </c>
      <c r="B886" s="5" t="s">
        <v>227</v>
      </c>
      <c r="C886" s="5" t="s">
        <v>228</v>
      </c>
      <c r="D886" s="5" t="s">
        <v>37</v>
      </c>
      <c r="E886" s="5" t="s">
        <v>142</v>
      </c>
      <c r="F886" s="5" t="s">
        <v>143</v>
      </c>
      <c r="G886" s="5" t="s">
        <v>40</v>
      </c>
      <c r="H886" s="6">
        <v>45961</v>
      </c>
      <c r="I886" s="6">
        <v>45961</v>
      </c>
      <c r="J886" s="6">
        <v>45961</v>
      </c>
      <c r="K886" s="5" t="s">
        <v>144</v>
      </c>
      <c r="L886" s="5" t="s">
        <v>145</v>
      </c>
      <c r="M886" s="5" t="s">
        <v>43</v>
      </c>
      <c r="N886" s="5" t="s">
        <v>146</v>
      </c>
      <c r="O886" s="7">
        <v>181.33</v>
      </c>
      <c r="P886" s="5" t="s">
        <v>45</v>
      </c>
      <c r="Q886" s="22"/>
      <c r="R886" s="8">
        <f t="shared" si="45"/>
        <v>181.33</v>
      </c>
      <c r="S886" s="7">
        <v>181.33</v>
      </c>
      <c r="T886" s="7"/>
      <c r="U886" s="7">
        <f t="shared" si="44"/>
        <v>181.33</v>
      </c>
      <c r="V886" s="5" t="s">
        <v>45</v>
      </c>
      <c r="W886" s="7">
        <v>53.36</v>
      </c>
      <c r="X886" s="5" t="s">
        <v>46</v>
      </c>
      <c r="Z886" s="8">
        <f t="shared" si="43"/>
        <v>53.36</v>
      </c>
    </row>
    <row r="887" spans="1:26" x14ac:dyDescent="0.25">
      <c r="A887" s="5" t="s">
        <v>34</v>
      </c>
      <c r="B887" s="5" t="s">
        <v>227</v>
      </c>
      <c r="C887" s="5" t="s">
        <v>228</v>
      </c>
      <c r="D887" s="5" t="s">
        <v>37</v>
      </c>
      <c r="E887" s="5" t="s">
        <v>92</v>
      </c>
      <c r="F887" s="5" t="s">
        <v>93</v>
      </c>
      <c r="G887" s="5" t="s">
        <v>40</v>
      </c>
      <c r="H887" s="6">
        <v>45961</v>
      </c>
      <c r="I887" s="6">
        <v>45961</v>
      </c>
      <c r="J887" s="6">
        <v>45964</v>
      </c>
      <c r="K887" s="5" t="s">
        <v>172</v>
      </c>
      <c r="L887" s="5" t="s">
        <v>173</v>
      </c>
      <c r="M887" s="5" t="s">
        <v>43</v>
      </c>
      <c r="N887" s="5" t="s">
        <v>174</v>
      </c>
      <c r="O887" s="7">
        <v>777.95</v>
      </c>
      <c r="P887" s="5" t="s">
        <v>45</v>
      </c>
      <c r="Q887" s="22"/>
      <c r="R887" s="8">
        <f t="shared" si="45"/>
        <v>777.95</v>
      </c>
      <c r="S887" s="7">
        <v>777.95</v>
      </c>
      <c r="T887" s="7"/>
      <c r="U887" s="7">
        <f t="shared" si="44"/>
        <v>777.95</v>
      </c>
      <c r="V887" s="5" t="s">
        <v>45</v>
      </c>
      <c r="W887" s="7">
        <v>228.94</v>
      </c>
      <c r="X887" s="5" t="s">
        <v>46</v>
      </c>
      <c r="Z887" s="8">
        <f t="shared" si="43"/>
        <v>228.94</v>
      </c>
    </row>
    <row r="888" spans="1:26" x14ac:dyDescent="0.25">
      <c r="A888" s="5" t="s">
        <v>34</v>
      </c>
      <c r="B888" s="5" t="s">
        <v>227</v>
      </c>
      <c r="C888" s="5" t="s">
        <v>228</v>
      </c>
      <c r="D888" s="5" t="s">
        <v>37</v>
      </c>
      <c r="E888" s="5" t="s">
        <v>60</v>
      </c>
      <c r="F888" s="5" t="s">
        <v>61</v>
      </c>
      <c r="G888" s="5" t="s">
        <v>40</v>
      </c>
      <c r="H888" s="6">
        <v>45961</v>
      </c>
      <c r="I888" s="6">
        <v>45961</v>
      </c>
      <c r="J888" s="6">
        <v>45964</v>
      </c>
      <c r="K888" s="5" t="s">
        <v>172</v>
      </c>
      <c r="L888" s="5" t="s">
        <v>173</v>
      </c>
      <c r="M888" s="5" t="s">
        <v>43</v>
      </c>
      <c r="N888" s="5" t="s">
        <v>174</v>
      </c>
      <c r="O888" s="7">
        <v>12010.52</v>
      </c>
      <c r="P888" s="5" t="s">
        <v>45</v>
      </c>
      <c r="Q888" s="22"/>
      <c r="R888" s="8">
        <f t="shared" si="45"/>
        <v>12010.52</v>
      </c>
      <c r="S888" s="7">
        <v>12010.52</v>
      </c>
      <c r="T888" s="7"/>
      <c r="U888" s="7">
        <f t="shared" si="44"/>
        <v>12010.52</v>
      </c>
      <c r="V888" s="5" t="s">
        <v>45</v>
      </c>
      <c r="W888" s="7">
        <v>3534.59</v>
      </c>
      <c r="X888" s="5" t="s">
        <v>46</v>
      </c>
      <c r="Z888" s="8">
        <f t="shared" si="43"/>
        <v>3534.59</v>
      </c>
    </row>
    <row r="889" spans="1:26" x14ac:dyDescent="0.25">
      <c r="A889" s="5" t="s">
        <v>34</v>
      </c>
      <c r="B889" s="5" t="s">
        <v>227</v>
      </c>
      <c r="C889" s="5" t="s">
        <v>228</v>
      </c>
      <c r="D889" s="5" t="s">
        <v>37</v>
      </c>
      <c r="E889" s="5" t="s">
        <v>70</v>
      </c>
      <c r="F889" s="5" t="s">
        <v>71</v>
      </c>
      <c r="G889" s="5" t="s">
        <v>40</v>
      </c>
      <c r="H889" s="6">
        <v>45961</v>
      </c>
      <c r="I889" s="6">
        <v>45961</v>
      </c>
      <c r="J889" s="6">
        <v>45964</v>
      </c>
      <c r="K889" s="5" t="s">
        <v>172</v>
      </c>
      <c r="L889" s="5" t="s">
        <v>173</v>
      </c>
      <c r="M889" s="5" t="s">
        <v>43</v>
      </c>
      <c r="N889" s="5" t="s">
        <v>174</v>
      </c>
      <c r="O889" s="7">
        <v>1258.3399999999999</v>
      </c>
      <c r="P889" s="5" t="s">
        <v>45</v>
      </c>
      <c r="Q889" s="22"/>
      <c r="R889" s="8">
        <f t="shared" si="45"/>
        <v>1258.3399999999999</v>
      </c>
      <c r="S889" s="7">
        <v>1258.3399999999999</v>
      </c>
      <c r="T889" s="7"/>
      <c r="U889" s="7">
        <f t="shared" si="44"/>
        <v>1258.3399999999999</v>
      </c>
      <c r="V889" s="5" t="s">
        <v>45</v>
      </c>
      <c r="W889" s="7">
        <v>370.32</v>
      </c>
      <c r="X889" s="5" t="s">
        <v>46</v>
      </c>
      <c r="Z889" s="8">
        <f t="shared" si="43"/>
        <v>370.32</v>
      </c>
    </row>
    <row r="890" spans="1:26" x14ac:dyDescent="0.25">
      <c r="A890" s="5" t="s">
        <v>34</v>
      </c>
      <c r="B890" s="5" t="s">
        <v>227</v>
      </c>
      <c r="C890" s="5" t="s">
        <v>228</v>
      </c>
      <c r="D890" s="5" t="s">
        <v>37</v>
      </c>
      <c r="E890" s="5" t="s">
        <v>102</v>
      </c>
      <c r="F890" s="5" t="s">
        <v>103</v>
      </c>
      <c r="G890" s="5" t="s">
        <v>40</v>
      </c>
      <c r="H890" s="6">
        <v>45961</v>
      </c>
      <c r="I890" s="6">
        <v>45961</v>
      </c>
      <c r="J890" s="6">
        <v>45964</v>
      </c>
      <c r="K890" s="5" t="s">
        <v>172</v>
      </c>
      <c r="L890" s="5" t="s">
        <v>173</v>
      </c>
      <c r="M890" s="5" t="s">
        <v>43</v>
      </c>
      <c r="N890" s="5" t="s">
        <v>174</v>
      </c>
      <c r="O890" s="7">
        <v>14671.72</v>
      </c>
      <c r="P890" s="5" t="s">
        <v>45</v>
      </c>
      <c r="Q890" s="22"/>
      <c r="R890" s="8">
        <f t="shared" si="45"/>
        <v>14671.72</v>
      </c>
      <c r="S890" s="7">
        <v>14671.72</v>
      </c>
      <c r="T890" s="7"/>
      <c r="U890" s="7">
        <f t="shared" si="44"/>
        <v>14671.72</v>
      </c>
      <c r="V890" s="5" t="s">
        <v>45</v>
      </c>
      <c r="W890" s="7">
        <v>4317.75</v>
      </c>
      <c r="X890" s="5" t="s">
        <v>46</v>
      </c>
      <c r="Z890" s="8">
        <f t="shared" si="43"/>
        <v>4317.75</v>
      </c>
    </row>
    <row r="891" spans="1:26" x14ac:dyDescent="0.25">
      <c r="A891" s="5" t="s">
        <v>34</v>
      </c>
      <c r="B891" s="5" t="s">
        <v>227</v>
      </c>
      <c r="C891" s="5" t="s">
        <v>228</v>
      </c>
      <c r="D891" s="5" t="s">
        <v>37</v>
      </c>
      <c r="E891" s="5" t="s">
        <v>142</v>
      </c>
      <c r="F891" s="5" t="s">
        <v>143</v>
      </c>
      <c r="G891" s="5" t="s">
        <v>40</v>
      </c>
      <c r="H891" s="6">
        <v>45961</v>
      </c>
      <c r="I891" s="6">
        <v>45961</v>
      </c>
      <c r="J891" s="6">
        <v>45964</v>
      </c>
      <c r="K891" s="5" t="s">
        <v>172</v>
      </c>
      <c r="L891" s="5" t="s">
        <v>173</v>
      </c>
      <c r="M891" s="5" t="s">
        <v>43</v>
      </c>
      <c r="N891" s="5" t="s">
        <v>174</v>
      </c>
      <c r="O891" s="7">
        <v>194.46</v>
      </c>
      <c r="P891" s="5" t="s">
        <v>45</v>
      </c>
      <c r="Q891" s="22"/>
      <c r="R891" s="8">
        <f t="shared" si="45"/>
        <v>194.46</v>
      </c>
      <c r="S891" s="7">
        <v>194.46</v>
      </c>
      <c r="T891" s="7"/>
      <c r="U891" s="7">
        <f t="shared" si="44"/>
        <v>194.46</v>
      </c>
      <c r="V891" s="5" t="s">
        <v>45</v>
      </c>
      <c r="W891" s="7">
        <v>57.23</v>
      </c>
      <c r="X891" s="5" t="s">
        <v>46</v>
      </c>
      <c r="Z891" s="8">
        <f t="shared" si="43"/>
        <v>57.23</v>
      </c>
    </row>
    <row r="892" spans="1:26" x14ac:dyDescent="0.25">
      <c r="A892" s="5" t="s">
        <v>34</v>
      </c>
      <c r="B892" s="5" t="s">
        <v>227</v>
      </c>
      <c r="C892" s="5" t="s">
        <v>228</v>
      </c>
      <c r="D892" s="5" t="s">
        <v>37</v>
      </c>
      <c r="E892" s="5" t="s">
        <v>98</v>
      </c>
      <c r="F892" s="5" t="s">
        <v>99</v>
      </c>
      <c r="G892" s="5" t="s">
        <v>40</v>
      </c>
      <c r="H892" s="6">
        <v>45961</v>
      </c>
      <c r="I892" s="6">
        <v>45961</v>
      </c>
      <c r="J892" s="6">
        <v>45964</v>
      </c>
      <c r="K892" s="5" t="s">
        <v>172</v>
      </c>
      <c r="L892" s="5" t="s">
        <v>173</v>
      </c>
      <c r="M892" s="5" t="s">
        <v>43</v>
      </c>
      <c r="N892" s="5" t="s">
        <v>174</v>
      </c>
      <c r="O892" s="7">
        <v>446.13</v>
      </c>
      <c r="P892" s="5" t="s">
        <v>45</v>
      </c>
      <c r="Q892" s="22"/>
      <c r="R892" s="8">
        <f t="shared" si="45"/>
        <v>446.13</v>
      </c>
      <c r="S892" s="7">
        <v>446.13</v>
      </c>
      <c r="T892" s="7"/>
      <c r="U892" s="7">
        <f t="shared" si="44"/>
        <v>446.13</v>
      </c>
      <c r="V892" s="5" t="s">
        <v>45</v>
      </c>
      <c r="W892" s="7">
        <v>131.29</v>
      </c>
      <c r="X892" s="5" t="s">
        <v>46</v>
      </c>
      <c r="Z892" s="8">
        <f t="shared" si="43"/>
        <v>131.29</v>
      </c>
    </row>
    <row r="893" spans="1:26" x14ac:dyDescent="0.25">
      <c r="A893" s="5" t="s">
        <v>34</v>
      </c>
      <c r="B893" s="5" t="s">
        <v>227</v>
      </c>
      <c r="C893" s="5" t="s">
        <v>228</v>
      </c>
      <c r="D893" s="5" t="s">
        <v>37</v>
      </c>
      <c r="E893" s="5" t="s">
        <v>82</v>
      </c>
      <c r="F893" s="5" t="s">
        <v>83</v>
      </c>
      <c r="G893" s="5" t="s">
        <v>40</v>
      </c>
      <c r="H893" s="6">
        <v>45961</v>
      </c>
      <c r="I893" s="6">
        <v>45961</v>
      </c>
      <c r="J893" s="6">
        <v>45964</v>
      </c>
      <c r="K893" s="5" t="s">
        <v>172</v>
      </c>
      <c r="L893" s="5" t="s">
        <v>173</v>
      </c>
      <c r="M893" s="5" t="s">
        <v>43</v>
      </c>
      <c r="N893" s="5" t="s">
        <v>174</v>
      </c>
      <c r="O893" s="7">
        <v>8749.26</v>
      </c>
      <c r="P893" s="5" t="s">
        <v>45</v>
      </c>
      <c r="Q893" s="22"/>
      <c r="R893" s="8">
        <f t="shared" si="45"/>
        <v>8749.26</v>
      </c>
      <c r="S893" s="7">
        <v>8749.26</v>
      </c>
      <c r="T893" s="7"/>
      <c r="U893" s="7">
        <f t="shared" si="44"/>
        <v>8749.26</v>
      </c>
      <c r="V893" s="5" t="s">
        <v>45</v>
      </c>
      <c r="W893" s="7">
        <v>2574.83</v>
      </c>
      <c r="X893" s="5" t="s">
        <v>46</v>
      </c>
      <c r="Z893" s="8">
        <f t="shared" si="43"/>
        <v>2574.83</v>
      </c>
    </row>
    <row r="894" spans="1:26" x14ac:dyDescent="0.25">
      <c r="A894" s="5" t="s">
        <v>34</v>
      </c>
      <c r="B894" s="5" t="s">
        <v>227</v>
      </c>
      <c r="C894" s="5" t="s">
        <v>228</v>
      </c>
      <c r="D894" s="5" t="s">
        <v>37</v>
      </c>
      <c r="E894" s="5" t="s">
        <v>138</v>
      </c>
      <c r="F894" s="5" t="s">
        <v>139</v>
      </c>
      <c r="G894" s="5" t="s">
        <v>40</v>
      </c>
      <c r="H894" s="6">
        <v>45961</v>
      </c>
      <c r="I894" s="6">
        <v>45961</v>
      </c>
      <c r="J894" s="6">
        <v>45964</v>
      </c>
      <c r="K894" s="5" t="s">
        <v>172</v>
      </c>
      <c r="L894" s="5" t="s">
        <v>173</v>
      </c>
      <c r="M894" s="5" t="s">
        <v>43</v>
      </c>
      <c r="N894" s="5" t="s">
        <v>174</v>
      </c>
      <c r="O894" s="7">
        <v>2964.71</v>
      </c>
      <c r="P894" s="5" t="s">
        <v>45</v>
      </c>
      <c r="Q894" s="22"/>
      <c r="R894" s="8">
        <f t="shared" si="45"/>
        <v>2964.71</v>
      </c>
      <c r="S894" s="7">
        <v>2964.71</v>
      </c>
      <c r="T894" s="7"/>
      <c r="U894" s="7">
        <f t="shared" si="44"/>
        <v>2964.71</v>
      </c>
      <c r="V894" s="5" t="s">
        <v>45</v>
      </c>
      <c r="W894" s="7">
        <v>872.49</v>
      </c>
      <c r="X894" s="5" t="s">
        <v>46</v>
      </c>
      <c r="Z894" s="8">
        <f t="shared" si="43"/>
        <v>872.49</v>
      </c>
    </row>
    <row r="895" spans="1:26" x14ac:dyDescent="0.25">
      <c r="A895" s="5" t="s">
        <v>34</v>
      </c>
      <c r="B895" s="5" t="s">
        <v>227</v>
      </c>
      <c r="C895" s="5" t="s">
        <v>228</v>
      </c>
      <c r="D895" s="5" t="s">
        <v>37</v>
      </c>
      <c r="E895" s="5" t="s">
        <v>78</v>
      </c>
      <c r="F895" s="5" t="s">
        <v>79</v>
      </c>
      <c r="G895" s="5" t="s">
        <v>40</v>
      </c>
      <c r="H895" s="6">
        <v>45961</v>
      </c>
      <c r="I895" s="6">
        <v>45961</v>
      </c>
      <c r="J895" s="6">
        <v>45964</v>
      </c>
      <c r="K895" s="5" t="s">
        <v>172</v>
      </c>
      <c r="L895" s="5" t="s">
        <v>173</v>
      </c>
      <c r="M895" s="5" t="s">
        <v>43</v>
      </c>
      <c r="N895" s="5" t="s">
        <v>174</v>
      </c>
      <c r="O895" s="7">
        <v>15319.19</v>
      </c>
      <c r="P895" s="5" t="s">
        <v>45</v>
      </c>
      <c r="Q895" s="22"/>
      <c r="R895" s="8">
        <f t="shared" si="45"/>
        <v>15319.19</v>
      </c>
      <c r="S895" s="7">
        <v>15319.19</v>
      </c>
      <c r="T895" s="7"/>
      <c r="U895" s="7">
        <f t="shared" si="44"/>
        <v>15319.19</v>
      </c>
      <c r="V895" s="5" t="s">
        <v>45</v>
      </c>
      <c r="W895" s="7">
        <v>4508.3</v>
      </c>
      <c r="X895" s="5" t="s">
        <v>46</v>
      </c>
      <c r="Z895" s="8">
        <f t="shared" si="43"/>
        <v>4508.3</v>
      </c>
    </row>
    <row r="896" spans="1:26" x14ac:dyDescent="0.25">
      <c r="A896" s="5" t="s">
        <v>34</v>
      </c>
      <c r="B896" s="5" t="s">
        <v>227</v>
      </c>
      <c r="C896" s="5" t="s">
        <v>228</v>
      </c>
      <c r="D896" s="5" t="s">
        <v>37</v>
      </c>
      <c r="E896" s="5" t="s">
        <v>38</v>
      </c>
      <c r="F896" s="5" t="s">
        <v>39</v>
      </c>
      <c r="G896" s="5" t="s">
        <v>40</v>
      </c>
      <c r="H896" s="6">
        <v>45961</v>
      </c>
      <c r="I896" s="6">
        <v>45961</v>
      </c>
      <c r="J896" s="6">
        <v>45964</v>
      </c>
      <c r="K896" s="5" t="s">
        <v>172</v>
      </c>
      <c r="L896" s="5" t="s">
        <v>173</v>
      </c>
      <c r="M896" s="5" t="s">
        <v>43</v>
      </c>
      <c r="N896" s="5" t="s">
        <v>174</v>
      </c>
      <c r="O896" s="7">
        <v>4787.1499999999996</v>
      </c>
      <c r="P896" s="5" t="s">
        <v>45</v>
      </c>
      <c r="Q896" s="22"/>
      <c r="R896" s="8">
        <f t="shared" si="45"/>
        <v>4787.1499999999996</v>
      </c>
      <c r="S896" s="7">
        <v>4787.1499999999996</v>
      </c>
      <c r="T896" s="7"/>
      <c r="U896" s="7">
        <f t="shared" si="44"/>
        <v>4787.1499999999996</v>
      </c>
      <c r="V896" s="5" t="s">
        <v>45</v>
      </c>
      <c r="W896" s="7">
        <v>1408.81</v>
      </c>
      <c r="X896" s="5" t="s">
        <v>46</v>
      </c>
      <c r="Z896" s="8">
        <f t="shared" si="43"/>
        <v>1408.81</v>
      </c>
    </row>
    <row r="897" spans="1:26" x14ac:dyDescent="0.25">
      <c r="A897" s="5" t="s">
        <v>34</v>
      </c>
      <c r="B897" s="5" t="s">
        <v>227</v>
      </c>
      <c r="C897" s="5" t="s">
        <v>228</v>
      </c>
      <c r="D897" s="5" t="s">
        <v>37</v>
      </c>
      <c r="E897" s="5" t="s">
        <v>96</v>
      </c>
      <c r="F897" s="5" t="s">
        <v>97</v>
      </c>
      <c r="G897" s="5" t="s">
        <v>40</v>
      </c>
      <c r="H897" s="6">
        <v>45961</v>
      </c>
      <c r="I897" s="6">
        <v>45961</v>
      </c>
      <c r="J897" s="6">
        <v>45964</v>
      </c>
      <c r="K897" s="5" t="s">
        <v>147</v>
      </c>
      <c r="L897" s="5" t="s">
        <v>148</v>
      </c>
      <c r="M897" s="5" t="s">
        <v>43</v>
      </c>
      <c r="N897" s="5" t="s">
        <v>149</v>
      </c>
      <c r="O897" s="7">
        <v>141.22999999999999</v>
      </c>
      <c r="P897" s="5" t="s">
        <v>45</v>
      </c>
      <c r="Q897" s="22"/>
      <c r="R897" s="8">
        <f t="shared" si="45"/>
        <v>141.22999999999999</v>
      </c>
      <c r="S897" s="7">
        <v>141.22999999999999</v>
      </c>
      <c r="T897" s="7"/>
      <c r="U897" s="7">
        <f t="shared" si="44"/>
        <v>141.22999999999999</v>
      </c>
      <c r="V897" s="5" t="s">
        <v>45</v>
      </c>
      <c r="W897" s="7">
        <v>41.56</v>
      </c>
      <c r="X897" s="5" t="s">
        <v>46</v>
      </c>
      <c r="Z897" s="8">
        <f t="shared" si="43"/>
        <v>41.56</v>
      </c>
    </row>
    <row r="898" spans="1:26" x14ac:dyDescent="0.25">
      <c r="A898" s="5" t="s">
        <v>34</v>
      </c>
      <c r="B898" s="5" t="s">
        <v>227</v>
      </c>
      <c r="C898" s="5" t="s">
        <v>228</v>
      </c>
      <c r="D898" s="5" t="s">
        <v>37</v>
      </c>
      <c r="E898" s="5" t="s">
        <v>100</v>
      </c>
      <c r="F898" s="5" t="s">
        <v>101</v>
      </c>
      <c r="G898" s="5" t="s">
        <v>40</v>
      </c>
      <c r="H898" s="6">
        <v>45961</v>
      </c>
      <c r="I898" s="6">
        <v>45961</v>
      </c>
      <c r="J898" s="6">
        <v>45964</v>
      </c>
      <c r="K898" s="5" t="s">
        <v>172</v>
      </c>
      <c r="L898" s="5" t="s">
        <v>173</v>
      </c>
      <c r="M898" s="5" t="s">
        <v>43</v>
      </c>
      <c r="N898" s="5" t="s">
        <v>174</v>
      </c>
      <c r="O898" s="7">
        <v>3798.6</v>
      </c>
      <c r="P898" s="5" t="s">
        <v>45</v>
      </c>
      <c r="Q898" s="22"/>
      <c r="R898" s="8">
        <f t="shared" si="45"/>
        <v>3798.6</v>
      </c>
      <c r="S898" s="7">
        <v>3798.6</v>
      </c>
      <c r="T898" s="7"/>
      <c r="U898" s="7">
        <f t="shared" si="44"/>
        <v>3798.6</v>
      </c>
      <c r="V898" s="5" t="s">
        <v>45</v>
      </c>
      <c r="W898" s="7">
        <v>1117.8900000000001</v>
      </c>
      <c r="X898" s="5" t="s">
        <v>46</v>
      </c>
      <c r="Z898" s="8">
        <f t="shared" ref="Z898:Z961" si="46">+W898+Y898</f>
        <v>1117.8900000000001</v>
      </c>
    </row>
    <row r="899" spans="1:26" x14ac:dyDescent="0.25">
      <c r="O899" s="8">
        <f>SUM(O2:O898)</f>
        <v>7446174.5300000003</v>
      </c>
      <c r="Q899" s="19">
        <f>SUM(Q2:Q898)</f>
        <v>-2337396.0900000003</v>
      </c>
      <c r="R899" s="8">
        <f>SUM(R2:R898)</f>
        <v>5108778.4399999995</v>
      </c>
      <c r="S899" s="8">
        <f>SUM(S2:S898)</f>
        <v>7446174.5300000003</v>
      </c>
      <c r="T899" s="8">
        <f>SUM(T2:T898)</f>
        <v>-2337396.0900000003</v>
      </c>
      <c r="U899" s="8">
        <f>SUM(U2:U898)</f>
        <v>5108778.4399999995</v>
      </c>
      <c r="W899" s="8">
        <f>SUM(W2:W898)</f>
        <v>2191337.6899999962</v>
      </c>
      <c r="Y899" s="8">
        <f>SUM(Y2:Y898)</f>
        <v>-687875.92000000016</v>
      </c>
      <c r="Z899" s="8">
        <f>SUM(Z2:Z898)</f>
        <v>1503461.7699999977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96F8-C30B-41CD-BD9F-5F5F8821AE46}">
  <sheetPr>
    <tabColor rgb="FFFF0000"/>
  </sheetPr>
  <dimension ref="A1:G67"/>
  <sheetViews>
    <sheetView workbookViewId="0">
      <selection activeCell="F8" sqref="F8"/>
    </sheetView>
  </sheetViews>
  <sheetFormatPr baseColWidth="10" defaultRowHeight="15" x14ac:dyDescent="0.25"/>
  <cols>
    <col min="3" max="3" width="19.85546875" bestFit="1" customWidth="1"/>
    <col min="4" max="4" width="11.7109375" bestFit="1" customWidth="1"/>
  </cols>
  <sheetData>
    <row r="1" spans="1:7" x14ac:dyDescent="0.25">
      <c r="A1" t="s">
        <v>235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7" x14ac:dyDescent="0.25">
      <c r="A2">
        <v>40</v>
      </c>
      <c r="D2" s="2">
        <f>SUM(D3:D67)</f>
        <v>2337396.0900000003</v>
      </c>
      <c r="E2" s="2">
        <f>SUM(E3:E67)</f>
        <v>687875.92000000016</v>
      </c>
      <c r="G2" t="s">
        <v>269</v>
      </c>
    </row>
    <row r="3" spans="1:7" x14ac:dyDescent="0.25">
      <c r="A3">
        <v>50</v>
      </c>
      <c r="B3" t="s">
        <v>187</v>
      </c>
      <c r="C3" t="s">
        <v>188</v>
      </c>
      <c r="D3" s="2">
        <f>-'SAP (1)'!Q530</f>
        <v>7733.33</v>
      </c>
      <c r="E3" s="2">
        <f>-'SAP (1)'!Y530</f>
        <v>2275.85</v>
      </c>
      <c r="F3" t="s">
        <v>94</v>
      </c>
      <c r="G3" t="s">
        <v>268</v>
      </c>
    </row>
    <row r="4" spans="1:7" x14ac:dyDescent="0.25">
      <c r="A4">
        <v>50</v>
      </c>
      <c r="B4" t="s">
        <v>187</v>
      </c>
      <c r="C4" t="s">
        <v>188</v>
      </c>
      <c r="D4" s="2">
        <f>-'SAP (1)'!Q531</f>
        <v>5800</v>
      </c>
      <c r="E4" s="2">
        <f>-'SAP (1)'!Y531</f>
        <v>1706.89</v>
      </c>
      <c r="F4" t="s">
        <v>84</v>
      </c>
      <c r="G4" t="s">
        <v>268</v>
      </c>
    </row>
    <row r="5" spans="1:7" x14ac:dyDescent="0.25">
      <c r="A5">
        <v>50</v>
      </c>
      <c r="B5" t="s">
        <v>187</v>
      </c>
      <c r="C5" t="s">
        <v>188</v>
      </c>
      <c r="D5" s="2">
        <f>-'SAP (1)'!Q532</f>
        <v>1933.33</v>
      </c>
      <c r="E5" s="2">
        <f>-'SAP (1)'!Y532</f>
        <v>568.96</v>
      </c>
      <c r="F5" t="s">
        <v>54</v>
      </c>
      <c r="G5" t="s">
        <v>268</v>
      </c>
    </row>
    <row r="6" spans="1:7" x14ac:dyDescent="0.25">
      <c r="A6">
        <v>50</v>
      </c>
      <c r="B6" t="s">
        <v>187</v>
      </c>
      <c r="C6" t="s">
        <v>188</v>
      </c>
      <c r="D6" s="2">
        <f>-'SAP (1)'!Q533</f>
        <v>1933.33</v>
      </c>
      <c r="E6" s="2">
        <f>-'SAP (1)'!Y533</f>
        <v>568.96</v>
      </c>
      <c r="F6" t="s">
        <v>72</v>
      </c>
      <c r="G6" t="s">
        <v>268</v>
      </c>
    </row>
    <row r="7" spans="1:7" x14ac:dyDescent="0.25">
      <c r="A7">
        <v>50</v>
      </c>
      <c r="B7" t="s">
        <v>187</v>
      </c>
      <c r="C7" t="s">
        <v>188</v>
      </c>
      <c r="D7" s="2">
        <f>-'SAP (1)'!Q534</f>
        <v>1933.33</v>
      </c>
      <c r="E7" s="2">
        <f>-'SAP (1)'!Y534</f>
        <v>568.96</v>
      </c>
      <c r="F7" t="s">
        <v>118</v>
      </c>
      <c r="G7" t="s">
        <v>268</v>
      </c>
    </row>
    <row r="8" spans="1:7" x14ac:dyDescent="0.25">
      <c r="A8">
        <v>50</v>
      </c>
      <c r="B8" t="s">
        <v>187</v>
      </c>
      <c r="C8" t="s">
        <v>188</v>
      </c>
      <c r="D8" s="2">
        <f>-'SAP (1)'!Q535</f>
        <v>3866.67</v>
      </c>
      <c r="E8" s="2">
        <f>-'SAP (1)'!Y535</f>
        <v>1137.93</v>
      </c>
      <c r="F8" t="s">
        <v>80</v>
      </c>
      <c r="G8" t="s">
        <v>268</v>
      </c>
    </row>
    <row r="9" spans="1:7" x14ac:dyDescent="0.25">
      <c r="A9">
        <v>50</v>
      </c>
      <c r="B9" t="s">
        <v>187</v>
      </c>
      <c r="C9" t="s">
        <v>188</v>
      </c>
      <c r="D9" s="2">
        <f>-'SAP (1)'!Q536</f>
        <v>5800</v>
      </c>
      <c r="E9" s="2">
        <f>-'SAP (1)'!Y536</f>
        <v>1706.89</v>
      </c>
      <c r="F9" t="s">
        <v>100</v>
      </c>
      <c r="G9" t="s">
        <v>268</v>
      </c>
    </row>
    <row r="10" spans="1:7" x14ac:dyDescent="0.25">
      <c r="A10">
        <v>50</v>
      </c>
      <c r="B10" t="s">
        <v>187</v>
      </c>
      <c r="C10" t="s">
        <v>188</v>
      </c>
      <c r="D10" s="2">
        <f>-'SAP (1)'!Q537</f>
        <v>1933.33</v>
      </c>
      <c r="E10" s="2">
        <f>-'SAP (1)'!Y537</f>
        <v>568.96</v>
      </c>
      <c r="F10" t="s">
        <v>98</v>
      </c>
      <c r="G10" t="s">
        <v>268</v>
      </c>
    </row>
    <row r="11" spans="1:7" x14ac:dyDescent="0.25">
      <c r="A11">
        <v>50</v>
      </c>
      <c r="B11" t="s">
        <v>187</v>
      </c>
      <c r="C11" t="s">
        <v>188</v>
      </c>
      <c r="D11" s="2">
        <f>-'SAP (1)'!Q538</f>
        <v>5800</v>
      </c>
      <c r="E11" s="2">
        <f>-'SAP (1)'!Y538</f>
        <v>1706.89</v>
      </c>
      <c r="F11" t="s">
        <v>114</v>
      </c>
      <c r="G11" t="s">
        <v>268</v>
      </c>
    </row>
    <row r="12" spans="1:7" x14ac:dyDescent="0.25">
      <c r="A12">
        <v>50</v>
      </c>
      <c r="B12" t="s">
        <v>187</v>
      </c>
      <c r="C12" t="s">
        <v>188</v>
      </c>
      <c r="D12" s="2">
        <f>-'SAP (1)'!Q539</f>
        <v>3866.67</v>
      </c>
      <c r="E12" s="2">
        <f>-'SAP (1)'!Y539</f>
        <v>1137.93</v>
      </c>
      <c r="F12" t="s">
        <v>50</v>
      </c>
      <c r="G12" t="s">
        <v>268</v>
      </c>
    </row>
    <row r="13" spans="1:7" x14ac:dyDescent="0.25">
      <c r="A13">
        <v>50</v>
      </c>
      <c r="B13" t="s">
        <v>187</v>
      </c>
      <c r="C13" t="s">
        <v>188</v>
      </c>
      <c r="D13" s="2">
        <f>-'SAP (1)'!Q540</f>
        <v>3866.67</v>
      </c>
      <c r="E13" s="2">
        <f>-'SAP (1)'!Y540</f>
        <v>1137.93</v>
      </c>
      <c r="F13" t="s">
        <v>110</v>
      </c>
      <c r="G13" t="s">
        <v>268</v>
      </c>
    </row>
    <row r="14" spans="1:7" x14ac:dyDescent="0.25">
      <c r="A14">
        <v>50</v>
      </c>
      <c r="B14" t="s">
        <v>187</v>
      </c>
      <c r="C14" t="s">
        <v>188</v>
      </c>
      <c r="D14" s="2">
        <f>-'SAP (1)'!Q541</f>
        <v>9666.67</v>
      </c>
      <c r="E14" s="2">
        <f>-'SAP (1)'!Y541</f>
        <v>2844.81</v>
      </c>
      <c r="F14" t="s">
        <v>56</v>
      </c>
      <c r="G14" t="s">
        <v>268</v>
      </c>
    </row>
    <row r="15" spans="1:7" x14ac:dyDescent="0.25">
      <c r="A15">
        <v>50</v>
      </c>
      <c r="B15" t="s">
        <v>187</v>
      </c>
      <c r="C15" t="s">
        <v>188</v>
      </c>
      <c r="D15" s="2">
        <f>-'SAP (1)'!Q542</f>
        <v>1933.33</v>
      </c>
      <c r="E15" s="2">
        <f>-'SAP (1)'!Y542</f>
        <v>568.96</v>
      </c>
      <c r="F15" t="s">
        <v>68</v>
      </c>
      <c r="G15" t="s">
        <v>268</v>
      </c>
    </row>
    <row r="16" spans="1:7" x14ac:dyDescent="0.25">
      <c r="A16">
        <v>50</v>
      </c>
      <c r="B16" t="s">
        <v>187</v>
      </c>
      <c r="C16" t="s">
        <v>188</v>
      </c>
      <c r="D16" s="2">
        <f>-'SAP (1)'!Q543</f>
        <v>3866.67</v>
      </c>
      <c r="E16" s="2">
        <f>-'SAP (1)'!Y543</f>
        <v>1137.93</v>
      </c>
      <c r="F16" t="s">
        <v>58</v>
      </c>
      <c r="G16" t="s">
        <v>268</v>
      </c>
    </row>
    <row r="17" spans="1:7" x14ac:dyDescent="0.25">
      <c r="A17">
        <v>50</v>
      </c>
      <c r="B17" t="s">
        <v>187</v>
      </c>
      <c r="C17" t="s">
        <v>188</v>
      </c>
      <c r="D17" s="2">
        <f>-'SAP (1)'!Q544</f>
        <v>1933.33</v>
      </c>
      <c r="E17" s="2">
        <f>-'SAP (1)'!Y544</f>
        <v>568.96</v>
      </c>
      <c r="F17" t="s">
        <v>38</v>
      </c>
      <c r="G17" t="s">
        <v>268</v>
      </c>
    </row>
    <row r="18" spans="1:7" x14ac:dyDescent="0.25">
      <c r="A18">
        <v>50</v>
      </c>
      <c r="B18" t="s">
        <v>187</v>
      </c>
      <c r="C18" t="s">
        <v>188</v>
      </c>
      <c r="D18" s="2">
        <f>-'SAP (1)'!Q545</f>
        <v>1933.33</v>
      </c>
      <c r="E18" s="2">
        <f>-'SAP (1)'!Y545</f>
        <v>568.96</v>
      </c>
      <c r="F18" t="s">
        <v>122</v>
      </c>
      <c r="G18" t="s">
        <v>268</v>
      </c>
    </row>
    <row r="19" spans="1:7" x14ac:dyDescent="0.25">
      <c r="A19">
        <v>50</v>
      </c>
      <c r="B19" t="s">
        <v>187</v>
      </c>
      <c r="C19" t="s">
        <v>188</v>
      </c>
      <c r="D19" s="2">
        <f>-'SAP (1)'!Q546</f>
        <v>11600</v>
      </c>
      <c r="E19" s="2">
        <f>-'SAP (1)'!Y546</f>
        <v>3413.77</v>
      </c>
      <c r="F19" t="s">
        <v>74</v>
      </c>
      <c r="G19" t="s">
        <v>268</v>
      </c>
    </row>
    <row r="20" spans="1:7" x14ac:dyDescent="0.25">
      <c r="A20">
        <v>50</v>
      </c>
      <c r="B20" t="s">
        <v>187</v>
      </c>
      <c r="C20" t="s">
        <v>188</v>
      </c>
      <c r="D20" s="2">
        <f>-'SAP (1)'!Q547</f>
        <v>3866.67</v>
      </c>
      <c r="E20" s="2">
        <f>-'SAP (1)'!Y547</f>
        <v>1137.93</v>
      </c>
      <c r="F20" t="s">
        <v>116</v>
      </c>
      <c r="G20" t="s">
        <v>268</v>
      </c>
    </row>
    <row r="21" spans="1:7" x14ac:dyDescent="0.25">
      <c r="A21">
        <v>50</v>
      </c>
      <c r="B21" t="s">
        <v>187</v>
      </c>
      <c r="C21" t="s">
        <v>188</v>
      </c>
      <c r="D21" s="2">
        <f>-'SAP (1)'!Q548</f>
        <v>1933.33</v>
      </c>
      <c r="E21" s="2">
        <f>-'SAP (1)'!Y548</f>
        <v>568.96</v>
      </c>
      <c r="F21" t="s">
        <v>52</v>
      </c>
      <c r="G21" t="s">
        <v>268</v>
      </c>
    </row>
    <row r="22" spans="1:7" x14ac:dyDescent="0.25">
      <c r="A22">
        <v>50</v>
      </c>
      <c r="B22" t="s">
        <v>187</v>
      </c>
      <c r="C22" t="s">
        <v>188</v>
      </c>
      <c r="D22" s="2">
        <f>-'SAP (1)'!Q549</f>
        <v>1933.33</v>
      </c>
      <c r="E22" s="2">
        <f>-'SAP (1)'!Y549</f>
        <v>568.96</v>
      </c>
      <c r="F22" t="s">
        <v>78</v>
      </c>
      <c r="G22" t="s">
        <v>268</v>
      </c>
    </row>
    <row r="23" spans="1:7" x14ac:dyDescent="0.25">
      <c r="A23">
        <v>50</v>
      </c>
      <c r="B23" t="s">
        <v>187</v>
      </c>
      <c r="C23" t="s">
        <v>188</v>
      </c>
      <c r="D23" s="2">
        <f>-'SAP (1)'!Q550</f>
        <v>3866.67</v>
      </c>
      <c r="E23" s="2">
        <f>-'SAP (1)'!Y550</f>
        <v>1137.93</v>
      </c>
      <c r="F23" t="s">
        <v>86</v>
      </c>
      <c r="G23" t="s">
        <v>268</v>
      </c>
    </row>
    <row r="24" spans="1:7" x14ac:dyDescent="0.25">
      <c r="A24">
        <v>50</v>
      </c>
      <c r="B24" t="s">
        <v>187</v>
      </c>
      <c r="C24" t="s">
        <v>188</v>
      </c>
      <c r="D24" s="2">
        <f>-'SAP (1)'!Q551</f>
        <v>1933.33</v>
      </c>
      <c r="E24" s="2">
        <f>-'SAP (1)'!Y551</f>
        <v>568.96</v>
      </c>
      <c r="F24" t="s">
        <v>62</v>
      </c>
      <c r="G24" t="s">
        <v>268</v>
      </c>
    </row>
    <row r="25" spans="1:7" x14ac:dyDescent="0.25">
      <c r="A25">
        <v>50</v>
      </c>
      <c r="B25" t="s">
        <v>187</v>
      </c>
      <c r="C25" t="s">
        <v>188</v>
      </c>
      <c r="D25" s="2">
        <f>-'SAP (1)'!Q552</f>
        <v>10633.33</v>
      </c>
      <c r="E25" s="2">
        <f>-'SAP (1)'!Y552</f>
        <v>3129.29</v>
      </c>
      <c r="F25" t="s">
        <v>60</v>
      </c>
      <c r="G25" t="s">
        <v>268</v>
      </c>
    </row>
    <row r="26" spans="1:7" x14ac:dyDescent="0.25">
      <c r="A26">
        <v>50</v>
      </c>
      <c r="B26" t="s">
        <v>187</v>
      </c>
      <c r="C26" t="s">
        <v>188</v>
      </c>
      <c r="D26" s="2">
        <f>-'SAP (1)'!Q553</f>
        <v>1933.33</v>
      </c>
      <c r="E26" s="2">
        <f>-'SAP (1)'!Y553</f>
        <v>568.96</v>
      </c>
      <c r="F26" t="s">
        <v>112</v>
      </c>
      <c r="G26" t="s">
        <v>268</v>
      </c>
    </row>
    <row r="27" spans="1:7" x14ac:dyDescent="0.25">
      <c r="A27">
        <v>50</v>
      </c>
      <c r="B27" t="s">
        <v>187</v>
      </c>
      <c r="C27" t="s">
        <v>188</v>
      </c>
      <c r="D27" s="2">
        <f>-'SAP (1)'!Q554</f>
        <v>5800</v>
      </c>
      <c r="E27" s="2">
        <f>-'SAP (1)'!Y554</f>
        <v>1706.89</v>
      </c>
      <c r="F27" t="s">
        <v>102</v>
      </c>
      <c r="G27" t="s">
        <v>268</v>
      </c>
    </row>
    <row r="28" spans="1:7" x14ac:dyDescent="0.25">
      <c r="A28">
        <v>50</v>
      </c>
      <c r="B28" t="s">
        <v>187</v>
      </c>
      <c r="C28" t="s">
        <v>188</v>
      </c>
      <c r="D28" s="2">
        <f>-'SAP (1)'!Q555</f>
        <v>1933.33</v>
      </c>
      <c r="E28" s="2">
        <f>-'SAP (1)'!Y555</f>
        <v>568.96</v>
      </c>
      <c r="F28" t="s">
        <v>76</v>
      </c>
      <c r="G28" t="s">
        <v>268</v>
      </c>
    </row>
    <row r="29" spans="1:7" x14ac:dyDescent="0.25">
      <c r="A29">
        <v>50</v>
      </c>
      <c r="B29" t="s">
        <v>187</v>
      </c>
      <c r="C29" t="s">
        <v>188</v>
      </c>
      <c r="D29" s="2">
        <f>-'SAP (1)'!Q556</f>
        <v>5800</v>
      </c>
      <c r="E29" s="2">
        <f>-'SAP (1)'!Y556</f>
        <v>1706.89</v>
      </c>
      <c r="F29" t="s">
        <v>104</v>
      </c>
      <c r="G29" t="s">
        <v>268</v>
      </c>
    </row>
    <row r="30" spans="1:7" x14ac:dyDescent="0.25">
      <c r="A30">
        <v>50</v>
      </c>
      <c r="B30" t="s">
        <v>187</v>
      </c>
      <c r="C30" t="s">
        <v>188</v>
      </c>
      <c r="D30" s="2">
        <f>-'SAP (1)'!Q557</f>
        <v>3866.67</v>
      </c>
      <c r="E30" s="2">
        <f>-'SAP (1)'!Y557</f>
        <v>1137.93</v>
      </c>
      <c r="F30" t="s">
        <v>90</v>
      </c>
      <c r="G30" t="s">
        <v>268</v>
      </c>
    </row>
    <row r="31" spans="1:7" x14ac:dyDescent="0.25">
      <c r="A31">
        <v>50</v>
      </c>
      <c r="B31" t="s">
        <v>187</v>
      </c>
      <c r="C31" t="s">
        <v>188</v>
      </c>
      <c r="D31" s="2">
        <f>-'SAP (1)'!Q558</f>
        <v>1933.33</v>
      </c>
      <c r="E31" s="2">
        <f>-'SAP (1)'!Y558</f>
        <v>568.96</v>
      </c>
      <c r="F31" t="s">
        <v>88</v>
      </c>
      <c r="G31" t="s">
        <v>268</v>
      </c>
    </row>
    <row r="32" spans="1:7" x14ac:dyDescent="0.25">
      <c r="A32">
        <v>50</v>
      </c>
      <c r="B32" t="s">
        <v>187</v>
      </c>
      <c r="C32" t="s">
        <v>188</v>
      </c>
      <c r="D32" s="2">
        <f>-'SAP (1)'!Q559</f>
        <v>1933.33</v>
      </c>
      <c r="E32" s="2">
        <f>-'SAP (1)'!Y559</f>
        <v>568.96</v>
      </c>
      <c r="F32" t="s">
        <v>64</v>
      </c>
      <c r="G32" t="s">
        <v>268</v>
      </c>
    </row>
    <row r="33" spans="1:7" x14ac:dyDescent="0.25">
      <c r="A33">
        <v>50</v>
      </c>
      <c r="B33" t="s">
        <v>187</v>
      </c>
      <c r="C33" t="s">
        <v>188</v>
      </c>
      <c r="D33" s="2">
        <f>-'SAP (1)'!Q560</f>
        <v>15466.67</v>
      </c>
      <c r="E33" s="2">
        <f>-'SAP (1)'!Y560</f>
        <v>4551.7</v>
      </c>
      <c r="F33" t="s">
        <v>96</v>
      </c>
      <c r="G33" t="s">
        <v>268</v>
      </c>
    </row>
    <row r="34" spans="1:7" x14ac:dyDescent="0.25">
      <c r="A34">
        <v>50</v>
      </c>
      <c r="B34" t="s">
        <v>187</v>
      </c>
      <c r="C34" t="s">
        <v>188</v>
      </c>
      <c r="D34" s="2">
        <f>-'SAP (1)'!Q561</f>
        <v>3866.67</v>
      </c>
      <c r="E34" s="2">
        <f>-'SAP (1)'!Y561</f>
        <v>1137.93</v>
      </c>
      <c r="F34" t="s">
        <v>48</v>
      </c>
      <c r="G34" t="s">
        <v>268</v>
      </c>
    </row>
    <row r="35" spans="1:7" x14ac:dyDescent="0.25">
      <c r="A35">
        <v>50</v>
      </c>
      <c r="B35" t="s">
        <v>189</v>
      </c>
      <c r="C35" t="s">
        <v>190</v>
      </c>
      <c r="D35" s="2">
        <f>-'SAP (1)'!Q562</f>
        <v>21266.67</v>
      </c>
      <c r="E35" s="2">
        <f>-'SAP (1)'!Y562</f>
        <v>6258.59</v>
      </c>
      <c r="F35" t="s">
        <v>138</v>
      </c>
      <c r="G35" t="s">
        <v>268</v>
      </c>
    </row>
    <row r="36" spans="1:7" x14ac:dyDescent="0.25">
      <c r="A36">
        <v>50</v>
      </c>
      <c r="B36" t="s">
        <v>189</v>
      </c>
      <c r="C36" t="s">
        <v>190</v>
      </c>
      <c r="D36" s="2">
        <f>-'SAP (1)'!Q563</f>
        <v>168200</v>
      </c>
      <c r="E36" s="2">
        <f>-'SAP (1)'!Y563</f>
        <v>49499.71</v>
      </c>
      <c r="F36" t="s">
        <v>78</v>
      </c>
      <c r="G36" t="s">
        <v>268</v>
      </c>
    </row>
    <row r="37" spans="1:7" x14ac:dyDescent="0.25">
      <c r="A37">
        <v>50</v>
      </c>
      <c r="B37" t="s">
        <v>189</v>
      </c>
      <c r="C37" t="s">
        <v>190</v>
      </c>
      <c r="D37" s="2">
        <f>-'SAP (1)'!Q564</f>
        <v>23200</v>
      </c>
      <c r="E37" s="2">
        <f>-'SAP (1)'!Y564</f>
        <v>6827.55</v>
      </c>
      <c r="F37" t="s">
        <v>80</v>
      </c>
      <c r="G37" t="s">
        <v>268</v>
      </c>
    </row>
    <row r="38" spans="1:7" x14ac:dyDescent="0.25">
      <c r="A38">
        <v>50</v>
      </c>
      <c r="B38" t="s">
        <v>189</v>
      </c>
      <c r="C38" t="s">
        <v>190</v>
      </c>
      <c r="D38" s="2">
        <f>-'SAP (1)'!Q565</f>
        <v>11600</v>
      </c>
      <c r="E38" s="2">
        <f>-'SAP (1)'!Y565</f>
        <v>3413.77</v>
      </c>
      <c r="F38" t="s">
        <v>54</v>
      </c>
      <c r="G38" t="s">
        <v>268</v>
      </c>
    </row>
    <row r="39" spans="1:7" x14ac:dyDescent="0.25">
      <c r="A39">
        <v>50</v>
      </c>
      <c r="B39" t="s">
        <v>189</v>
      </c>
      <c r="C39" t="s">
        <v>190</v>
      </c>
      <c r="D39" s="2">
        <f>-'SAP (1)'!Q566</f>
        <v>1933.33</v>
      </c>
      <c r="E39" s="2">
        <f>-'SAP (1)'!Y566</f>
        <v>568.96</v>
      </c>
      <c r="F39" t="s">
        <v>98</v>
      </c>
      <c r="G39" t="s">
        <v>268</v>
      </c>
    </row>
    <row r="40" spans="1:7" x14ac:dyDescent="0.25">
      <c r="A40">
        <v>50</v>
      </c>
      <c r="B40" t="s">
        <v>189</v>
      </c>
      <c r="C40" t="s">
        <v>190</v>
      </c>
      <c r="D40" s="2">
        <f>-'SAP (1)'!Q567</f>
        <v>44466.67</v>
      </c>
      <c r="E40" s="2">
        <f>-'SAP (1)'!Y567</f>
        <v>13086.13</v>
      </c>
      <c r="F40" t="s">
        <v>116</v>
      </c>
      <c r="G40" t="s">
        <v>268</v>
      </c>
    </row>
    <row r="41" spans="1:7" x14ac:dyDescent="0.25">
      <c r="A41">
        <v>50</v>
      </c>
      <c r="B41" t="s">
        <v>189</v>
      </c>
      <c r="C41" t="s">
        <v>190</v>
      </c>
      <c r="D41" s="2">
        <f>-'SAP (1)'!Q568</f>
        <v>59933.33</v>
      </c>
      <c r="E41" s="2">
        <f>-'SAP (1)'!Y568</f>
        <v>17637.830000000002</v>
      </c>
      <c r="F41" t="s">
        <v>50</v>
      </c>
      <c r="G41" t="s">
        <v>268</v>
      </c>
    </row>
    <row r="42" spans="1:7" x14ac:dyDescent="0.25">
      <c r="A42">
        <v>50</v>
      </c>
      <c r="B42" t="s">
        <v>189</v>
      </c>
      <c r="C42" t="s">
        <v>190</v>
      </c>
      <c r="D42" s="2">
        <f>-'SAP (1)'!Q569</f>
        <v>11600</v>
      </c>
      <c r="E42" s="2">
        <f>-'SAP (1)'!Y569</f>
        <v>3413.77</v>
      </c>
      <c r="F42" t="s">
        <v>72</v>
      </c>
      <c r="G42" t="s">
        <v>268</v>
      </c>
    </row>
    <row r="43" spans="1:7" x14ac:dyDescent="0.25">
      <c r="A43">
        <v>50</v>
      </c>
      <c r="B43" t="s">
        <v>189</v>
      </c>
      <c r="C43" t="s">
        <v>190</v>
      </c>
      <c r="D43" s="2">
        <f>-'SAP (1)'!Q570</f>
        <v>50266.67</v>
      </c>
      <c r="E43" s="2">
        <f>-'SAP (1)'!Y570</f>
        <v>14793.01</v>
      </c>
      <c r="F43" t="s">
        <v>38</v>
      </c>
      <c r="G43" t="s">
        <v>268</v>
      </c>
    </row>
    <row r="44" spans="1:7" x14ac:dyDescent="0.25">
      <c r="A44">
        <v>50</v>
      </c>
      <c r="B44" t="s">
        <v>189</v>
      </c>
      <c r="C44" t="s">
        <v>190</v>
      </c>
      <c r="D44" s="2">
        <f>-'SAP (1)'!Q571</f>
        <v>75400</v>
      </c>
      <c r="E44" s="2">
        <f>-'SAP (1)'!Y571</f>
        <v>22189.52</v>
      </c>
      <c r="F44" t="s">
        <v>48</v>
      </c>
      <c r="G44" t="s">
        <v>268</v>
      </c>
    </row>
    <row r="45" spans="1:7" x14ac:dyDescent="0.25">
      <c r="A45">
        <v>50</v>
      </c>
      <c r="B45" t="s">
        <v>189</v>
      </c>
      <c r="C45" t="s">
        <v>190</v>
      </c>
      <c r="D45" s="2">
        <f>-'SAP (1)'!Q572</f>
        <v>1933.33</v>
      </c>
      <c r="E45" s="2">
        <f>-'SAP (1)'!Y572</f>
        <v>568.96</v>
      </c>
      <c r="F45" t="s">
        <v>142</v>
      </c>
      <c r="G45" t="s">
        <v>268</v>
      </c>
    </row>
    <row r="46" spans="1:7" x14ac:dyDescent="0.25">
      <c r="A46">
        <v>50</v>
      </c>
      <c r="B46" t="s">
        <v>189</v>
      </c>
      <c r="C46" t="s">
        <v>190</v>
      </c>
      <c r="D46" s="2">
        <f>-'SAP (1)'!Q573</f>
        <v>15466.67</v>
      </c>
      <c r="E46" s="2">
        <f>-'SAP (1)'!Y573</f>
        <v>4551.7</v>
      </c>
      <c r="F46" t="s">
        <v>106</v>
      </c>
      <c r="G46" t="s">
        <v>268</v>
      </c>
    </row>
    <row r="47" spans="1:7" x14ac:dyDescent="0.25">
      <c r="A47">
        <v>50</v>
      </c>
      <c r="B47" t="s">
        <v>189</v>
      </c>
      <c r="C47" t="s">
        <v>190</v>
      </c>
      <c r="D47" s="2">
        <f>-'SAP (1)'!Q574</f>
        <v>425333.33</v>
      </c>
      <c r="E47" s="2">
        <f>-'SAP (1)'!Y574</f>
        <v>125171.67</v>
      </c>
      <c r="F47" t="s">
        <v>74</v>
      </c>
      <c r="G47" t="s">
        <v>268</v>
      </c>
    </row>
    <row r="48" spans="1:7" x14ac:dyDescent="0.25">
      <c r="A48">
        <v>50</v>
      </c>
      <c r="B48" t="s">
        <v>189</v>
      </c>
      <c r="C48" t="s">
        <v>190</v>
      </c>
      <c r="D48" s="2">
        <f>-'SAP (1)'!Q575</f>
        <v>83133.33</v>
      </c>
      <c r="E48" s="2">
        <f>-'SAP (1)'!Y575</f>
        <v>24465.37</v>
      </c>
      <c r="F48" t="s">
        <v>60</v>
      </c>
      <c r="G48" t="s">
        <v>268</v>
      </c>
    </row>
    <row r="49" spans="1:7" x14ac:dyDescent="0.25">
      <c r="A49">
        <v>50</v>
      </c>
      <c r="B49" t="s">
        <v>189</v>
      </c>
      <c r="C49" t="s">
        <v>190</v>
      </c>
      <c r="D49" s="2">
        <f>-'SAP (1)'!Q576</f>
        <v>29000</v>
      </c>
      <c r="E49" s="2">
        <f>-'SAP (1)'!Y576</f>
        <v>8534.43</v>
      </c>
      <c r="F49" t="s">
        <v>68</v>
      </c>
      <c r="G49" t="s">
        <v>268</v>
      </c>
    </row>
    <row r="50" spans="1:7" x14ac:dyDescent="0.25">
      <c r="A50">
        <v>50</v>
      </c>
      <c r="B50" t="s">
        <v>189</v>
      </c>
      <c r="C50" t="s">
        <v>190</v>
      </c>
      <c r="D50" s="2">
        <f>-'SAP (1)'!Q577</f>
        <v>17400</v>
      </c>
      <c r="E50" s="2">
        <f>-'SAP (1)'!Y577</f>
        <v>5120.66</v>
      </c>
      <c r="F50" t="s">
        <v>84</v>
      </c>
      <c r="G50" t="s">
        <v>268</v>
      </c>
    </row>
    <row r="51" spans="1:7" x14ac:dyDescent="0.25">
      <c r="A51">
        <v>50</v>
      </c>
      <c r="B51" t="s">
        <v>189</v>
      </c>
      <c r="C51" t="s">
        <v>190</v>
      </c>
      <c r="D51" s="2">
        <f>-'SAP (1)'!Q578</f>
        <v>5800</v>
      </c>
      <c r="E51" s="2">
        <f>-'SAP (1)'!Y578</f>
        <v>1706.89</v>
      </c>
      <c r="F51" t="s">
        <v>92</v>
      </c>
      <c r="G51" t="s">
        <v>268</v>
      </c>
    </row>
    <row r="52" spans="1:7" x14ac:dyDescent="0.25">
      <c r="A52">
        <v>50</v>
      </c>
      <c r="B52" t="s">
        <v>189</v>
      </c>
      <c r="C52" t="s">
        <v>190</v>
      </c>
      <c r="D52" s="2">
        <f>-'SAP (1)'!Q579</f>
        <v>88933.33</v>
      </c>
      <c r="E52" s="2">
        <f>-'SAP (1)'!Y579</f>
        <v>26172.26</v>
      </c>
      <c r="F52" t="s">
        <v>110</v>
      </c>
      <c r="G52" t="s">
        <v>268</v>
      </c>
    </row>
    <row r="53" spans="1:7" x14ac:dyDescent="0.25">
      <c r="A53">
        <v>50</v>
      </c>
      <c r="B53" t="s">
        <v>189</v>
      </c>
      <c r="C53" t="s">
        <v>190</v>
      </c>
      <c r="D53" s="2">
        <f>-'SAP (1)'!Q580</f>
        <v>1933.33</v>
      </c>
      <c r="E53" s="2">
        <f>-'SAP (1)'!Y580</f>
        <v>568.96</v>
      </c>
      <c r="F53" t="s">
        <v>122</v>
      </c>
      <c r="G53" t="s">
        <v>268</v>
      </c>
    </row>
    <row r="54" spans="1:7" x14ac:dyDescent="0.25">
      <c r="A54">
        <v>50</v>
      </c>
      <c r="B54" t="s">
        <v>189</v>
      </c>
      <c r="C54" t="s">
        <v>190</v>
      </c>
      <c r="D54" s="2">
        <f>-'SAP (1)'!Q581</f>
        <v>1933.33</v>
      </c>
      <c r="E54" s="2">
        <f>-'SAP (1)'!Y581</f>
        <v>568.96</v>
      </c>
      <c r="F54" t="s">
        <v>142</v>
      </c>
      <c r="G54" t="s">
        <v>268</v>
      </c>
    </row>
    <row r="55" spans="1:7" x14ac:dyDescent="0.25">
      <c r="A55">
        <v>50</v>
      </c>
      <c r="B55" t="s">
        <v>189</v>
      </c>
      <c r="C55" t="s">
        <v>190</v>
      </c>
      <c r="D55" s="2">
        <f>-'SAP (1)'!Q582</f>
        <v>418566.67</v>
      </c>
      <c r="E55" s="2">
        <f>-'SAP (1)'!Y582</f>
        <v>123180.3</v>
      </c>
      <c r="F55" t="s">
        <v>96</v>
      </c>
      <c r="G55" t="s">
        <v>268</v>
      </c>
    </row>
    <row r="56" spans="1:7" x14ac:dyDescent="0.25">
      <c r="A56">
        <v>50</v>
      </c>
      <c r="B56" t="s">
        <v>189</v>
      </c>
      <c r="C56" t="s">
        <v>190</v>
      </c>
      <c r="D56" s="2">
        <f>-'SAP (1)'!Q583</f>
        <v>48333.33</v>
      </c>
      <c r="E56" s="2">
        <f>-'SAP (1)'!Y583</f>
        <v>14224.05</v>
      </c>
      <c r="F56" t="s">
        <v>64</v>
      </c>
      <c r="G56" t="s">
        <v>268</v>
      </c>
    </row>
    <row r="57" spans="1:7" x14ac:dyDescent="0.25">
      <c r="A57">
        <v>50</v>
      </c>
      <c r="B57" t="s">
        <v>189</v>
      </c>
      <c r="C57" t="s">
        <v>190</v>
      </c>
      <c r="D57" s="2">
        <f>-'SAP (1)'!Q584</f>
        <v>67666.67</v>
      </c>
      <c r="E57" s="2">
        <f>-'SAP (1)'!Y584</f>
        <v>19913.669999999998</v>
      </c>
      <c r="F57" t="s">
        <v>118</v>
      </c>
      <c r="G57" t="s">
        <v>268</v>
      </c>
    </row>
    <row r="58" spans="1:7" x14ac:dyDescent="0.25">
      <c r="A58">
        <v>50</v>
      </c>
      <c r="B58" t="s">
        <v>189</v>
      </c>
      <c r="C58" t="s">
        <v>190</v>
      </c>
      <c r="D58" s="2">
        <f>-'SAP (1)'!Q585</f>
        <v>75400</v>
      </c>
      <c r="E58" s="2">
        <f>-'SAP (1)'!Y585</f>
        <v>22189.52</v>
      </c>
      <c r="F58" t="s">
        <v>82</v>
      </c>
      <c r="G58" t="s">
        <v>268</v>
      </c>
    </row>
    <row r="59" spans="1:7" x14ac:dyDescent="0.25">
      <c r="A59">
        <v>50</v>
      </c>
      <c r="B59" t="s">
        <v>189</v>
      </c>
      <c r="C59" t="s">
        <v>190</v>
      </c>
      <c r="D59" s="2">
        <f>-'SAP (1)'!Q586</f>
        <v>1933.33</v>
      </c>
      <c r="E59" s="2">
        <f>-'SAP (1)'!Y586</f>
        <v>569.63</v>
      </c>
      <c r="F59" t="s">
        <v>110</v>
      </c>
      <c r="G59" t="s">
        <v>268</v>
      </c>
    </row>
    <row r="60" spans="1:7" x14ac:dyDescent="0.25">
      <c r="A60">
        <v>50</v>
      </c>
      <c r="B60" t="s">
        <v>189</v>
      </c>
      <c r="C60" t="s">
        <v>190</v>
      </c>
      <c r="D60" s="2">
        <f>-'SAP (1)'!Q587</f>
        <v>125666.67</v>
      </c>
      <c r="E60" s="2">
        <f>-'SAP (1)'!Y587</f>
        <v>36982.54</v>
      </c>
      <c r="F60" t="s">
        <v>86</v>
      </c>
      <c r="G60" t="s">
        <v>268</v>
      </c>
    </row>
    <row r="61" spans="1:7" x14ac:dyDescent="0.25">
      <c r="A61">
        <v>50</v>
      </c>
      <c r="B61" t="s">
        <v>189</v>
      </c>
      <c r="C61" t="s">
        <v>190</v>
      </c>
      <c r="D61" s="2">
        <f>-'SAP (1)'!Q588</f>
        <v>42533.33</v>
      </c>
      <c r="E61" s="2">
        <f>-'SAP (1)'!Y588</f>
        <v>12517.17</v>
      </c>
      <c r="F61" t="s">
        <v>104</v>
      </c>
      <c r="G61" t="s">
        <v>268</v>
      </c>
    </row>
    <row r="62" spans="1:7" x14ac:dyDescent="0.25">
      <c r="A62">
        <v>50</v>
      </c>
      <c r="B62" t="s">
        <v>189</v>
      </c>
      <c r="C62" t="s">
        <v>190</v>
      </c>
      <c r="D62" s="2">
        <f>-'SAP (1)'!Q589</f>
        <v>48329.450000000004</v>
      </c>
      <c r="E62" s="2">
        <f>-'SAP (1)'!Y589</f>
        <v>14224.05</v>
      </c>
      <c r="F62" t="s">
        <v>62</v>
      </c>
      <c r="G62" t="s">
        <v>268</v>
      </c>
    </row>
    <row r="63" spans="1:7" x14ac:dyDescent="0.25">
      <c r="A63">
        <v>50</v>
      </c>
      <c r="B63" t="s">
        <v>189</v>
      </c>
      <c r="C63" t="s">
        <v>190</v>
      </c>
      <c r="D63" s="2">
        <f>-'SAP (1)'!Q590</f>
        <v>3866.67</v>
      </c>
      <c r="E63" s="2">
        <f>-'SAP (1)'!Y590</f>
        <v>1137.93</v>
      </c>
      <c r="F63" t="s">
        <v>58</v>
      </c>
      <c r="G63" t="s">
        <v>268</v>
      </c>
    </row>
    <row r="64" spans="1:7" x14ac:dyDescent="0.25">
      <c r="A64">
        <v>50</v>
      </c>
      <c r="B64" t="s">
        <v>189</v>
      </c>
      <c r="C64" t="s">
        <v>190</v>
      </c>
      <c r="D64" s="2">
        <f>-'SAP (1)'!Q591</f>
        <v>34800</v>
      </c>
      <c r="E64" s="2">
        <f>-'SAP (1)'!Y591</f>
        <v>10241.32</v>
      </c>
      <c r="F64" t="s">
        <v>100</v>
      </c>
      <c r="G64" t="s">
        <v>268</v>
      </c>
    </row>
    <row r="65" spans="1:7" x14ac:dyDescent="0.25">
      <c r="A65">
        <v>50</v>
      </c>
      <c r="B65" t="s">
        <v>189</v>
      </c>
      <c r="C65" t="s">
        <v>190</v>
      </c>
      <c r="D65" s="2">
        <f>-'SAP (1)'!Q592</f>
        <v>172066.67</v>
      </c>
      <c r="E65" s="2">
        <f>-'SAP (1)'!Y592</f>
        <v>50637.63</v>
      </c>
      <c r="F65" t="s">
        <v>102</v>
      </c>
      <c r="G65" t="s">
        <v>268</v>
      </c>
    </row>
    <row r="66" spans="1:7" x14ac:dyDescent="0.25">
      <c r="A66">
        <v>50</v>
      </c>
      <c r="B66" t="s">
        <v>189</v>
      </c>
      <c r="C66" t="s">
        <v>190</v>
      </c>
      <c r="D66" s="2">
        <f>-'SAP (1)'!Q593</f>
        <v>5800</v>
      </c>
      <c r="E66" s="2">
        <f>-'SAP (1)'!Y593</f>
        <v>1706.89</v>
      </c>
      <c r="F66" t="s">
        <v>52</v>
      </c>
      <c r="G66" t="s">
        <v>268</v>
      </c>
    </row>
    <row r="67" spans="1:7" x14ac:dyDescent="0.25">
      <c r="A67">
        <v>50</v>
      </c>
      <c r="B67" t="s">
        <v>189</v>
      </c>
      <c r="C67" t="s">
        <v>190</v>
      </c>
      <c r="D67" s="2">
        <f>-'SAP (1)'!Q594</f>
        <v>11600</v>
      </c>
      <c r="E67" s="2">
        <f>-'SAP (1)'!Y594</f>
        <v>3413.77</v>
      </c>
      <c r="F67" t="s">
        <v>70</v>
      </c>
      <c r="G6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059M - Mano de obra PIMS</vt:lpstr>
      <vt:lpstr>SAP</vt:lpstr>
      <vt:lpstr>INf. RRHH</vt:lpstr>
      <vt:lpstr>SAP (1)</vt:lpstr>
      <vt:lpstr>Asiento 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2025-11-04T21:21:36Z</dcterms:created>
  <dcterms:modified xsi:type="dcterms:W3CDTF">2025-11-04T21:33:46Z</dcterms:modified>
</cp:coreProperties>
</file>